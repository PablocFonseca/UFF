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drawings/drawing2.xml" ContentType="application/vnd.openxmlformats-officedocument.drawing+xml"/>
  <Override PartName="/xl/charts/chart3.xml" ContentType="application/vnd.openxmlformats-officedocument.drawingml.chart+xml"/>
  <Override PartName="/xl/charts/chart4.xml" ContentType="application/vnd.openxmlformats-officedocument.drawingml.chart+xml"/>
  <Override PartName="/xl/drawings/drawing3.xml" ContentType="application/vnd.openxmlformats-officedocument.drawing+xml"/>
  <Override PartName="/xl/charts/chart5.xml" ContentType="application/vnd.openxmlformats-officedocument.drawingml.chart+xml"/>
  <Override PartName="/xl/charts/chart6.xml" ContentType="application/vnd.openxmlformats-officedocument.drawingml.chart+xml"/>
  <Override PartName="/xl/drawings/drawing4.xml" ContentType="application/vnd.openxmlformats-officedocument.drawing+xml"/>
  <Override PartName="/xl/charts/chart7.xml" ContentType="application/vnd.openxmlformats-officedocument.drawingml.chart+xml"/>
  <Override PartName="/xl/charts/chart8.xml" ContentType="application/vnd.openxmlformats-officedocument.drawingml.chart+xml"/>
  <Override PartName="/xl/drawings/drawing5.xml" ContentType="application/vnd.openxmlformats-officedocument.drawing+xml"/>
  <Override PartName="/xl/charts/chart9.xml" ContentType="application/vnd.openxmlformats-officedocument.drawingml.chart+xml"/>
  <Override PartName="/xl/charts/chart10.xml" ContentType="application/vnd.openxmlformats-officedocument.drawingml.chart+xml"/>
  <Override PartName="/xl/charts/chart11.xml" ContentType="application/vnd.openxmlformats-officedocument.drawingml.chart+xml"/>
  <Override PartName="/xl/charts/chart12.xml" ContentType="application/vnd.openxmlformats-officedocument.drawingml.chart+xml"/>
  <Override PartName="/xl/charts/chart13.xml" ContentType="application/vnd.openxmlformats-officedocument.drawingml.chart+xml"/>
  <Override PartName="/xl/charts/chart14.xml" ContentType="application/vnd.openxmlformats-officedocument.drawingml.chart+xml"/>
  <Override PartName="/xl/charts/chart15.xml" ContentType="application/vnd.openxmlformats-officedocument.drawingml.chart+xml"/>
  <Override PartName="/xl/charts/chart16.xml" ContentType="application/vnd.openxmlformats-officedocument.drawingml.chart+xml"/>
  <Override PartName="/xl/drawings/drawing6.xml" ContentType="application/vnd.openxmlformats-officedocument.drawing+xml"/>
  <Override PartName="/xl/charts/chart17.xml" ContentType="application/vnd.openxmlformats-officedocument.drawingml.chart+xml"/>
  <Override PartName="/xl/charts/chart18.xml" ContentType="application/vnd.openxmlformats-officedocument.drawingml.chart+xml"/>
  <Override PartName="/xl/charts/chart19.xml" ContentType="application/vnd.openxmlformats-officedocument.drawingml.chart+xml"/>
  <Override PartName="/xl/charts/chart20.xml" ContentType="application/vnd.openxmlformats-officedocument.drawingml.chart+xml"/>
  <Override PartName="/xl/charts/chart21.xml" ContentType="application/vnd.openxmlformats-officedocument.drawingml.chart+xml"/>
  <Override PartName="/xl/charts/chart22.xml" ContentType="application/vnd.openxmlformats-officedocument.drawingml.chart+xml"/>
  <Override PartName="/xl/charts/chart23.xml" ContentType="application/vnd.openxmlformats-officedocument.drawingml.chart+xml"/>
  <Override PartName="/xl/charts/chart24.xml" ContentType="application/vnd.openxmlformats-officedocument.drawingml.chart+xml"/>
  <Override PartName="/xl/drawings/drawing7.xml" ContentType="application/vnd.openxmlformats-officedocument.drawing+xml"/>
  <Override PartName="/xl/charts/chart25.xml" ContentType="application/vnd.openxmlformats-officedocument.drawingml.chart+xml"/>
  <Override PartName="/xl/charts/chart26.xml" ContentType="application/vnd.openxmlformats-officedocument.drawingml.chart+xml"/>
  <Override PartName="/xl/charts/chart27.xml" ContentType="application/vnd.openxmlformats-officedocument.drawingml.chart+xml"/>
  <Override PartName="/xl/charts/chart28.xml" ContentType="application/vnd.openxmlformats-officedocument.drawingml.chart+xml"/>
  <Override PartName="/xl/charts/chart29.xml" ContentType="application/vnd.openxmlformats-officedocument.drawingml.chart+xml"/>
  <Override PartName="/xl/charts/chart30.xml" ContentType="application/vnd.openxmlformats-officedocument.drawingml.chart+xml"/>
  <Override PartName="/xl/charts/chart31.xml" ContentType="application/vnd.openxmlformats-officedocument.drawingml.chart+xml"/>
  <Override PartName="/xl/charts/chart32.xml" ContentType="application/vnd.openxmlformats-officedocument.drawingml.chart+xml"/>
  <Override PartName="/xl/queryTables/queryTable1.xml" ContentType="application/vnd.openxmlformats-officedocument.spreadsheetml.queryTable+xml"/>
  <Override PartName="/xl/queryTables/queryTable2.xml" ContentType="application/vnd.openxmlformats-officedocument.spreadsheetml.queryTable+xml"/>
  <Override PartName="/xl/queryTables/queryTable3.xml" ContentType="application/vnd.openxmlformats-officedocument.spreadsheetml.queryTable+xml"/>
  <Override PartName="/xl/queryTables/queryTable4.xml" ContentType="application/vnd.openxmlformats-officedocument.spreadsheetml.queryTable+xml"/>
  <Override PartName="/xl/queryTables/queryTable5.xml" ContentType="application/vnd.openxmlformats-officedocument.spreadsheetml.queryTable+xml"/>
  <Override PartName="/xl/queryTables/queryTable6.xml" ContentType="application/vnd.openxmlformats-officedocument.spreadsheetml.queryTable+xml"/>
  <Override PartName="/xl/queryTables/queryTable7.xml" ContentType="application/vnd.openxmlformats-officedocument.spreadsheetml.queryTable+xml"/>
  <Override PartName="/xl/queryTables/queryTable8.xml" ContentType="application/vnd.openxmlformats-officedocument.spreadsheetml.queryTable+xml"/>
  <Override PartName="/xl/queryTables/queryTable9.xml" ContentType="application/vnd.openxmlformats-officedocument.spreadsheetml.queryTable+xml"/>
  <Override PartName="/xl/queryTables/queryTable10.xml" ContentType="application/vnd.openxmlformats-officedocument.spreadsheetml.queryTable+xml"/>
  <Override PartName="/xl/queryTables/queryTable11.xml" ContentType="application/vnd.openxmlformats-officedocument.spreadsheetml.queryTable+xml"/>
  <Override PartName="/xl/queryTables/queryTable12.xml" ContentType="application/vnd.openxmlformats-officedocument.spreadsheetml.queryTable+xml"/>
  <Override PartName="/xl/queryTables/queryTable13.xml" ContentType="application/vnd.openxmlformats-officedocument.spreadsheetml.queryTable+xml"/>
  <Override PartName="/xl/queryTables/queryTable14.xml" ContentType="application/vnd.openxmlformats-officedocument.spreadsheetml.queryTable+xml"/>
  <Override PartName="/xl/queryTables/queryTable15.xml" ContentType="application/vnd.openxmlformats-officedocument.spreadsheetml.queryTable+xml"/>
  <Override PartName="/xl/queryTables/queryTable16.xml" ContentType="application/vnd.openxmlformats-officedocument.spreadsheetml.queryTable+xml"/>
  <Override PartName="/xl/queryTables/queryTable17.xml" ContentType="application/vnd.openxmlformats-officedocument.spreadsheetml.queryTable+xml"/>
  <Override PartName="/xl/queryTables/queryTable18.xml" ContentType="application/vnd.openxmlformats-officedocument.spreadsheetml.queryTable+xml"/>
  <Override PartName="/xl/queryTables/queryTable19.xml" ContentType="application/vnd.openxmlformats-officedocument.spreadsheetml.queryTable+xml"/>
  <Override PartName="/xl/queryTables/queryTable20.xml" ContentType="application/vnd.openxmlformats-officedocument.spreadsheetml.queryTable+xml"/>
  <Override PartName="/xl/queryTables/queryTable21.xml" ContentType="application/vnd.openxmlformats-officedocument.spreadsheetml.queryTable+xml"/>
  <Override PartName="/xl/queryTables/queryTable22.xml" ContentType="application/vnd.openxmlformats-officedocument.spreadsheetml.queryTable+xml"/>
  <Override PartName="/xl/queryTables/queryTable23.xml" ContentType="application/vnd.openxmlformats-officedocument.spreadsheetml.queryTable+xml"/>
  <Override PartName="/xl/queryTables/queryTable24.xml" ContentType="application/vnd.openxmlformats-officedocument.spreadsheetml.queryTable+xml"/>
  <Override PartName="/xl/queryTables/queryTable25.xml" ContentType="application/vnd.openxmlformats-officedocument.spreadsheetml.queryTable+xml"/>
  <Override PartName="/xl/queryTables/queryTable26.xml" ContentType="application/vnd.openxmlformats-officedocument.spreadsheetml.queryTable+xml"/>
  <Override PartName="/xl/queryTables/queryTable27.xml" ContentType="application/vnd.openxmlformats-officedocument.spreadsheetml.queryTable+xml"/>
  <Override PartName="/xl/queryTables/queryTable28.xml" ContentType="application/vnd.openxmlformats-officedocument.spreadsheetml.queryTable+xml"/>
  <Override PartName="/xl/queryTables/queryTable29.xml" ContentType="application/vnd.openxmlformats-officedocument.spreadsheetml.queryTable+xml"/>
  <Override PartName="/xl/queryTables/queryTable30.xml" ContentType="application/vnd.openxmlformats-officedocument.spreadsheetml.queryTable+xml"/>
  <Override PartName="/xl/queryTables/queryTable31.xml" ContentType="application/vnd.openxmlformats-officedocument.spreadsheetml.queryTable+xml"/>
  <Override PartName="/xl/queryTables/queryTable32.xml" ContentType="application/vnd.openxmlformats-officedocument.spreadsheetml.queryTable+xml"/>
  <Override PartName="/xl/drawings/drawing8.xml" ContentType="application/vnd.openxmlformats-officedocument.drawing+xml"/>
  <Override PartName="/xl/charts/chart33.xml" ContentType="application/vnd.openxmlformats-officedocument.drawingml.chart+xml"/>
  <Override PartName="/xl/charts/chart34.xml" ContentType="application/vnd.openxmlformats-officedocument.drawingml.chart+xml"/>
  <Override PartName="/xl/charts/chart35.xml" ContentType="application/vnd.openxmlformats-officedocument.drawingml.chart+xml"/>
  <Override PartName="/xl/charts/chart36.xml" ContentType="application/vnd.openxmlformats-officedocument.drawingml.chart+xml"/>
  <Override PartName="/xl/charts/chart37.xml" ContentType="application/vnd.openxmlformats-officedocument.drawingml.chart+xml"/>
  <Override PartName="/xl/charts/chart38.xml" ContentType="application/vnd.openxmlformats-officedocument.drawingml.chart+xml"/>
  <Override PartName="/xl/drawings/drawing9.xml" ContentType="application/vnd.openxmlformats-officedocument.drawing+xml"/>
  <Override PartName="/xl/charts/chart39.xml" ContentType="application/vnd.openxmlformats-officedocument.drawingml.chart+xml"/>
  <Override PartName="/xl/charts/chart40.xml" ContentType="application/vnd.openxmlformats-officedocument.drawingml.chart+xml"/>
  <Override PartName="/xl/charts/chart41.xml" ContentType="application/vnd.openxmlformats-officedocument.drawingml.chart+xml"/>
  <Override PartName="/xl/charts/chart42.xml" ContentType="application/vnd.openxmlformats-officedocument.drawingml.chart+xml"/>
  <Override PartName="/xl/charts/chart43.xml" ContentType="application/vnd.openxmlformats-officedocument.drawingml.chart+xml"/>
  <Override PartName="/xl/charts/chart44.xml" ContentType="application/vnd.openxmlformats-officedocument.drawingml.chart+xml"/>
  <Override PartName="/xl/charts/chart45.xml" ContentType="application/vnd.openxmlformats-officedocument.drawingml.chart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51196F13-6AD0-C1B8-E2B4-A1F9AE17003E}"/>
  <workbookPr codeName="EstaPasta_de_trabalho" autoCompressPictures="0"/>
  <mc:AlternateContent xmlns:mc="http://schemas.openxmlformats.org/markup-compatibility/2006">
    <mc:Choice Requires="x15">
      <x15ac:absPath xmlns:x15ac="http://schemas.microsoft.com/office/spreadsheetml/2010/11/ac" url="C:\Users\Yuri Moreira\Documents\GitHub\UFF\"/>
    </mc:Choice>
  </mc:AlternateContent>
  <bookViews>
    <workbookView xWindow="0" yWindow="0" windowWidth="20490" windowHeight="7755" tabRatio="811" activeTab="5"/>
  </bookViews>
  <sheets>
    <sheet name="Botoes" sheetId="103" r:id="rId1"/>
    <sheet name="Previsões_10" sheetId="114" r:id="rId2"/>
    <sheet name="Previsões_15" sheetId="115" r:id="rId3"/>
    <sheet name="Previsões_9_meses" sheetId="116" r:id="rId4"/>
    <sheet name="Operacional_10_dias" sheetId="104" r:id="rId5"/>
    <sheet name="Operacional_15_dias" sheetId="117" r:id="rId6"/>
    <sheet name="Operacional_9_meses" sheetId="118" r:id="rId7"/>
    <sheet name="ETP_Parametros" sheetId="95" r:id="rId8"/>
    <sheet name="P_Q_obs" sheetId="101" r:id="rId9"/>
    <sheet name="Rio Grande_MoFurnas_Ch-perfeita" sheetId="41" state="hidden" r:id="rId10"/>
    <sheet name="Rio Grande_MoFurnas_Teste2013" sheetId="35" state="hidden" r:id="rId11"/>
  </sheets>
  <definedNames>
    <definedName name="anscount" hidden="1">2</definedName>
    <definedName name="chuva" localSheetId="8">P_Q_obs!#REF!</definedName>
    <definedName name="chuva_1" localSheetId="8">P_Q_obs!#REF!</definedName>
    <definedName name="chuva_10" localSheetId="8">P_Q_obs!#REF!</definedName>
    <definedName name="chuva_11" localSheetId="8">P_Q_obs!#REF!</definedName>
    <definedName name="chuva_12" localSheetId="8">P_Q_obs!#REF!</definedName>
    <definedName name="chuva_13" localSheetId="8">P_Q_obs!#REF!</definedName>
    <definedName name="chuva_14" localSheetId="8">P_Q_obs!#REF!</definedName>
    <definedName name="chuva_15" localSheetId="8">P_Q_obs!#REF!</definedName>
    <definedName name="chuva_16" localSheetId="8">P_Q_obs!#REF!</definedName>
    <definedName name="chuva_17" localSheetId="8">P_Q_obs!#REF!</definedName>
    <definedName name="chuva_18" localSheetId="8">P_Q_obs!#REF!</definedName>
    <definedName name="chuva_19" localSheetId="8">P_Q_obs!#REF!</definedName>
    <definedName name="chuva_2" localSheetId="8">P_Q_obs!#REF!</definedName>
    <definedName name="chuva_20" localSheetId="8">P_Q_obs!#REF!</definedName>
    <definedName name="chuva_21" localSheetId="8">P_Q_obs!#REF!</definedName>
    <definedName name="chuva_22" localSheetId="8">P_Q_obs!#REF!</definedName>
    <definedName name="chuva_23" localSheetId="8">P_Q_obs!#REF!</definedName>
    <definedName name="chuva_24" localSheetId="8">P_Q_obs!#REF!</definedName>
    <definedName name="chuva_25" localSheetId="8">P_Q_obs!#REF!</definedName>
    <definedName name="chuva_26" localSheetId="8">P_Q_obs!#REF!</definedName>
    <definedName name="chuva_27" localSheetId="8">P_Q_obs!#REF!</definedName>
    <definedName name="chuva_28" localSheetId="8">P_Q_obs!#REF!</definedName>
    <definedName name="chuva_29" localSheetId="8">P_Q_obs!#REF!</definedName>
    <definedName name="chuva_3" localSheetId="8">P_Q_obs!#REF!</definedName>
    <definedName name="chuva_30" localSheetId="8">P_Q_obs!#REF!</definedName>
    <definedName name="chuva_31" localSheetId="8">P_Q_obs!#REF!</definedName>
    <definedName name="chuva_32" localSheetId="8">P_Q_obs!#REF!</definedName>
    <definedName name="chuva_33" localSheetId="8">P_Q_obs!#REF!</definedName>
    <definedName name="chuva_34" localSheetId="8">P_Q_obs!#REF!</definedName>
    <definedName name="chuva_35" localSheetId="8">P_Q_obs!#REF!</definedName>
    <definedName name="chuva_36" localSheetId="8">P_Q_obs!#REF!</definedName>
    <definedName name="chuva_37" localSheetId="8">P_Q_obs!#REF!</definedName>
    <definedName name="chuva_38" localSheetId="8">P_Q_obs!#REF!</definedName>
    <definedName name="chuva_39" localSheetId="8">P_Q_obs!#REF!</definedName>
    <definedName name="chuva_4" localSheetId="8">P_Q_obs!#REF!</definedName>
    <definedName name="chuva_40" localSheetId="8">P_Q_obs!#REF!</definedName>
    <definedName name="chuva_41" localSheetId="8">P_Q_obs!#REF!</definedName>
    <definedName name="chuva_42" localSheetId="8">P_Q_obs!#REF!</definedName>
    <definedName name="chuva_43" localSheetId="8">P_Q_obs!#REF!</definedName>
    <definedName name="chuva_44" localSheetId="8">P_Q_obs!#REF!</definedName>
    <definedName name="chuva_45" localSheetId="8">P_Q_obs!#REF!</definedName>
    <definedName name="chuva_46" localSheetId="8">P_Q_obs!#REF!</definedName>
    <definedName name="chuva_47" localSheetId="8">P_Q_obs!#REF!</definedName>
    <definedName name="chuva_48" localSheetId="8">P_Q_obs!#REF!</definedName>
    <definedName name="chuva_49" localSheetId="8">P_Q_obs!#REF!</definedName>
    <definedName name="chuva_5" localSheetId="8">P_Q_obs!#REF!</definedName>
    <definedName name="chuva_50" localSheetId="8">P_Q_obs!#REF!</definedName>
    <definedName name="chuva_51" localSheetId="8">P_Q_obs!#REF!</definedName>
    <definedName name="chuva_52" localSheetId="8">P_Q_obs!#REF!</definedName>
    <definedName name="chuva_53" localSheetId="8">P_Q_obs!#REF!</definedName>
    <definedName name="chuva_54" localSheetId="8">P_Q_obs!#REF!</definedName>
    <definedName name="chuva_55" localSheetId="8">P_Q_obs!#REF!</definedName>
    <definedName name="chuva_56" localSheetId="8">P_Q_obs!#REF!</definedName>
    <definedName name="chuva_57" localSheetId="8">P_Q_obs!#REF!</definedName>
    <definedName name="chuva_58" localSheetId="8">P_Q_obs!#REF!</definedName>
    <definedName name="chuva_59" localSheetId="8">P_Q_obs!#REF!</definedName>
    <definedName name="chuva_6" localSheetId="8">P_Q_obs!#REF!</definedName>
    <definedName name="chuva_60" localSheetId="8">P_Q_obs!#REF!</definedName>
    <definedName name="chuva_61" localSheetId="8">P_Q_obs!#REF!</definedName>
    <definedName name="chuva_62" localSheetId="8">P_Q_obs!#REF!</definedName>
    <definedName name="chuva_63" localSheetId="8">P_Q_obs!#REF!</definedName>
    <definedName name="chuva_64" localSheetId="8">P_Q_obs!#REF!</definedName>
    <definedName name="chuva_65" localSheetId="8">P_Q_obs!#REF!</definedName>
    <definedName name="chuva_66" localSheetId="8">P_Q_obs!#REF!</definedName>
    <definedName name="chuva_7" localSheetId="8">P_Q_obs!#REF!</definedName>
    <definedName name="chuva_8" localSheetId="8">P_Q_obs!#REF!</definedName>
    <definedName name="chuva_9" localSheetId="8">P_Q_obs!#REF!</definedName>
    <definedName name="chuva_eta_grande.bacia_1" localSheetId="8">P_Q_obs!$D$67:$D$76</definedName>
    <definedName name="chuva_eta_grande.bacia_2" localSheetId="8">P_Q_obs!$D$67:$D$76</definedName>
    <definedName name="chuva_eta_grande.bacia_3" localSheetId="8">P_Q_obs!$D$67:$D$76</definedName>
    <definedName name="chuva_eta_itaipu_direita.bacia_1" localSheetId="8">P_Q_obs!#REF!</definedName>
    <definedName name="chuva_eta_itaipu_direita.bacia_2" localSheetId="8">P_Q_obs!#REF!</definedName>
    <definedName name="chuva_eta_itaipu_direita.bacia_3" localSheetId="8">P_Q_obs!#REF!</definedName>
    <definedName name="chuva_eta_itaipu_direita.bacia_4" localSheetId="8">P_Q_obs!#REF!</definedName>
    <definedName name="chuva_eta_itaipu_direita.bacia_5" localSheetId="8">P_Q_obs!#REF!</definedName>
    <definedName name="chuva_eta_itaipu_direita.bacia_6" localSheetId="8">P_Q_obs!#REF!</definedName>
    <definedName name="chuva_eta_itaipu_direita.bacia_7" localSheetId="8">P_Q_obs!#REF!</definedName>
    <definedName name="chuva_eta_itaipu_direita.bacia_8" localSheetId="8">P_Q_obs!#REF!</definedName>
    <definedName name="chuva_eta_itaipu_esquerda.bacia_1" localSheetId="8">P_Q_obs!#REF!</definedName>
    <definedName name="chuva_eta_itaipu_esquerda.bacia_10" localSheetId="8">P_Q_obs!#REF!</definedName>
    <definedName name="chuva_eta_itaipu_esquerda.bacia_11" localSheetId="8">P_Q_obs!#REF!</definedName>
    <definedName name="chuva_eta_itaipu_esquerda.bacia_12" localSheetId="8">P_Q_obs!#REF!</definedName>
    <definedName name="chuva_eta_itaipu_esquerda.bacia_13" localSheetId="8">P_Q_obs!#REF!</definedName>
    <definedName name="chuva_eta_itaipu_esquerda.bacia_14" localSheetId="8">P_Q_obs!#REF!</definedName>
    <definedName name="chuva_eta_itaipu_esquerda.bacia_15" localSheetId="8">P_Q_obs!#REF!</definedName>
    <definedName name="chuva_eta_itaipu_esquerda.bacia_16" localSheetId="8">P_Q_obs!#REF!</definedName>
    <definedName name="chuva_eta_itaipu_esquerda.bacia_17" localSheetId="8">P_Q_obs!#REF!</definedName>
    <definedName name="chuva_eta_itaipu_esquerda.bacia_18" localSheetId="8">P_Q_obs!#REF!</definedName>
    <definedName name="chuva_eta_itaipu_esquerda.bacia_19" localSheetId="8">P_Q_obs!#REF!</definedName>
    <definedName name="chuva_eta_itaipu_esquerda.bacia_2" localSheetId="8">P_Q_obs!#REF!</definedName>
    <definedName name="chuva_eta_itaipu_esquerda.bacia_20" localSheetId="8">P_Q_obs!#REF!</definedName>
    <definedName name="chuva_eta_itaipu_esquerda.bacia_21" localSheetId="8">P_Q_obs!#REF!</definedName>
    <definedName name="chuva_eta_itaipu_esquerda.bacia_22" localSheetId="8">P_Q_obs!#REF!</definedName>
    <definedName name="chuva_eta_itaipu_esquerda.bacia_23" localSheetId="8">P_Q_obs!#REF!</definedName>
    <definedName name="chuva_eta_itaipu_esquerda.bacia_24" localSheetId="8">P_Q_obs!#REF!</definedName>
    <definedName name="chuva_eta_itaipu_esquerda.bacia_25" localSheetId="8">P_Q_obs!#REF!</definedName>
    <definedName name="chuva_eta_itaipu_esquerda.bacia_26" localSheetId="8">P_Q_obs!#REF!</definedName>
    <definedName name="chuva_eta_itaipu_esquerda.bacia_27" localSheetId="8">P_Q_obs!#REF!</definedName>
    <definedName name="chuva_eta_itaipu_esquerda.bacia_28" localSheetId="8">P_Q_obs!#REF!</definedName>
    <definedName name="chuva_eta_itaipu_esquerda.bacia_29" localSheetId="8">P_Q_obs!#REF!</definedName>
    <definedName name="chuva_eta_itaipu_esquerda.bacia_3" localSheetId="8">P_Q_obs!#REF!</definedName>
    <definedName name="chuva_eta_itaipu_esquerda.bacia_30" localSheetId="8">P_Q_obs!#REF!</definedName>
    <definedName name="chuva_eta_itaipu_esquerda.bacia_31" localSheetId="8">P_Q_obs!#REF!</definedName>
    <definedName name="chuva_eta_itaipu_esquerda.bacia_32" localSheetId="8">P_Q_obs!#REF!</definedName>
    <definedName name="chuva_eta_itaipu_esquerda.bacia_33" localSheetId="8">P_Q_obs!#REF!</definedName>
    <definedName name="chuva_eta_itaipu_esquerda.bacia_34" localSheetId="8">P_Q_obs!#REF!</definedName>
    <definedName name="chuva_eta_itaipu_esquerda.bacia_35" localSheetId="8">P_Q_obs!#REF!</definedName>
    <definedName name="chuva_eta_itaipu_esquerda.bacia_36" localSheetId="8">P_Q_obs!#REF!</definedName>
    <definedName name="chuva_eta_itaipu_esquerda.bacia_37" localSheetId="8">P_Q_obs!#REF!</definedName>
    <definedName name="chuva_eta_itaipu_esquerda.bacia_38" localSheetId="8">P_Q_obs!#REF!</definedName>
    <definedName name="chuva_eta_itaipu_esquerda.bacia_39" localSheetId="8">P_Q_obs!#REF!</definedName>
    <definedName name="chuva_eta_itaipu_esquerda.bacia_4" localSheetId="8">P_Q_obs!#REF!</definedName>
    <definedName name="chuva_eta_itaipu_esquerda.bacia_40" localSheetId="8">P_Q_obs!#REF!</definedName>
    <definedName name="chuva_eta_itaipu_esquerda.bacia_41" localSheetId="8">P_Q_obs!#REF!</definedName>
    <definedName name="chuva_eta_itaipu_esquerda.bacia_42" localSheetId="8">P_Q_obs!#REF!</definedName>
    <definedName name="chuva_eta_itaipu_esquerda.bacia_43" localSheetId="8">P_Q_obs!#REF!</definedName>
    <definedName name="chuva_eta_itaipu_esquerda.bacia_44" localSheetId="8">P_Q_obs!#REF!</definedName>
    <definedName name="chuva_eta_itaipu_esquerda.bacia_45" localSheetId="8">P_Q_obs!#REF!</definedName>
    <definedName name="chuva_eta_itaipu_esquerda.bacia_46" localSheetId="8">P_Q_obs!#REF!</definedName>
    <definedName name="chuva_eta_itaipu_esquerda.bacia_47" localSheetId="8">P_Q_obs!#REF!</definedName>
    <definedName name="chuva_eta_itaipu_esquerda.bacia_48" localSheetId="8">P_Q_obs!#REF!</definedName>
    <definedName name="chuva_eta_itaipu_esquerda.bacia_49" localSheetId="8">P_Q_obs!#REF!</definedName>
    <definedName name="chuva_eta_itaipu_esquerda.bacia_5" localSheetId="8">P_Q_obs!#REF!</definedName>
    <definedName name="chuva_eta_itaipu_esquerda.bacia_50" localSheetId="8">P_Q_obs!#REF!</definedName>
    <definedName name="chuva_eta_itaipu_esquerda.bacia_51" localSheetId="8">P_Q_obs!#REF!</definedName>
    <definedName name="chuva_eta_itaipu_esquerda.bacia_52" localSheetId="8">P_Q_obs!#REF!</definedName>
    <definedName name="chuva_eta_itaipu_esquerda.bacia_53" localSheetId="8">P_Q_obs!#REF!</definedName>
    <definedName name="chuva_eta_itaipu_esquerda.bacia_54" localSheetId="8">P_Q_obs!#REF!</definedName>
    <definedName name="chuva_eta_itaipu_esquerda.bacia_55" localSheetId="8">P_Q_obs!#REF!</definedName>
    <definedName name="chuva_eta_itaipu_esquerda.bacia_56" localSheetId="8">P_Q_obs!#REF!</definedName>
    <definedName name="chuva_eta_itaipu_esquerda.bacia_57" localSheetId="8">P_Q_obs!#REF!</definedName>
    <definedName name="chuva_eta_itaipu_esquerda.bacia_58" localSheetId="8">P_Q_obs!#REF!</definedName>
    <definedName name="chuva_eta_itaipu_esquerda.bacia_59" localSheetId="8">P_Q_obs!#REF!</definedName>
    <definedName name="chuva_eta_itaipu_esquerda.bacia_6" localSheetId="8">P_Q_obs!#REF!</definedName>
    <definedName name="chuva_eta_itaipu_esquerda.bacia_60" localSheetId="8">P_Q_obs!#REF!</definedName>
    <definedName name="chuva_eta_itaipu_esquerda.bacia_61" localSheetId="8">P_Q_obs!#REF!</definedName>
    <definedName name="chuva_eta_itaipu_esquerda.bacia_62" localSheetId="8">P_Q_obs!#REF!</definedName>
    <definedName name="chuva_eta_itaipu_esquerda.bacia_63" localSheetId="8">P_Q_obs!#REF!</definedName>
    <definedName name="chuva_eta_itaipu_esquerda.bacia_64" localSheetId="8">P_Q_obs!#REF!</definedName>
    <definedName name="chuva_eta_itaipu_esquerda.bacia_65" localSheetId="8">P_Q_obs!#REF!</definedName>
    <definedName name="chuva_eta_itaipu_esquerda.bacia_66" localSheetId="8">P_Q_obs!#REF!</definedName>
    <definedName name="chuva_eta_itaipu_esquerda.bacia_67" localSheetId="8">P_Q_obs!#REF!</definedName>
    <definedName name="chuva_eta_itaipu_esquerda.bacia_68" localSheetId="8">P_Q_obs!#REF!</definedName>
    <definedName name="chuva_eta_itaipu_esquerda.bacia_69" localSheetId="8">P_Q_obs!#REF!</definedName>
    <definedName name="chuva_eta_itaipu_esquerda.bacia_7" localSheetId="8">P_Q_obs!#REF!</definedName>
    <definedName name="chuva_eta_itaipu_esquerda.bacia_70" localSheetId="8">P_Q_obs!#REF!</definedName>
    <definedName name="chuva_eta_itaipu_esquerda.bacia_71" localSheetId="8">P_Q_obs!#REF!</definedName>
    <definedName name="chuva_eta_itaipu_esquerda.bacia_72" localSheetId="8">P_Q_obs!#REF!</definedName>
    <definedName name="chuva_eta_itaipu_esquerda.bacia_8" localSheetId="8">P_Q_obs!#REF!</definedName>
    <definedName name="chuva_eta_itaipu_esquerda.bacia_9" localSheetId="8">P_Q_obs!#REF!</definedName>
    <definedName name="chuva_grade_emborcacao.bacia" localSheetId="8">P_Q_obs!#REF!</definedName>
    <definedName name="chuva_grade_grande.bacia_1" localSheetId="8">P_Q_obs!$B$4:$B$66</definedName>
    <definedName name="chuva_grade_grande.bacia_10" localSheetId="8">P_Q_obs!$C$4:$C$66</definedName>
    <definedName name="chuva_grade_grande.bacia_11" localSheetId="8">P_Q_obs!$C$4:$C$66</definedName>
    <definedName name="chuva_grade_grande.bacia_13" localSheetId="8">P_Q_obs!#REF!</definedName>
    <definedName name="chuva_grade_grande.bacia_2" localSheetId="8">P_Q_obs!$C$4:$C$66</definedName>
    <definedName name="chuva_grade_grande.bacia_3" localSheetId="8">P_Q_obs!$C$4:$C$66</definedName>
    <definedName name="chuva_grade_grande.bacia_4" localSheetId="8">P_Q_obs!$C$4:$C$66</definedName>
    <definedName name="chuva_grade_grande.bacia_5" localSheetId="8">P_Q_obs!$C$4:$C$66</definedName>
    <definedName name="chuva_grade_grande.bacia_6" localSheetId="8">P_Q_obs!$C$4:$C$66</definedName>
    <definedName name="chuva_grade_grande.bacia_7" localSheetId="8">P_Q_obs!$C$4:$C$66</definedName>
    <definedName name="chuva_grade_grande.bacia_8" localSheetId="8">P_Q_obs!#REF!</definedName>
    <definedName name="chuva_grade_grande.bacia_9" localSheetId="8">P_Q_obs!$C$4:$C$66</definedName>
    <definedName name="chuva_grade_itaipu.bacia_1" localSheetId="8">P_Q_obs!#REF!</definedName>
    <definedName name="chuva_grade_itaipu.bacia_10" localSheetId="8">P_Q_obs!#REF!</definedName>
    <definedName name="chuva_grade_itaipu.bacia_11" localSheetId="8">P_Q_obs!#REF!</definedName>
    <definedName name="chuva_grade_itaipu.bacia_12" localSheetId="8">P_Q_obs!#REF!</definedName>
    <definedName name="chuva_grade_itaipu.bacia_13" localSheetId="8">P_Q_obs!#REF!</definedName>
    <definedName name="chuva_grade_itaipu.bacia_14" localSheetId="8">P_Q_obs!#REF!</definedName>
    <definedName name="chuva_grade_itaipu.bacia_15" localSheetId="8">P_Q_obs!#REF!</definedName>
    <definedName name="chuva_grade_itaipu.bacia_16" localSheetId="8">P_Q_obs!#REF!</definedName>
    <definedName name="chuva_grade_itaipu.bacia_17" localSheetId="8">P_Q_obs!#REF!</definedName>
    <definedName name="chuva_grade_itaipu.bacia_18" localSheetId="8">P_Q_obs!#REF!</definedName>
    <definedName name="chuva_grade_itaipu.bacia_19" localSheetId="8">P_Q_obs!#REF!</definedName>
    <definedName name="chuva_grade_itaipu.bacia_2" localSheetId="8">P_Q_obs!#REF!</definedName>
    <definedName name="chuva_grade_itaipu.bacia_20" localSheetId="8">P_Q_obs!#REF!</definedName>
    <definedName name="chuva_grade_itaipu.bacia_21" localSheetId="8">P_Q_obs!#REF!</definedName>
    <definedName name="chuva_grade_itaipu.bacia_22" localSheetId="8">P_Q_obs!#REF!</definedName>
    <definedName name="chuva_grade_itaipu.bacia_23" localSheetId="8">P_Q_obs!#REF!</definedName>
    <definedName name="chuva_grade_itaipu.bacia_24" localSheetId="8">P_Q_obs!#REF!</definedName>
    <definedName name="chuva_grade_itaipu.bacia_25" localSheetId="8">P_Q_obs!#REF!</definedName>
    <definedName name="chuva_grade_itaipu.bacia_26" localSheetId="8">P_Q_obs!#REF!</definedName>
    <definedName name="chuva_grade_itaipu.bacia_27" localSheetId="8">P_Q_obs!#REF!</definedName>
    <definedName name="chuva_grade_itaipu.bacia_28" localSheetId="8">P_Q_obs!#REF!</definedName>
    <definedName name="chuva_grade_itaipu.bacia_3" localSheetId="8">P_Q_obs!#REF!</definedName>
    <definedName name="chuva_grade_itaipu.bacia_4" localSheetId="8">P_Q_obs!#REF!</definedName>
    <definedName name="chuva_grade_itaipu.bacia_5" localSheetId="8">P_Q_obs!#REF!</definedName>
    <definedName name="chuva_grade_itaipu.bacia_6" localSheetId="8">P_Q_obs!#REF!</definedName>
    <definedName name="chuva_grade_itaipu.bacia_7" localSheetId="8">P_Q_obs!#REF!</definedName>
    <definedName name="chuva_grade_itaipu.bacia_8" localSheetId="8">P_Q_obs!#REF!</definedName>
    <definedName name="chuva_grade_itaipu.bacia_9" localSheetId="8">P_Q_obs!#REF!</definedName>
    <definedName name="chuva_grade_paranaiba.bacia" localSheetId="8">P_Q_obs!#REF!</definedName>
    <definedName name="chuva_grade_paranaiba.bacia_1" localSheetId="8">P_Q_obs!#REF!</definedName>
    <definedName name="chuva_grade_paranaiba.bacia_10" localSheetId="8">P_Q_obs!#REF!</definedName>
    <definedName name="chuva_grade_paranaiba.bacia_11" localSheetId="8">P_Q_obs!#REF!</definedName>
    <definedName name="chuva_grade_paranaiba.bacia_12" localSheetId="8">P_Q_obs!#REF!</definedName>
    <definedName name="chuva_grade_paranaiba.bacia_13" localSheetId="8">P_Q_obs!#REF!</definedName>
    <definedName name="chuva_grade_paranaiba.bacia_14" localSheetId="8">P_Q_obs!#REF!</definedName>
    <definedName name="chuva_grade_paranaiba.bacia_15" localSheetId="8">P_Q_obs!#REF!</definedName>
    <definedName name="chuva_grade_paranaiba.bacia_16" localSheetId="8">P_Q_obs!#REF!</definedName>
    <definedName name="chuva_grade_paranaiba.bacia_17" localSheetId="8">P_Q_obs!#REF!</definedName>
    <definedName name="chuva_grade_paranaiba.bacia_18" localSheetId="8">P_Q_obs!#REF!</definedName>
    <definedName name="chuva_grade_paranaiba.bacia_19" localSheetId="8">P_Q_obs!#REF!</definedName>
    <definedName name="chuva_grade_paranaiba.bacia_2" localSheetId="8">P_Q_obs!#REF!</definedName>
    <definedName name="chuva_grade_paranaiba.bacia_20" localSheetId="8">P_Q_obs!#REF!</definedName>
    <definedName name="chuva_grade_paranaiba.bacia_21" localSheetId="8">P_Q_obs!#REF!</definedName>
    <definedName name="chuva_grade_paranaiba.bacia_22" localSheetId="8">P_Q_obs!#REF!</definedName>
    <definedName name="chuva_grade_paranaiba.bacia_23" localSheetId="8">P_Q_obs!#REF!</definedName>
    <definedName name="chuva_grade_paranaiba.bacia_24" localSheetId="8">P_Q_obs!#REF!</definedName>
    <definedName name="chuva_grade_paranaiba.bacia_25" localSheetId="8">P_Q_obs!#REF!</definedName>
    <definedName name="chuva_grade_paranaiba.bacia_26" localSheetId="8">P_Q_obs!#REF!</definedName>
    <definedName name="chuva_grade_paranaiba.bacia_27" localSheetId="8">P_Q_obs!#REF!</definedName>
    <definedName name="chuva_grade_paranaiba.bacia_28" localSheetId="8">P_Q_obs!#REF!</definedName>
    <definedName name="chuva_grade_paranaiba.bacia_29" localSheetId="8">P_Q_obs!#REF!</definedName>
    <definedName name="chuva_grade_paranaiba.bacia_3" localSheetId="8">P_Q_obs!#REF!</definedName>
    <definedName name="chuva_grade_paranaiba.bacia_30" localSheetId="8">P_Q_obs!#REF!</definedName>
    <definedName name="chuva_grade_paranaiba.bacia_31" localSheetId="8">P_Q_obs!#REF!</definedName>
    <definedName name="chuva_grade_paranaiba.bacia_4" localSheetId="8">P_Q_obs!#REF!</definedName>
    <definedName name="chuva_grade_paranaiba.bacia_5" localSheetId="8">P_Q_obs!#REF!</definedName>
    <definedName name="chuva_grade_paranaiba.bacia_6" localSheetId="8">P_Q_obs!#REF!</definedName>
    <definedName name="chuva_grade_paranaiba.bacia_7" localSheetId="8">P_Q_obs!#REF!</definedName>
    <definedName name="chuva_grade_paranaiba.bacia_8" localSheetId="8">P_Q_obs!#REF!</definedName>
    <definedName name="chuva_grade_paranaiba.bacia_9" localSheetId="8">P_Q_obs!#REF!</definedName>
    <definedName name="limcount" hidden="1">2</definedName>
    <definedName name="parametros" localSheetId="7">ETP_Parametros!$F$3:$Y$28</definedName>
    <definedName name="parametros_1" localSheetId="7">ETP_Parametros!$F$3:$Y$28</definedName>
    <definedName name="parametros_11" localSheetId="7">ETP_Parametros!$E$4:$W$31</definedName>
    <definedName name="parametros_12" localSheetId="7">ETP_Parametros!$E$4:$W$31</definedName>
    <definedName name="parametros_13" localSheetId="7">ETP_Parametros!$E$4:$W$31</definedName>
    <definedName name="parametros_15" localSheetId="7">ETP_Parametros!$E$4:$W$31</definedName>
    <definedName name="parametros_16" localSheetId="7">ETP_Parametros!$E$4:$W$31</definedName>
    <definedName name="parametros_17" localSheetId="7">ETP_Parametros!$E$4:$W$31</definedName>
    <definedName name="parametros_18" localSheetId="7">ETP_Parametros!$E$4:$W$31</definedName>
    <definedName name="parametros_19" localSheetId="7">ETP_Parametros!$E$4:$W$31</definedName>
    <definedName name="parametros_2" localSheetId="7">ETP_Parametros!$F$3:$Y$28</definedName>
    <definedName name="parametros_20" localSheetId="7">ETP_Parametros!$E$4:$AX$31</definedName>
    <definedName name="parametros_21" localSheetId="7">ETP_Parametros!$E$4:$AX$31</definedName>
    <definedName name="parametros_3" localSheetId="7">ETP_Parametros!$F$4:$W$18</definedName>
    <definedName name="parametros_4" localSheetId="7">ETP_Parametros!$F$4:$W$18</definedName>
    <definedName name="parametros_5" localSheetId="7">ETP_Parametros!$F$4:$W$18</definedName>
    <definedName name="parametros_6" localSheetId="7">ETP_Parametros!$E$4:$W$31</definedName>
    <definedName name="parametros_7" localSheetId="7">ETP_Parametros!$E$4:$W$31</definedName>
    <definedName name="parametros_8" localSheetId="7">ETP_Parametros!$E$4:$W$31</definedName>
    <definedName name="sencount" hidden="1">2</definedName>
    <definedName name="solver_adj" localSheetId="4" hidden="1">Operacional_10_dias!$BE$24:$BE$52,Operacional_10_dias!$AI$20,Operacional_10_dias!$Y$4:$Y$5</definedName>
    <definedName name="solver_adj" localSheetId="5" hidden="1">Operacional_15_dias!$BE$24:$BE$53,Operacional_15_dias!$BH$24:$BH$53,Operacional_15_dias!$AI$20,Operacional_15_dias!#REF!</definedName>
    <definedName name="solver_adj" localSheetId="6" hidden="1">Operacional_9_meses!$BE$24:$BE$53,Operacional_9_meses!$BH$24:$BH$53,Operacional_9_meses!$AI$20,Operacional_9_meses!#REF!</definedName>
    <definedName name="solver_adj" localSheetId="9" hidden="1">'Rio Grande_MoFurnas_Ch-perfeita'!$Q$3</definedName>
    <definedName name="solver_adj" localSheetId="10" hidden="1">'Rio Grande_MoFurnas_Teste2013'!$X$3:$X$6,'Rio Grande_MoFurnas_Teste2013'!$D$12:$R$12,'Rio Grande_MoFurnas_Teste2013'!$I$5:$M$5,'Rio Grande_MoFurnas_Teste2013'!$W$10</definedName>
    <definedName name="solver_cvg" localSheetId="4" hidden="1">0.00001</definedName>
    <definedName name="solver_cvg" localSheetId="5" hidden="1">0.00001</definedName>
    <definedName name="solver_cvg" localSheetId="6" hidden="1">0.00001</definedName>
    <definedName name="solver_cvg" localSheetId="9" hidden="1">0.00001</definedName>
    <definedName name="solver_cvg" localSheetId="10" hidden="1">0.00001</definedName>
    <definedName name="solver_drv" localSheetId="4" hidden="1">2</definedName>
    <definedName name="solver_drv" localSheetId="5" hidden="1">2</definedName>
    <definedName name="solver_drv" localSheetId="6" hidden="1">2</definedName>
    <definedName name="solver_drv" localSheetId="9" hidden="1">2</definedName>
    <definedName name="solver_drv" localSheetId="10" hidden="1">2</definedName>
    <definedName name="solver_eng" localSheetId="0" hidden="1">1</definedName>
    <definedName name="solver_eng" localSheetId="4" hidden="1">1</definedName>
    <definedName name="solver_eng" localSheetId="5" hidden="1">1</definedName>
    <definedName name="solver_eng" localSheetId="6" hidden="1">1</definedName>
    <definedName name="solver_eng" localSheetId="9" hidden="1">1</definedName>
    <definedName name="solver_eng" localSheetId="10" hidden="1">1</definedName>
    <definedName name="solver_est" localSheetId="4" hidden="1">1</definedName>
    <definedName name="solver_est" localSheetId="5" hidden="1">1</definedName>
    <definedName name="solver_est" localSheetId="6" hidden="1">1</definedName>
    <definedName name="solver_est" localSheetId="9" hidden="1">1</definedName>
    <definedName name="solver_est" localSheetId="10" hidden="1">1</definedName>
    <definedName name="solver_itr" localSheetId="4" hidden="1">10000</definedName>
    <definedName name="solver_itr" localSheetId="5" hidden="1">10000</definedName>
    <definedName name="solver_itr" localSheetId="6" hidden="1">10000</definedName>
    <definedName name="solver_itr" localSheetId="9" hidden="1">10000</definedName>
    <definedName name="solver_itr" localSheetId="10" hidden="1">10000</definedName>
    <definedName name="solver_lhs0" localSheetId="4" hidden="1">Operacional_10_dias!$BH$24:$BH$53</definedName>
    <definedName name="solver_lhs1" localSheetId="4" hidden="1">Operacional_10_dias!$AI$20</definedName>
    <definedName name="solver_lhs1" localSheetId="5" hidden="1">Operacional_15_dias!$AI$20</definedName>
    <definedName name="solver_lhs1" localSheetId="6" hidden="1">Operacional_9_meses!$AI$20</definedName>
    <definedName name="solver_lhs1" localSheetId="9" hidden="1">'Rio Grande_MoFurnas_Ch-perfeita'!$V$10</definedName>
    <definedName name="solver_lhs1" localSheetId="10" hidden="1">'Rio Grande_MoFurnas_Teste2013'!$X$3:$X$6</definedName>
    <definedName name="solver_lhs10" localSheetId="4" hidden="1">Operacional_10_dias!#REF!</definedName>
    <definedName name="solver_lhs10" localSheetId="5" hidden="1">Operacional_15_dias!#REF!</definedName>
    <definedName name="solver_lhs10" localSheetId="6" hidden="1">Operacional_9_meses!#REF!</definedName>
    <definedName name="solver_lhs10" localSheetId="9" hidden="1">'Rio Grande_MoFurnas_Ch-perfeita'!$N$5</definedName>
    <definedName name="solver_lhs10" localSheetId="10" hidden="1">'Rio Grande_MoFurnas_Teste2013'!$X$5</definedName>
    <definedName name="solver_lhs11" localSheetId="4" hidden="1">Operacional_10_dias!#REF!</definedName>
    <definedName name="solver_lhs11" localSheetId="5" hidden="1">Operacional_15_dias!#REF!</definedName>
    <definedName name="solver_lhs11" localSheetId="6" hidden="1">Operacional_9_meses!#REF!</definedName>
    <definedName name="solver_lhs11" localSheetId="9" hidden="1">'Rio Grande_MoFurnas_Ch-perfeita'!$N$5</definedName>
    <definedName name="solver_lhs11" localSheetId="10" hidden="1">'Rio Grande_MoFurnas_Teste2013'!$D$12</definedName>
    <definedName name="solver_lhs12" localSheetId="4" hidden="1">Operacional_10_dias!#REF!</definedName>
    <definedName name="solver_lhs12" localSheetId="5" hidden="1">Operacional_15_dias!#REF!</definedName>
    <definedName name="solver_lhs12" localSheetId="6" hidden="1">Operacional_9_meses!#REF!</definedName>
    <definedName name="solver_lhs12" localSheetId="9" hidden="1">'Rio Grande_MoFurnas_Ch-perfeita'!$C$12</definedName>
    <definedName name="solver_lhs12" localSheetId="10" hidden="1">'Rio Grande_MoFurnas_Teste2013'!$D$12</definedName>
    <definedName name="solver_lhs13" localSheetId="4" hidden="1">Operacional_10_dias!$A$17</definedName>
    <definedName name="solver_lhs13" localSheetId="5" hidden="1">Operacional_15_dias!$A$17</definedName>
    <definedName name="solver_lhs13" localSheetId="6" hidden="1">Operacional_9_meses!$A$17</definedName>
    <definedName name="solver_lhs13" localSheetId="9" hidden="1">'Rio Grande_MoFurnas_Ch-perfeita'!$C$12</definedName>
    <definedName name="solver_lhs13" localSheetId="10" hidden="1">'Rio Grande_MoFurnas_Teste2013'!$D$12</definedName>
    <definedName name="solver_lhs14" localSheetId="4" hidden="1">Operacional_10_dias!#REF!</definedName>
    <definedName name="solver_lhs14" localSheetId="5" hidden="1">Operacional_15_dias!#REF!</definedName>
    <definedName name="solver_lhs14" localSheetId="6" hidden="1">Operacional_9_meses!#REF!</definedName>
    <definedName name="solver_lhs14" localSheetId="9" hidden="1">'Rio Grande_MoFurnas_Ch-perfeita'!$C$12</definedName>
    <definedName name="solver_lhs14" localSheetId="10" hidden="1">'Rio Grande_MoFurnas_Teste2013'!$D$12</definedName>
    <definedName name="solver_lhs15" localSheetId="4" hidden="1">Operacional_10_dias!#REF!</definedName>
    <definedName name="solver_lhs15" localSheetId="5" hidden="1">Operacional_15_dias!#REF!</definedName>
    <definedName name="solver_lhs15" localSheetId="6" hidden="1">Operacional_9_meses!#REF!</definedName>
    <definedName name="solver_lhs15" localSheetId="9" hidden="1">'Rio Grande_MoFurnas_Ch-perfeita'!$H$12</definedName>
    <definedName name="solver_lhs15" localSheetId="10" hidden="1">'Rio Grande_MoFurnas_Teste2013'!$I$12</definedName>
    <definedName name="solver_lhs16" localSheetId="4" hidden="1">Operacional_10_dias!#REF!</definedName>
    <definedName name="solver_lhs16" localSheetId="5" hidden="1">Operacional_15_dias!#REF!</definedName>
    <definedName name="solver_lhs16" localSheetId="6" hidden="1">Operacional_9_meses!#REF!</definedName>
    <definedName name="solver_lhs16" localSheetId="9" hidden="1">'Rio Grande_MoFurnas_Ch-perfeita'!$I$12</definedName>
    <definedName name="solver_lhs16" localSheetId="10" hidden="1">'Rio Grande_MoFurnas_Teste2013'!$J$12</definedName>
    <definedName name="solver_lhs17" localSheetId="4" hidden="1">Operacional_10_dias!#REF!</definedName>
    <definedName name="solver_lhs17" localSheetId="5" hidden="1">Operacional_15_dias!#REF!</definedName>
    <definedName name="solver_lhs17" localSheetId="6" hidden="1">Operacional_9_meses!#REF!</definedName>
    <definedName name="solver_lhs17" localSheetId="9" hidden="1">'Rio Grande_MoFurnas_Ch-perfeita'!$I$12</definedName>
    <definedName name="solver_lhs17" localSheetId="10" hidden="1">'Rio Grande_MoFurnas_Teste2013'!$J$12</definedName>
    <definedName name="solver_lhs18" localSheetId="4" hidden="1">Operacional_10_dias!#REF!</definedName>
    <definedName name="solver_lhs18" localSheetId="5" hidden="1">Operacional_15_dias!#REF!</definedName>
    <definedName name="solver_lhs18" localSheetId="6" hidden="1">Operacional_9_meses!#REF!</definedName>
    <definedName name="solver_lhs18" localSheetId="9" hidden="1">'Rio Grande_MoFurnas_Ch-perfeita'!$I$12</definedName>
    <definedName name="solver_lhs18" localSheetId="10" hidden="1">'Rio Grande_MoFurnas_Teste2013'!$J$12</definedName>
    <definedName name="solver_lhs19" localSheetId="4" hidden="1">Operacional_10_dias!$I$17:$Z$17</definedName>
    <definedName name="solver_lhs19" localSheetId="5" hidden="1">Operacional_15_dias!$I$17:$Z$17</definedName>
    <definedName name="solver_lhs19" localSheetId="6" hidden="1">Operacional_9_meses!$I$17:$Z$17</definedName>
    <definedName name="solver_lhs19" localSheetId="9" hidden="1">'Rio Grande_MoFurnas_Ch-perfeita'!$I$12</definedName>
    <definedName name="solver_lhs19" localSheetId="10" hidden="1">'Rio Grande_MoFurnas_Teste2013'!$J$12</definedName>
    <definedName name="solver_lhs2" localSheetId="4" hidden="1">Operacional_10_dias!$BE$24:$BE$52</definedName>
    <definedName name="solver_lhs2" localSheetId="5" hidden="1">Operacional_15_dias!#REF!</definedName>
    <definedName name="solver_lhs2" localSheetId="6" hidden="1">Operacional_9_meses!#REF!</definedName>
    <definedName name="solver_lhs2" localSheetId="9" hidden="1">'Rio Grande_MoFurnas_Ch-perfeita'!$V$10</definedName>
    <definedName name="solver_lhs2" localSheetId="10" hidden="1">'Rio Grande_MoFurnas_Teste2013'!$X$3:$X$6</definedName>
    <definedName name="solver_lhs20" localSheetId="4" hidden="1">Operacional_10_dias!#REF!</definedName>
    <definedName name="solver_lhs20" localSheetId="5" hidden="1">Operacional_15_dias!#REF!</definedName>
    <definedName name="solver_lhs20" localSheetId="6" hidden="1">Operacional_9_meses!#REF!</definedName>
    <definedName name="solver_lhs20" localSheetId="9" hidden="1">'Rio Grande_MoFurnas_Ch-perfeita'!$C$12:$Q$12</definedName>
    <definedName name="solver_lhs20" localSheetId="10" hidden="1">'Rio Grande_MoFurnas_Teste2013'!$D$12:$R$12</definedName>
    <definedName name="solver_lhs21" localSheetId="4" hidden="1">Operacional_10_dias!#REF!</definedName>
    <definedName name="solver_lhs21" localSheetId="5" hidden="1">Operacional_15_dias!#REF!</definedName>
    <definedName name="solver_lhs21" localSheetId="6" hidden="1">Operacional_9_meses!#REF!</definedName>
    <definedName name="solver_lhs21" localSheetId="9" hidden="1">'Rio Grande_MoFurnas_Ch-perfeita'!$C$12:$Q$12</definedName>
    <definedName name="solver_lhs21" localSheetId="10" hidden="1">'Rio Grande_MoFurnas_Teste2013'!$D$12:$R$12</definedName>
    <definedName name="solver_lhs22" localSheetId="4" hidden="1">Operacional_10_dias!$I$17:$Z$17</definedName>
    <definedName name="solver_lhs22" localSheetId="5" hidden="1">Operacional_15_dias!$I$17:$Z$17</definedName>
    <definedName name="solver_lhs22" localSheetId="6" hidden="1">Operacional_9_meses!$I$17:$Z$17</definedName>
    <definedName name="solver_lhs22" localSheetId="9" hidden="1">'Rio Grande_MoFurnas_Ch-perfeita'!$C$12</definedName>
    <definedName name="solver_lhs22" localSheetId="10" hidden="1">'Rio Grande_MoFurnas_Teste2013'!$D$12</definedName>
    <definedName name="solver_lhs23" localSheetId="4" hidden="1">Operacional_10_dias!$O$1</definedName>
    <definedName name="solver_lhs23" localSheetId="5" hidden="1">Operacional_15_dias!$O$1</definedName>
    <definedName name="solver_lhs23" localSheetId="6" hidden="1">Operacional_9_meses!$O$1</definedName>
    <definedName name="solver_lhs23" localSheetId="9" hidden="1">'Rio Grande_MoFurnas_Ch-perfeita'!$I$12</definedName>
    <definedName name="solver_lhs23" localSheetId="10" hidden="1">'Rio Grande_MoFurnas_Teste2013'!$J$12</definedName>
    <definedName name="solver_lhs24" localSheetId="4" hidden="1">Operacional_10_dias!$W$1</definedName>
    <definedName name="solver_lhs24" localSheetId="5" hidden="1">Operacional_15_dias!$W$1</definedName>
    <definedName name="solver_lhs24" localSheetId="6" hidden="1">Operacional_9_meses!$W$1</definedName>
    <definedName name="solver_lhs24" localSheetId="9" hidden="1">'Rio Grande_MoFurnas_Ch-perfeita'!$N$12</definedName>
    <definedName name="solver_lhs24" localSheetId="10" hidden="1">'Rio Grande_MoFurnas_Teste2013'!$O$12</definedName>
    <definedName name="solver_lhs25" localSheetId="4" hidden="1">Operacional_10_dias!$X$1</definedName>
    <definedName name="solver_lhs25" localSheetId="5" hidden="1">Operacional_15_dias!$X$1</definedName>
    <definedName name="solver_lhs25" localSheetId="6" hidden="1">Operacional_9_meses!$X$1</definedName>
    <definedName name="solver_lhs25" localSheetId="9" hidden="1">'Rio Grande_MoFurnas_Ch-perfeita'!$O$12</definedName>
    <definedName name="solver_lhs25" localSheetId="10" hidden="1">'Rio Grande_MoFurnas_Teste2013'!$P$12</definedName>
    <definedName name="solver_lhs26" localSheetId="4" hidden="1">Operacional_10_dias!$N$7:$R$7</definedName>
    <definedName name="solver_lhs26" localSheetId="5" hidden="1">Operacional_15_dias!$N$7:$R$7</definedName>
    <definedName name="solver_lhs26" localSheetId="6" hidden="1">Operacional_9_meses!$N$7:$R$7</definedName>
    <definedName name="solver_lhs26" localSheetId="9" hidden="1">'Rio Grande_MoFurnas_Ch-perfeita'!$H$5:$L$5</definedName>
    <definedName name="solver_lhs26" localSheetId="10" hidden="1">'Rio Grande_MoFurnas_Teste2013'!$I$5:$M$5</definedName>
    <definedName name="solver_lhs27" localSheetId="4" hidden="1">Operacional_10_dias!$I$1:$Z$1</definedName>
    <definedName name="solver_lhs27" localSheetId="5" hidden="1">Operacional_15_dias!$I$1:$Z$1</definedName>
    <definedName name="solver_lhs27" localSheetId="6" hidden="1">Operacional_9_meses!$I$1:$Z$1</definedName>
    <definedName name="solver_lhs27" localSheetId="9" hidden="1">'Rio Grande_MoFurnas_Ch-perfeita'!$C$12:$Q$12</definedName>
    <definedName name="solver_lhs27" localSheetId="10" hidden="1">'Rio Grande_MoFurnas_Teste2013'!$D$12:$R$12</definedName>
    <definedName name="solver_lhs28" localSheetId="4" hidden="1">Operacional_10_dias!#REF!</definedName>
    <definedName name="solver_lhs28" localSheetId="5" hidden="1">Operacional_15_dias!#REF!</definedName>
    <definedName name="solver_lhs28" localSheetId="6" hidden="1">Operacional_9_meses!#REF!</definedName>
    <definedName name="solver_lhs28" localSheetId="9" hidden="1">'Rio Grande_MoFurnas_Ch-perfeita'!#REF!</definedName>
    <definedName name="solver_lhs28" localSheetId="10" hidden="1">'Rio Grande_MoFurnas_Teste2013'!#REF!</definedName>
    <definedName name="solver_lhs29" localSheetId="4" hidden="1">Operacional_10_dias!$O$1</definedName>
    <definedName name="solver_lhs29" localSheetId="5" hidden="1">Operacional_15_dias!$O$1</definedName>
    <definedName name="solver_lhs29" localSheetId="6" hidden="1">Operacional_9_meses!$O$1</definedName>
    <definedName name="solver_lhs29" localSheetId="9" hidden="1">'Rio Grande_MoFurnas_Ch-perfeita'!$I$12</definedName>
    <definedName name="solver_lhs29" localSheetId="10" hidden="1">'Rio Grande_MoFurnas_Teste2013'!$J$12</definedName>
    <definedName name="solver_lhs3" localSheetId="4" hidden="1">Operacional_10_dias!$BE$24:$BE$52</definedName>
    <definedName name="solver_lhs3" localSheetId="5" hidden="1">Operacional_15_dias!$BE$24:$BE$53</definedName>
    <definedName name="solver_lhs3" localSheetId="6" hidden="1">Operacional_9_meses!$BE$24:$BE$53</definedName>
    <definedName name="solver_lhs3" localSheetId="9" hidden="1">'Rio Grande_MoFurnas_Ch-perfeita'!$W$3:$W$6</definedName>
    <definedName name="solver_lhs3" localSheetId="10" hidden="1">'Rio Grande_MoFurnas_Teste2013'!$W$10</definedName>
    <definedName name="solver_lhs30" localSheetId="4" hidden="1">Operacional_10_dias!$X$1</definedName>
    <definedName name="solver_lhs30" localSheetId="5" hidden="1">Operacional_15_dias!$X$1</definedName>
    <definedName name="solver_lhs30" localSheetId="6" hidden="1">Operacional_9_meses!$X$1</definedName>
    <definedName name="solver_lhs30" localSheetId="9" hidden="1">'Rio Grande_MoFurnas_Ch-perfeita'!$O$12</definedName>
    <definedName name="solver_lhs30" localSheetId="10" hidden="1">'Rio Grande_MoFurnas_Teste2013'!$P$12</definedName>
    <definedName name="solver_lhs4" localSheetId="4" hidden="1">Operacional_10_dias!$Y$4</definedName>
    <definedName name="solver_lhs4" localSheetId="5" hidden="1">Operacional_15_dias!$BE$24:$BE$53</definedName>
    <definedName name="solver_lhs4" localSheetId="6" hidden="1">Operacional_9_meses!$BE$24:$BE$53</definedName>
    <definedName name="solver_lhs4" localSheetId="9" hidden="1">'Rio Grande_MoFurnas_Ch-perfeita'!$W$3:$W$6</definedName>
    <definedName name="solver_lhs4" localSheetId="10" hidden="1">'Rio Grande_MoFurnas_Teste2013'!$W$10</definedName>
    <definedName name="solver_lhs5" localSheetId="4" hidden="1">Operacional_10_dias!$Y$4</definedName>
    <definedName name="solver_lhs5" localSheetId="5" hidden="1">Operacional_15_dias!$BH$24:$BH$53</definedName>
    <definedName name="solver_lhs5" localSheetId="6" hidden="1">Operacional_9_meses!$BH$24:$BH$53</definedName>
    <definedName name="solver_lhs5" localSheetId="9" hidden="1">'Rio Grande_MoFurnas_Ch-perfeita'!$S$12</definedName>
    <definedName name="solver_lhs5" localSheetId="10" hidden="1">'Rio Grande_MoFurnas_Teste2013'!$T$12</definedName>
    <definedName name="solver_lhs6" localSheetId="4" hidden="1">Operacional_10_dias!$Y$5</definedName>
    <definedName name="solver_lhs6" localSheetId="5" hidden="1">Operacional_15_dias!$BH$24:$BH$53</definedName>
    <definedName name="solver_lhs6" localSheetId="6" hidden="1">Operacional_9_meses!$BH$24:$BH$53</definedName>
    <definedName name="solver_lhs6" localSheetId="9" hidden="1">'Rio Grande_MoFurnas_Ch-perfeita'!$Q$3</definedName>
    <definedName name="solver_lhs6" localSheetId="10" hidden="1">'Rio Grande_MoFurnas_Teste2013'!$D$12:$R$12</definedName>
    <definedName name="solver_lhs7" localSheetId="4" hidden="1">Operacional_10_dias!$I$17:$Z$17</definedName>
    <definedName name="solver_lhs7" localSheetId="5" hidden="1">Operacional_15_dias!$I$17:$Z$17</definedName>
    <definedName name="solver_lhs7" localSheetId="6" hidden="1">Operacional_9_meses!$I$17:$Z$17</definedName>
    <definedName name="solver_lhs7" localSheetId="9" hidden="1">'Rio Grande_MoFurnas_Ch-perfeita'!$Q$3</definedName>
    <definedName name="solver_lhs7" localSheetId="10" hidden="1">'Rio Grande_MoFurnas_Teste2013'!$D$12:$R$12</definedName>
    <definedName name="solver_lhs8" localSheetId="4" hidden="1">Operacional_10_dias!#REF!</definedName>
    <definedName name="solver_lhs8" localSheetId="5" hidden="1">Operacional_15_dias!#REF!</definedName>
    <definedName name="solver_lhs8" localSheetId="6" hidden="1">Operacional_9_meses!#REF!</definedName>
    <definedName name="solver_lhs8" localSheetId="9" hidden="1">'Rio Grande_MoFurnas_Ch-perfeita'!$C$12:$Q$12</definedName>
    <definedName name="solver_lhs8" localSheetId="10" hidden="1">'Rio Grande_MoFurnas_Teste2013'!$I$5:$M$5</definedName>
    <definedName name="solver_lhs9" localSheetId="4" hidden="1">Operacional_10_dias!#REF!</definedName>
    <definedName name="solver_lhs9" localSheetId="5" hidden="1">Operacional_15_dias!#REF!</definedName>
    <definedName name="solver_lhs9" localSheetId="6" hidden="1">Operacional_9_meses!#REF!</definedName>
    <definedName name="solver_lhs9" localSheetId="9" hidden="1">'Rio Grande_MoFurnas_Ch-perfeita'!$H$5:$L$5</definedName>
    <definedName name="solver_lhs9" localSheetId="10" hidden="1">'Rio Grande_MoFurnas_Teste2013'!$O$5</definedName>
    <definedName name="solver_lin" localSheetId="4" hidden="1">2</definedName>
    <definedName name="solver_lin" localSheetId="5" hidden="1">2</definedName>
    <definedName name="solver_lin" localSheetId="6" hidden="1">2</definedName>
    <definedName name="solver_lin" localSheetId="9" hidden="1">2</definedName>
    <definedName name="solver_lin" localSheetId="10" hidden="1">2</definedName>
    <definedName name="solver_mip" localSheetId="4" hidden="1">2147483647</definedName>
    <definedName name="solver_mip" localSheetId="5" hidden="1">2147483647</definedName>
    <definedName name="solver_mip" localSheetId="6" hidden="1">2147483647</definedName>
    <definedName name="solver_mip" localSheetId="9" hidden="1">2147483647</definedName>
    <definedName name="solver_mip" localSheetId="10" hidden="1">2147483647</definedName>
    <definedName name="solver_mni" localSheetId="4" hidden="1">30</definedName>
    <definedName name="solver_mni" localSheetId="5" hidden="1">30</definedName>
    <definedName name="solver_mni" localSheetId="6" hidden="1">30</definedName>
    <definedName name="solver_mni" localSheetId="9" hidden="1">30</definedName>
    <definedName name="solver_mni" localSheetId="10" hidden="1">30</definedName>
    <definedName name="solver_mrt" localSheetId="4" hidden="1">0.075</definedName>
    <definedName name="solver_mrt" localSheetId="5" hidden="1">0.075</definedName>
    <definedName name="solver_mrt" localSheetId="6" hidden="1">0.075</definedName>
    <definedName name="solver_mrt" localSheetId="9" hidden="1">0.075</definedName>
    <definedName name="solver_mrt" localSheetId="10" hidden="1">0.075</definedName>
    <definedName name="solver_msl" localSheetId="4" hidden="1">2</definedName>
    <definedName name="solver_msl" localSheetId="5" hidden="1">2</definedName>
    <definedName name="solver_msl" localSheetId="6" hidden="1">2</definedName>
    <definedName name="solver_msl" localSheetId="9" hidden="1">2</definedName>
    <definedName name="solver_msl" localSheetId="10" hidden="1">2</definedName>
    <definedName name="solver_neg" localSheetId="0" hidden="1">1</definedName>
    <definedName name="solver_neg" localSheetId="4" hidden="1">1</definedName>
    <definedName name="solver_neg" localSheetId="5" hidden="1">1</definedName>
    <definedName name="solver_neg" localSheetId="6" hidden="1">1</definedName>
    <definedName name="solver_neg" localSheetId="9" hidden="1">1</definedName>
    <definedName name="solver_neg" localSheetId="10" hidden="1">1</definedName>
    <definedName name="solver_nod" localSheetId="4" hidden="1">2147483647</definedName>
    <definedName name="solver_nod" localSheetId="5" hidden="1">2147483647</definedName>
    <definedName name="solver_nod" localSheetId="6" hidden="1">2147483647</definedName>
    <definedName name="solver_nod" localSheetId="9" hidden="1">2147483647</definedName>
    <definedName name="solver_nod" localSheetId="10" hidden="1">2147483647</definedName>
    <definedName name="solver_num" localSheetId="0" hidden="1">0</definedName>
    <definedName name="solver_num" localSheetId="4" hidden="1">6</definedName>
    <definedName name="solver_num" localSheetId="5" hidden="1">6</definedName>
    <definedName name="solver_num" localSheetId="6" hidden="1">6</definedName>
    <definedName name="solver_num" localSheetId="9" hidden="1">10</definedName>
    <definedName name="solver_num" localSheetId="10" hidden="1">9</definedName>
    <definedName name="solver_nwt" localSheetId="4" hidden="1">1</definedName>
    <definedName name="solver_nwt" localSheetId="5" hidden="1">1</definedName>
    <definedName name="solver_nwt" localSheetId="6" hidden="1">1</definedName>
    <definedName name="solver_nwt" localSheetId="9" hidden="1">1</definedName>
    <definedName name="solver_nwt" localSheetId="10" hidden="1">1</definedName>
    <definedName name="solver_opt" localSheetId="0" hidden="1">Botoes!$A$1</definedName>
    <definedName name="solver_opt" localSheetId="4" hidden="1">Operacional_10_dias!$C$2</definedName>
    <definedName name="solver_opt" localSheetId="5" hidden="1">Operacional_15_dias!$C$2</definedName>
    <definedName name="solver_opt" localSheetId="6" hidden="1">Operacional_9_meses!$C$2</definedName>
    <definedName name="solver_opt" localSheetId="9" hidden="1">'Rio Grande_MoFurnas_Ch-perfeita'!$AF$2</definedName>
    <definedName name="solver_opt" localSheetId="10" hidden="1">'Rio Grande_MoFurnas_Teste2013'!$AG$2</definedName>
    <definedName name="solver_pre" localSheetId="4" hidden="1">0.000001</definedName>
    <definedName name="solver_pre" localSheetId="5" hidden="1">0.000001</definedName>
    <definedName name="solver_pre" localSheetId="6" hidden="1">0.000001</definedName>
    <definedName name="solver_pre" localSheetId="9" hidden="1">0.000001</definedName>
    <definedName name="solver_pre" localSheetId="10" hidden="1">0.000001</definedName>
    <definedName name="solver_rbv" localSheetId="4" hidden="1">1</definedName>
    <definedName name="solver_rbv" localSheetId="5" hidden="1">1</definedName>
    <definedName name="solver_rbv" localSheetId="6" hidden="1">1</definedName>
    <definedName name="solver_rbv" localSheetId="9" hidden="1">1</definedName>
    <definedName name="solver_rbv" localSheetId="10" hidden="1">1</definedName>
    <definedName name="solver_rel0" localSheetId="4" hidden="1">3</definedName>
    <definedName name="solver_rel1" localSheetId="4" hidden="1">3</definedName>
    <definedName name="solver_rel1" localSheetId="5" hidden="1">3</definedName>
    <definedName name="solver_rel1" localSheetId="6" hidden="1">3</definedName>
    <definedName name="solver_rel1" localSheetId="9" hidden="1">1</definedName>
    <definedName name="solver_rel1" localSheetId="10" hidden="1">1</definedName>
    <definedName name="solver_rel10" localSheetId="4" hidden="1">3</definedName>
    <definedName name="solver_rel10" localSheetId="5" hidden="1">3</definedName>
    <definedName name="solver_rel10" localSheetId="6" hidden="1">3</definedName>
    <definedName name="solver_rel10" localSheetId="9" hidden="1">2</definedName>
    <definedName name="solver_rel10" localSheetId="10" hidden="1">3</definedName>
    <definedName name="solver_rel11" localSheetId="4" hidden="1">1</definedName>
    <definedName name="solver_rel11" localSheetId="5" hidden="1">1</definedName>
    <definedName name="solver_rel11" localSheetId="6" hidden="1">1</definedName>
    <definedName name="solver_rel11" localSheetId="9" hidden="1">2</definedName>
    <definedName name="solver_rel11" localSheetId="10" hidden="1">3</definedName>
    <definedName name="solver_rel12" localSheetId="4" hidden="1">2</definedName>
    <definedName name="solver_rel12" localSheetId="5" hidden="1">2</definedName>
    <definedName name="solver_rel12" localSheetId="6" hidden="1">2</definedName>
    <definedName name="solver_rel12" localSheetId="9" hidden="1">3</definedName>
    <definedName name="solver_rel12" localSheetId="10" hidden="1">3</definedName>
    <definedName name="solver_rel13" localSheetId="4" hidden="1">2</definedName>
    <definedName name="solver_rel13" localSheetId="5" hidden="1">2</definedName>
    <definedName name="solver_rel13" localSheetId="6" hidden="1">2</definedName>
    <definedName name="solver_rel13" localSheetId="9" hidden="1">3</definedName>
    <definedName name="solver_rel13" localSheetId="10" hidden="1">3</definedName>
    <definedName name="solver_rel14" localSheetId="4" hidden="1">1</definedName>
    <definedName name="solver_rel14" localSheetId="5" hidden="1">1</definedName>
    <definedName name="solver_rel14" localSheetId="6" hidden="1">1</definedName>
    <definedName name="solver_rel14" localSheetId="9" hidden="1">3</definedName>
    <definedName name="solver_rel14" localSheetId="10" hidden="1">3</definedName>
    <definedName name="solver_rel15" localSheetId="4" hidden="1">3</definedName>
    <definedName name="solver_rel15" localSheetId="5" hidden="1">3</definedName>
    <definedName name="solver_rel15" localSheetId="6" hidden="1">3</definedName>
    <definedName name="solver_rel15" localSheetId="9" hidden="1">3</definedName>
    <definedName name="solver_rel15" localSheetId="10" hidden="1">3</definedName>
    <definedName name="solver_rel16" localSheetId="4" hidden="1">1</definedName>
    <definedName name="solver_rel16" localSheetId="5" hidden="1">1</definedName>
    <definedName name="solver_rel16" localSheetId="6" hidden="1">1</definedName>
    <definedName name="solver_rel16" localSheetId="9" hidden="1">3</definedName>
    <definedName name="solver_rel16" localSheetId="10" hidden="1">3</definedName>
    <definedName name="solver_rel17" localSheetId="4" hidden="1">1</definedName>
    <definedName name="solver_rel17" localSheetId="5" hidden="1">1</definedName>
    <definedName name="solver_rel17" localSheetId="6" hidden="1">1</definedName>
    <definedName name="solver_rel17" localSheetId="9" hidden="1">3</definedName>
    <definedName name="solver_rel17" localSheetId="10" hidden="1">3</definedName>
    <definedName name="solver_rel18" localSheetId="4" hidden="1">1</definedName>
    <definedName name="solver_rel18" localSheetId="5" hidden="1">1</definedName>
    <definedName name="solver_rel18" localSheetId="6" hidden="1">1</definedName>
    <definedName name="solver_rel18" localSheetId="9" hidden="1">3</definedName>
    <definedName name="solver_rel18" localSheetId="10" hidden="1">3</definedName>
    <definedName name="solver_rel19" localSheetId="4" hidden="1">1</definedName>
    <definedName name="solver_rel19" localSheetId="5" hidden="1">1</definedName>
    <definedName name="solver_rel19" localSheetId="6" hidden="1">1</definedName>
    <definedName name="solver_rel19" localSheetId="9" hidden="1">3</definedName>
    <definedName name="solver_rel19" localSheetId="10" hidden="1">3</definedName>
    <definedName name="solver_rel2" localSheetId="4" hidden="1">1</definedName>
    <definedName name="solver_rel2" localSheetId="5" hidden="1">3</definedName>
    <definedName name="solver_rel2" localSheetId="6" hidden="1">3</definedName>
    <definedName name="solver_rel2" localSheetId="9" hidden="1">3</definedName>
    <definedName name="solver_rel2" localSheetId="10" hidden="1">3</definedName>
    <definedName name="solver_rel20" localSheetId="4" hidden="1">1</definedName>
    <definedName name="solver_rel20" localSheetId="5" hidden="1">1</definedName>
    <definedName name="solver_rel20" localSheetId="6" hidden="1">1</definedName>
    <definedName name="solver_rel20" localSheetId="9" hidden="1">3</definedName>
    <definedName name="solver_rel20" localSheetId="10" hidden="1">3</definedName>
    <definedName name="solver_rel21" localSheetId="4" hidden="1">3</definedName>
    <definedName name="solver_rel21" localSheetId="5" hidden="1">3</definedName>
    <definedName name="solver_rel21" localSheetId="6" hidden="1">3</definedName>
    <definedName name="solver_rel21" localSheetId="9" hidden="1">3</definedName>
    <definedName name="solver_rel21" localSheetId="10" hidden="1">3</definedName>
    <definedName name="solver_rel22" localSheetId="4" hidden="1">3</definedName>
    <definedName name="solver_rel22" localSheetId="5" hidden="1">3</definedName>
    <definedName name="solver_rel22" localSheetId="6" hidden="1">3</definedName>
    <definedName name="solver_rel22" localSheetId="9" hidden="1">3</definedName>
    <definedName name="solver_rel22" localSheetId="10" hidden="1">3</definedName>
    <definedName name="solver_rel23" localSheetId="4" hidden="1">3</definedName>
    <definedName name="solver_rel23" localSheetId="5" hidden="1">3</definedName>
    <definedName name="solver_rel23" localSheetId="6" hidden="1">3</definedName>
    <definedName name="solver_rel23" localSheetId="9" hidden="1">3</definedName>
    <definedName name="solver_rel23" localSheetId="10" hidden="1">3</definedName>
    <definedName name="solver_rel24" localSheetId="4" hidden="1">3</definedName>
    <definedName name="solver_rel24" localSheetId="5" hidden="1">3</definedName>
    <definedName name="solver_rel24" localSheetId="6" hidden="1">3</definedName>
    <definedName name="solver_rel24" localSheetId="9" hidden="1">3</definedName>
    <definedName name="solver_rel24" localSheetId="10" hidden="1">3</definedName>
    <definedName name="solver_rel25" localSheetId="4" hidden="1">3</definedName>
    <definedName name="solver_rel25" localSheetId="5" hidden="1">3</definedName>
    <definedName name="solver_rel25" localSheetId="6" hidden="1">3</definedName>
    <definedName name="solver_rel25" localSheetId="9" hidden="1">3</definedName>
    <definedName name="solver_rel25" localSheetId="10" hidden="1">3</definedName>
    <definedName name="solver_rel26" localSheetId="4" hidden="1">3</definedName>
    <definedName name="solver_rel26" localSheetId="5" hidden="1">3</definedName>
    <definedName name="solver_rel26" localSheetId="6" hidden="1">3</definedName>
    <definedName name="solver_rel26" localSheetId="9" hidden="1">3</definedName>
    <definedName name="solver_rel26" localSheetId="10" hidden="1">3</definedName>
    <definedName name="solver_rel27" localSheetId="4" hidden="1">3</definedName>
    <definedName name="solver_rel27" localSheetId="5" hidden="1">3</definedName>
    <definedName name="solver_rel27" localSheetId="6" hidden="1">3</definedName>
    <definedName name="solver_rel27" localSheetId="9" hidden="1">3</definedName>
    <definedName name="solver_rel27" localSheetId="10" hidden="1">3</definedName>
    <definedName name="solver_rel28" localSheetId="4" hidden="1">2</definedName>
    <definedName name="solver_rel28" localSheetId="5" hidden="1">2</definedName>
    <definedName name="solver_rel28" localSheetId="6" hidden="1">2</definedName>
    <definedName name="solver_rel28" localSheetId="9" hidden="1">2</definedName>
    <definedName name="solver_rel28" localSheetId="10" hidden="1">2</definedName>
    <definedName name="solver_rel29" localSheetId="4" hidden="1">3</definedName>
    <definedName name="solver_rel29" localSheetId="5" hidden="1">3</definedName>
    <definedName name="solver_rel29" localSheetId="6" hidden="1">3</definedName>
    <definedName name="solver_rel29" localSheetId="9" hidden="1">3</definedName>
    <definedName name="solver_rel29" localSheetId="10" hidden="1">3</definedName>
    <definedName name="solver_rel3" localSheetId="4" hidden="1">3</definedName>
    <definedName name="solver_rel3" localSheetId="5" hidden="1">1</definedName>
    <definedName name="solver_rel3" localSheetId="6" hidden="1">1</definedName>
    <definedName name="solver_rel3" localSheetId="9" hidden="1">1</definedName>
    <definedName name="solver_rel3" localSheetId="10" hidden="1">3</definedName>
    <definedName name="solver_rel30" localSheetId="4" hidden="1">3</definedName>
    <definedName name="solver_rel30" localSheetId="5" hidden="1">3</definedName>
    <definedName name="solver_rel30" localSheetId="6" hidden="1">3</definedName>
    <definedName name="solver_rel30" localSheetId="9" hidden="1">3</definedName>
    <definedName name="solver_rel30" localSheetId="10" hidden="1">3</definedName>
    <definedName name="solver_rel4" localSheetId="4" hidden="1">1</definedName>
    <definedName name="solver_rel4" localSheetId="5" hidden="1">3</definedName>
    <definedName name="solver_rel4" localSheetId="6" hidden="1">3</definedName>
    <definedName name="solver_rel4" localSheetId="9" hidden="1">3</definedName>
    <definedName name="solver_rel4" localSheetId="10" hidden="1">1</definedName>
    <definedName name="solver_rel5" localSheetId="4" hidden="1">3</definedName>
    <definedName name="solver_rel5" localSheetId="5" hidden="1">1</definedName>
    <definedName name="solver_rel5" localSheetId="6" hidden="1">1</definedName>
    <definedName name="solver_rel5" localSheetId="9" hidden="1">2</definedName>
    <definedName name="solver_rel5" localSheetId="10" hidden="1">2</definedName>
    <definedName name="solver_rel6" localSheetId="4" hidden="1">3</definedName>
    <definedName name="solver_rel6" localSheetId="5" hidden="1">3</definedName>
    <definedName name="solver_rel6" localSheetId="6" hidden="1">3</definedName>
    <definedName name="solver_rel6" localSheetId="9" hidden="1">3</definedName>
    <definedName name="solver_rel6" localSheetId="10" hidden="1">1</definedName>
    <definedName name="solver_rel7" localSheetId="4" hidden="1">1</definedName>
    <definedName name="solver_rel7" localSheetId="5" hidden="1">1</definedName>
    <definedName name="solver_rel7" localSheetId="6" hidden="1">1</definedName>
    <definedName name="solver_rel7" localSheetId="9" hidden="1">1</definedName>
    <definedName name="solver_rel7" localSheetId="10" hidden="1">3</definedName>
    <definedName name="solver_rel8" localSheetId="4" hidden="1">3</definedName>
    <definedName name="solver_rel8" localSheetId="5" hidden="1">3</definedName>
    <definedName name="solver_rel8" localSheetId="6" hidden="1">3</definedName>
    <definedName name="solver_rel8" localSheetId="9" hidden="1">1</definedName>
    <definedName name="solver_rel8" localSheetId="10" hidden="1">1</definedName>
    <definedName name="solver_rel9" localSheetId="4" hidden="1">1</definedName>
    <definedName name="solver_rel9" localSheetId="5" hidden="1">1</definedName>
    <definedName name="solver_rel9" localSheetId="6" hidden="1">1</definedName>
    <definedName name="solver_rel9" localSheetId="9" hidden="1">1</definedName>
    <definedName name="solver_rel9" localSheetId="10" hidden="1">2</definedName>
    <definedName name="solver_rhs0" localSheetId="4" hidden="1">Operacional_10_dias!$BI$24:$BI$53</definedName>
    <definedName name="solver_rhs1" localSheetId="4" hidden="1">0</definedName>
    <definedName name="solver_rhs1" localSheetId="5" hidden="1">0</definedName>
    <definedName name="solver_rhs1" localSheetId="6" hidden="1">0</definedName>
    <definedName name="solver_rhs1" localSheetId="9" hidden="1">1.2</definedName>
    <definedName name="solver_rhs1" localSheetId="10" hidden="1">'Rio Grande_MoFurnas_Teste2013'!$U$3:$U$6</definedName>
    <definedName name="solver_rhs10" localSheetId="4" hidden="1">Operacional_10_dias!#REF!</definedName>
    <definedName name="solver_rhs10" localSheetId="5" hidden="1">Operacional_15_dias!#REF!</definedName>
    <definedName name="solver_rhs10" localSheetId="6" hidden="1">Operacional_9_meses!#REF!</definedName>
    <definedName name="solver_rhs10" localSheetId="9" hidden="1">1</definedName>
    <definedName name="solver_rhs10" localSheetId="10" hidden="1">0</definedName>
    <definedName name="solver_rhs11" localSheetId="4" hidden="1">Operacional_10_dias!#REF!</definedName>
    <definedName name="solver_rhs11" localSheetId="5" hidden="1">Operacional_15_dias!#REF!</definedName>
    <definedName name="solver_rhs11" localSheetId="6" hidden="1">Operacional_9_meses!#REF!</definedName>
    <definedName name="solver_rhs11" localSheetId="9" hidden="1">1</definedName>
    <definedName name="solver_rhs11" localSheetId="10" hidden="1">0</definedName>
    <definedName name="solver_rhs12" localSheetId="4" hidden="1">1</definedName>
    <definedName name="solver_rhs12" localSheetId="5" hidden="1">1</definedName>
    <definedName name="solver_rhs12" localSheetId="6" hidden="1">1</definedName>
    <definedName name="solver_rhs12" localSheetId="9" hidden="1">0</definedName>
    <definedName name="solver_rhs12" localSheetId="10" hidden="1">0</definedName>
    <definedName name="solver_rhs13" localSheetId="4" hidden="1">1</definedName>
    <definedName name="solver_rhs13" localSheetId="5" hidden="1">1</definedName>
    <definedName name="solver_rhs13" localSheetId="6" hidden="1">1</definedName>
    <definedName name="solver_rhs13" localSheetId="9" hidden="1">0</definedName>
    <definedName name="solver_rhs13" localSheetId="10" hidden="1">0</definedName>
    <definedName name="solver_rhs14" localSheetId="4" hidden="1">Operacional_10_dias!#REF!</definedName>
    <definedName name="solver_rhs14" localSheetId="5" hidden="1">Operacional_15_dias!#REF!</definedName>
    <definedName name="solver_rhs14" localSheetId="6" hidden="1">Operacional_9_meses!#REF!</definedName>
    <definedName name="solver_rhs14" localSheetId="9" hidden="1">0</definedName>
    <definedName name="solver_rhs14" localSheetId="10" hidden="1">0</definedName>
    <definedName name="solver_rhs15" localSheetId="4" hidden="1">Operacional_10_dias!#REF!</definedName>
    <definedName name="solver_rhs15" localSheetId="5" hidden="1">Operacional_15_dias!#REF!</definedName>
    <definedName name="solver_rhs15" localSheetId="6" hidden="1">Operacional_9_meses!#REF!</definedName>
    <definedName name="solver_rhs15" localSheetId="9" hidden="1">0</definedName>
    <definedName name="solver_rhs15" localSheetId="10" hidden="1">0</definedName>
    <definedName name="solver_rhs16" localSheetId="4" hidden="1">Operacional_10_dias!#REF!</definedName>
    <definedName name="solver_rhs16" localSheetId="5" hidden="1">Operacional_15_dias!#REF!</definedName>
    <definedName name="solver_rhs16" localSheetId="6" hidden="1">Operacional_9_meses!#REF!</definedName>
    <definedName name="solver_rhs16" localSheetId="9" hidden="1">0</definedName>
    <definedName name="solver_rhs16" localSheetId="10" hidden="1">0</definedName>
    <definedName name="solver_rhs17" localSheetId="4" hidden="1">Operacional_10_dias!#REF!</definedName>
    <definedName name="solver_rhs17" localSheetId="5" hidden="1">Operacional_15_dias!#REF!</definedName>
    <definedName name="solver_rhs17" localSheetId="6" hidden="1">Operacional_9_meses!#REF!</definedName>
    <definedName name="solver_rhs17" localSheetId="9" hidden="1">0</definedName>
    <definedName name="solver_rhs17" localSheetId="10" hidden="1">0</definedName>
    <definedName name="solver_rhs18" localSheetId="4" hidden="1">Operacional_10_dias!#REF!</definedName>
    <definedName name="solver_rhs18" localSheetId="5" hidden="1">Operacional_15_dias!#REF!</definedName>
    <definedName name="solver_rhs18" localSheetId="6" hidden="1">Operacional_9_meses!#REF!</definedName>
    <definedName name="solver_rhs18" localSheetId="9" hidden="1">0</definedName>
    <definedName name="solver_rhs18" localSheetId="10" hidden="1">0</definedName>
    <definedName name="solver_rhs19" localSheetId="4" hidden="1">Operacional_10_dias!$I$2:$Z$2</definedName>
    <definedName name="solver_rhs19" localSheetId="5" hidden="1">Operacional_15_dias!$I$2:$Z$2</definedName>
    <definedName name="solver_rhs19" localSheetId="6" hidden="1">Operacional_9_meses!$I$2:$Z$2</definedName>
    <definedName name="solver_rhs19" localSheetId="9" hidden="1">0</definedName>
    <definedName name="solver_rhs19" localSheetId="10" hidden="1">0</definedName>
    <definedName name="solver_rhs2" localSheetId="4" hidden="1">Operacional_10_dias!$BG$24:$BG$52</definedName>
    <definedName name="solver_rhs2" localSheetId="5" hidden="1">0</definedName>
    <definedName name="solver_rhs2" localSheetId="6" hidden="1">0</definedName>
    <definedName name="solver_rhs2" localSheetId="9" hidden="1">0.8</definedName>
    <definedName name="solver_rhs2" localSheetId="10" hidden="1">'Rio Grande_MoFurnas_Teste2013'!$T$3:$T$6</definedName>
    <definedName name="solver_rhs20" localSheetId="4" hidden="1">Operacional_10_dias!#REF!</definedName>
    <definedName name="solver_rhs20" localSheetId="5" hidden="1">Operacional_15_dias!#REF!</definedName>
    <definedName name="solver_rhs20" localSheetId="6" hidden="1">Operacional_9_meses!#REF!</definedName>
    <definedName name="solver_rhs20" localSheetId="9" hidden="1">0.01</definedName>
    <definedName name="solver_rhs20" localSheetId="10" hidden="1">0.01</definedName>
    <definedName name="solver_rhs21" localSheetId="4" hidden="1">Operacional_10_dias!#REF!</definedName>
    <definedName name="solver_rhs21" localSheetId="5" hidden="1">Operacional_15_dias!#REF!</definedName>
    <definedName name="solver_rhs21" localSheetId="6" hidden="1">Operacional_9_meses!#REF!</definedName>
    <definedName name="solver_rhs21" localSheetId="9" hidden="1">0.01</definedName>
    <definedName name="solver_rhs21" localSheetId="10" hidden="1">0.01</definedName>
    <definedName name="solver_rhs22" localSheetId="4" hidden="1">Operacional_10_dias!$I$1:$Z$1</definedName>
    <definedName name="solver_rhs22" localSheetId="5" hidden="1">Operacional_15_dias!$I$1:$Z$1</definedName>
    <definedName name="solver_rhs22" localSheetId="6" hidden="1">Operacional_9_meses!$I$1:$Z$1</definedName>
    <definedName name="solver_rhs22" localSheetId="9" hidden="1">0</definedName>
    <definedName name="solver_rhs22" localSheetId="10" hidden="1">0</definedName>
    <definedName name="solver_rhs23" localSheetId="4" hidden="1">0</definedName>
    <definedName name="solver_rhs23" localSheetId="5" hidden="1">0</definedName>
    <definedName name="solver_rhs23" localSheetId="6" hidden="1">0</definedName>
    <definedName name="solver_rhs23" localSheetId="9" hidden="1">0</definedName>
    <definedName name="solver_rhs23" localSheetId="10" hidden="1">0</definedName>
    <definedName name="solver_rhs24" localSheetId="4" hidden="1">0</definedName>
    <definedName name="solver_rhs24" localSheetId="5" hidden="1">0</definedName>
    <definedName name="solver_rhs24" localSheetId="6" hidden="1">0</definedName>
    <definedName name="solver_rhs24" localSheetId="9" hidden="1">0</definedName>
    <definedName name="solver_rhs24" localSheetId="10" hidden="1">0</definedName>
    <definedName name="solver_rhs25" localSheetId="4" hidden="1">0.01</definedName>
    <definedName name="solver_rhs25" localSheetId="5" hidden="1">0.01</definedName>
    <definedName name="solver_rhs25" localSheetId="6" hidden="1">0.01</definedName>
    <definedName name="solver_rhs25" localSheetId="9" hidden="1">0.01</definedName>
    <definedName name="solver_rhs25" localSheetId="10" hidden="1">0.01</definedName>
    <definedName name="solver_rhs26" localSheetId="4" hidden="1">0.01</definedName>
    <definedName name="solver_rhs26" localSheetId="5" hidden="1">0.01</definedName>
    <definedName name="solver_rhs26" localSheetId="6" hidden="1">0.01</definedName>
    <definedName name="solver_rhs26" localSheetId="9" hidden="1">0.01</definedName>
    <definedName name="solver_rhs26" localSheetId="10" hidden="1">0.01</definedName>
    <definedName name="solver_rhs27" localSheetId="4" hidden="1">0.01</definedName>
    <definedName name="solver_rhs27" localSheetId="5" hidden="1">0.01</definedName>
    <definedName name="solver_rhs27" localSheetId="6" hidden="1">0.01</definedName>
    <definedName name="solver_rhs27" localSheetId="9" hidden="1">0.01</definedName>
    <definedName name="solver_rhs27" localSheetId="10" hidden="1">0.01</definedName>
    <definedName name="solver_rhs28" localSheetId="4" hidden="1">0</definedName>
    <definedName name="solver_rhs28" localSheetId="5" hidden="1">0</definedName>
    <definedName name="solver_rhs28" localSheetId="6" hidden="1">0</definedName>
    <definedName name="solver_rhs28" localSheetId="9" hidden="1">0</definedName>
    <definedName name="solver_rhs28" localSheetId="10" hidden="1">0</definedName>
    <definedName name="solver_rhs29" localSheetId="4" hidden="1">0</definedName>
    <definedName name="solver_rhs29" localSheetId="5" hidden="1">0</definedName>
    <definedName name="solver_rhs29" localSheetId="6" hidden="1">0</definedName>
    <definedName name="solver_rhs29" localSheetId="9" hidden="1">0</definedName>
    <definedName name="solver_rhs29" localSheetId="10" hidden="1">0</definedName>
    <definedName name="solver_rhs3" localSheetId="4" hidden="1">Operacional_10_dias!$BF$24:$BF$52</definedName>
    <definedName name="solver_rhs3" localSheetId="5" hidden="1">Operacional_15_dias!$BG$24:$BG$53</definedName>
    <definedName name="solver_rhs3" localSheetId="6" hidden="1">Operacional_9_meses!$BG$24:$BG$53</definedName>
    <definedName name="solver_rhs3" localSheetId="9" hidden="1">'Rio Grande_MoFurnas_Ch-perfeita'!$T$3:$T$6</definedName>
    <definedName name="solver_rhs3" localSheetId="10" hidden="1">0.8</definedName>
    <definedName name="solver_rhs30" localSheetId="4" hidden="1">0</definedName>
    <definedName name="solver_rhs30" localSheetId="5" hidden="1">0</definedName>
    <definedName name="solver_rhs30" localSheetId="6" hidden="1">0</definedName>
    <definedName name="solver_rhs30" localSheetId="9" hidden="1">0</definedName>
    <definedName name="solver_rhs30" localSheetId="10" hidden="1">0</definedName>
    <definedName name="solver_rhs4" localSheetId="4" hidden="1">100</definedName>
    <definedName name="solver_rhs4" localSheetId="5" hidden="1">Operacional_15_dias!$BF$24:$BF$53</definedName>
    <definedName name="solver_rhs4" localSheetId="6" hidden="1">Operacional_9_meses!$BF$24:$BF$53</definedName>
    <definedName name="solver_rhs4" localSheetId="9" hidden="1">'Rio Grande_MoFurnas_Ch-perfeita'!$S$3:$S$6</definedName>
    <definedName name="solver_rhs4" localSheetId="10" hidden="1">1.2</definedName>
    <definedName name="solver_rhs5" localSheetId="4" hidden="1">0</definedName>
    <definedName name="solver_rhs5" localSheetId="5" hidden="1">Operacional_15_dias!$BJ$24:$BJ$53</definedName>
    <definedName name="solver_rhs5" localSheetId="6" hidden="1">Operacional_9_meses!$BJ$24:$BJ$53</definedName>
    <definedName name="solver_rhs5" localSheetId="9" hidden="1">1</definedName>
    <definedName name="solver_rhs5" localSheetId="10" hidden="1">1</definedName>
    <definedName name="solver_rhs6" localSheetId="4" hidden="1">0</definedName>
    <definedName name="solver_rhs6" localSheetId="5" hidden="1">Operacional_15_dias!$BI$24:$BI$53</definedName>
    <definedName name="solver_rhs6" localSheetId="6" hidden="1">Operacional_9_meses!$BI$24:$BI$53</definedName>
    <definedName name="solver_rhs6" localSheetId="9" hidden="1">0.8</definedName>
    <definedName name="solver_rhs6" localSheetId="10" hidden="1">'Rio Grande_MoFurnas_Teste2013'!$D$13:$R$13</definedName>
    <definedName name="solver_rhs7" localSheetId="4" hidden="1">Operacional_10_dias!$I$1:$Z$1</definedName>
    <definedName name="solver_rhs7" localSheetId="5" hidden="1">Operacional_15_dias!$I$1:$Z$1</definedName>
    <definedName name="solver_rhs7" localSheetId="6" hidden="1">Operacional_9_meses!$I$1:$Z$1</definedName>
    <definedName name="solver_rhs7" localSheetId="9" hidden="1">1.2</definedName>
    <definedName name="solver_rhs7" localSheetId="10" hidden="1">0.03</definedName>
    <definedName name="solver_rhs8" localSheetId="4" hidden="1">Operacional_10_dias!#REF!</definedName>
    <definedName name="solver_rhs8" localSheetId="5" hidden="1">Operacional_15_dias!#REF!</definedName>
    <definedName name="solver_rhs8" localSheetId="6" hidden="1">Operacional_9_meses!#REF!</definedName>
    <definedName name="solver_rhs8" localSheetId="9" hidden="1">'Rio Grande_MoFurnas_Ch-perfeita'!$C$13:$Q$13</definedName>
    <definedName name="solver_rhs8" localSheetId="10" hidden="1">1</definedName>
    <definedName name="solver_rhs9" localSheetId="4" hidden="1">Operacional_10_dias!#REF!</definedName>
    <definedName name="solver_rhs9" localSheetId="5" hidden="1">Operacional_15_dias!#REF!</definedName>
    <definedName name="solver_rhs9" localSheetId="6" hidden="1">Operacional_9_meses!#REF!</definedName>
    <definedName name="solver_rhs9" localSheetId="9" hidden="1">1</definedName>
    <definedName name="solver_rhs9" localSheetId="10" hidden="1">1</definedName>
    <definedName name="solver_rlx" localSheetId="4" hidden="1">1</definedName>
    <definedName name="solver_rlx" localSheetId="5" hidden="1">1</definedName>
    <definedName name="solver_rlx" localSheetId="6" hidden="1">1</definedName>
    <definedName name="solver_rlx" localSheetId="9" hidden="1">1</definedName>
    <definedName name="solver_rlx" localSheetId="10" hidden="1">1</definedName>
    <definedName name="solver_rsd" localSheetId="4" hidden="1">0</definedName>
    <definedName name="solver_rsd" localSheetId="5" hidden="1">0</definedName>
    <definedName name="solver_rsd" localSheetId="6" hidden="1">0</definedName>
    <definedName name="solver_rsd" localSheetId="9" hidden="1">0</definedName>
    <definedName name="solver_rsd" localSheetId="10" hidden="1">0</definedName>
    <definedName name="solver_scl" localSheetId="4" hidden="1">2</definedName>
    <definedName name="solver_scl" localSheetId="5" hidden="1">2</definedName>
    <definedName name="solver_scl" localSheetId="6" hidden="1">2</definedName>
    <definedName name="solver_scl" localSheetId="9" hidden="1">2</definedName>
    <definedName name="solver_scl" localSheetId="10" hidden="1">2</definedName>
    <definedName name="solver_sho" localSheetId="4" hidden="1">2</definedName>
    <definedName name="solver_sho" localSheetId="5" hidden="1">2</definedName>
    <definedName name="solver_sho" localSheetId="6" hidden="1">2</definedName>
    <definedName name="solver_sho" localSheetId="9" hidden="1">2</definedName>
    <definedName name="solver_sho" localSheetId="10" hidden="1">2</definedName>
    <definedName name="solver_ssz" localSheetId="4" hidden="1">100</definedName>
    <definedName name="solver_ssz" localSheetId="5" hidden="1">100</definedName>
    <definedName name="solver_ssz" localSheetId="6" hidden="1">100</definedName>
    <definedName name="solver_ssz" localSheetId="9" hidden="1">100</definedName>
    <definedName name="solver_ssz" localSheetId="10" hidden="1">100</definedName>
    <definedName name="solver_tim" localSheetId="4" hidden="1">10000</definedName>
    <definedName name="solver_tim" localSheetId="5" hidden="1">10000</definedName>
    <definedName name="solver_tim" localSheetId="6" hidden="1">10000</definedName>
    <definedName name="solver_tim" localSheetId="9" hidden="1">10000</definedName>
    <definedName name="solver_tim" localSheetId="10" hidden="1">10000</definedName>
    <definedName name="solver_tol" localSheetId="4" hidden="1">5</definedName>
    <definedName name="solver_tol" localSheetId="5" hidden="1">5</definedName>
    <definedName name="solver_tol" localSheetId="6" hidden="1">5</definedName>
    <definedName name="solver_tol" localSheetId="9" hidden="1">0.05</definedName>
    <definedName name="solver_tol" localSheetId="10" hidden="1">0.05</definedName>
    <definedName name="solver_typ" localSheetId="0" hidden="1">1</definedName>
    <definedName name="solver_typ" localSheetId="4" hidden="1">1</definedName>
    <definedName name="solver_typ" localSheetId="5" hidden="1">1</definedName>
    <definedName name="solver_typ" localSheetId="6" hidden="1">1</definedName>
    <definedName name="solver_typ" localSheetId="9" hidden="1">1</definedName>
    <definedName name="solver_typ" localSheetId="10" hidden="1">1</definedName>
    <definedName name="solver_val" localSheetId="0" hidden="1">0</definedName>
    <definedName name="solver_val" localSheetId="4" hidden="1">0</definedName>
    <definedName name="solver_val" localSheetId="5" hidden="1">0</definedName>
    <definedName name="solver_val" localSheetId="6" hidden="1">0</definedName>
    <definedName name="solver_val" localSheetId="9" hidden="1">2</definedName>
    <definedName name="solver_val" localSheetId="10" hidden="1">2</definedName>
    <definedName name="solver_ver" localSheetId="0" hidden="1">3</definedName>
    <definedName name="solver_ver" localSheetId="4" hidden="1">3</definedName>
    <definedName name="solver_ver" localSheetId="5" hidden="1">3</definedName>
    <definedName name="solver_ver" localSheetId="6" hidden="1">3</definedName>
    <definedName name="solver_ver" localSheetId="9" hidden="1">3</definedName>
    <definedName name="solver_ver" localSheetId="10" hidden="1">3</definedName>
  </definedNames>
  <calcPr calcId="162913"/>
</workbook>
</file>

<file path=xl/calcChain.xml><?xml version="1.0" encoding="utf-8"?>
<calcChain xmlns="http://schemas.openxmlformats.org/spreadsheetml/2006/main">
  <c r="Y5" i="104" l="1"/>
  <c r="Y4" i="104"/>
  <c r="AI20" i="104"/>
  <c r="BN25" i="104"/>
  <c r="BN26" i="104"/>
  <c r="BN27" i="104"/>
  <c r="BN28" i="104"/>
  <c r="BN29" i="104"/>
  <c r="BN30" i="104"/>
  <c r="BN31" i="104"/>
  <c r="BN32" i="104"/>
  <c r="BN33" i="104"/>
  <c r="BN34" i="104"/>
  <c r="BN35" i="104"/>
  <c r="BN36" i="104"/>
  <c r="BN37" i="104"/>
  <c r="BN38" i="104"/>
  <c r="BN39" i="104"/>
  <c r="BN40" i="104"/>
  <c r="BN41" i="104"/>
  <c r="BN42" i="104"/>
  <c r="BN43" i="104"/>
  <c r="BN44" i="104"/>
  <c r="BN45" i="104"/>
  <c r="BN46" i="104"/>
  <c r="BN47" i="104"/>
  <c r="BN48" i="104"/>
  <c r="BN49" i="104"/>
  <c r="BN50" i="104"/>
  <c r="BN51" i="104"/>
  <c r="BN52" i="104"/>
  <c r="Z4" i="104"/>
  <c r="O5" i="104"/>
  <c r="O10" i="104"/>
  <c r="P10" i="104"/>
  <c r="A21" i="95"/>
  <c r="Y9" i="104"/>
  <c r="A53" i="104"/>
  <c r="A52" i="104"/>
  <c r="C8" i="95"/>
  <c r="D8" i="95"/>
  <c r="H52" i="104"/>
  <c r="A36" i="101"/>
  <c r="A35" i="101"/>
  <c r="O9" i="104"/>
  <c r="O7" i="104"/>
  <c r="O14" i="104"/>
  <c r="O13" i="104"/>
  <c r="O12" i="104"/>
  <c r="O12" i="118"/>
  <c r="B16" i="103"/>
  <c r="C273" i="116"/>
  <c r="C270" i="116"/>
  <c r="C267" i="116"/>
  <c r="C262" i="116"/>
  <c r="C259" i="116"/>
  <c r="C255" i="116"/>
  <c r="C254" i="116"/>
  <c r="C253" i="116"/>
  <c r="C252" i="116"/>
  <c r="C251" i="116"/>
  <c r="C250" i="116"/>
  <c r="C249" i="116"/>
  <c r="C248" i="116"/>
  <c r="C247" i="116"/>
  <c r="C246" i="116"/>
  <c r="C245" i="116"/>
  <c r="C244" i="116"/>
  <c r="C243" i="116"/>
  <c r="C242" i="116"/>
  <c r="C241" i="116"/>
  <c r="C240" i="116"/>
  <c r="C239" i="116"/>
  <c r="C238" i="116"/>
  <c r="C237" i="116"/>
  <c r="C236" i="116"/>
  <c r="C235" i="116"/>
  <c r="C234" i="116"/>
  <c r="C233" i="116"/>
  <c r="C232" i="116"/>
  <c r="C231" i="116"/>
  <c r="C230" i="116"/>
  <c r="C229" i="116"/>
  <c r="C228" i="116"/>
  <c r="C227" i="116"/>
  <c r="C226" i="116"/>
  <c r="C225" i="116"/>
  <c r="C224" i="116"/>
  <c r="C223" i="116"/>
  <c r="C222" i="116"/>
  <c r="C221" i="116"/>
  <c r="C220" i="116"/>
  <c r="C219" i="116"/>
  <c r="C218" i="116"/>
  <c r="C217" i="116"/>
  <c r="C216" i="116"/>
  <c r="C215" i="116"/>
  <c r="C214" i="116"/>
  <c r="C213" i="116"/>
  <c r="C212" i="116"/>
  <c r="C211" i="116"/>
  <c r="C210" i="116"/>
  <c r="C209" i="116"/>
  <c r="C208" i="116"/>
  <c r="C207" i="116"/>
  <c r="C206" i="116"/>
  <c r="C205" i="116"/>
  <c r="C204" i="116"/>
  <c r="C203" i="116"/>
  <c r="C202" i="116"/>
  <c r="C201" i="116"/>
  <c r="C200" i="116"/>
  <c r="C199" i="116"/>
  <c r="C198" i="116"/>
  <c r="C197" i="116"/>
  <c r="C196" i="116"/>
  <c r="C195" i="116"/>
  <c r="C194" i="116"/>
  <c r="C193" i="116"/>
  <c r="C192" i="116"/>
  <c r="C191" i="116"/>
  <c r="C190" i="116"/>
  <c r="C189" i="116"/>
  <c r="C188" i="116"/>
  <c r="C187" i="116"/>
  <c r="C186" i="116"/>
  <c r="C185" i="116"/>
  <c r="C184" i="116"/>
  <c r="C183" i="116"/>
  <c r="C182" i="116"/>
  <c r="C181" i="116"/>
  <c r="C180" i="116"/>
  <c r="C179" i="116"/>
  <c r="C178" i="116"/>
  <c r="C177" i="116"/>
  <c r="C176" i="116"/>
  <c r="C175" i="116"/>
  <c r="C174" i="116"/>
  <c r="C173" i="116"/>
  <c r="C172" i="116"/>
  <c r="C171" i="116"/>
  <c r="C170" i="116"/>
  <c r="C169" i="116"/>
  <c r="C168" i="116"/>
  <c r="C167" i="116"/>
  <c r="C166" i="116"/>
  <c r="C165" i="116"/>
  <c r="C164" i="116"/>
  <c r="C163" i="116"/>
  <c r="C162" i="116"/>
  <c r="C161" i="116"/>
  <c r="C160" i="116"/>
  <c r="C159" i="116"/>
  <c r="C158" i="116"/>
  <c r="C157" i="116"/>
  <c r="C156" i="116"/>
  <c r="C155" i="116"/>
  <c r="C154" i="116"/>
  <c r="C153" i="116"/>
  <c r="C152" i="116"/>
  <c r="C151" i="116"/>
  <c r="C150" i="116"/>
  <c r="C149" i="116"/>
  <c r="C148" i="116"/>
  <c r="C147" i="116"/>
  <c r="C146" i="116"/>
  <c r="C145" i="116"/>
  <c r="C144" i="116"/>
  <c r="C143" i="116"/>
  <c r="C142" i="116"/>
  <c r="C141" i="116"/>
  <c r="C140" i="116"/>
  <c r="C139" i="116"/>
  <c r="C138" i="116"/>
  <c r="C137" i="116"/>
  <c r="C136" i="116"/>
  <c r="C135" i="116"/>
  <c r="C134" i="116"/>
  <c r="C133" i="116"/>
  <c r="C132" i="116"/>
  <c r="C131" i="116"/>
  <c r="C130" i="116"/>
  <c r="C129" i="116"/>
  <c r="C128" i="116"/>
  <c r="C127" i="116"/>
  <c r="C126" i="116"/>
  <c r="C125" i="116"/>
  <c r="C124" i="116"/>
  <c r="C123" i="116"/>
  <c r="C122" i="116"/>
  <c r="C121" i="116"/>
  <c r="C120" i="116"/>
  <c r="C119" i="116"/>
  <c r="C118" i="116"/>
  <c r="C117" i="116"/>
  <c r="C116" i="116"/>
  <c r="C115" i="116"/>
  <c r="C114" i="116"/>
  <c r="C113" i="116"/>
  <c r="C112" i="116"/>
  <c r="C111" i="116"/>
  <c r="C110" i="116"/>
  <c r="C109" i="116"/>
  <c r="C108" i="116"/>
  <c r="C107" i="116"/>
  <c r="C106" i="116"/>
  <c r="C105" i="116"/>
  <c r="C104" i="116"/>
  <c r="C103" i="116"/>
  <c r="C102" i="116"/>
  <c r="C101" i="116"/>
  <c r="C100" i="116"/>
  <c r="C99" i="116"/>
  <c r="C98" i="116"/>
  <c r="C97" i="116"/>
  <c r="C96" i="116"/>
  <c r="C95" i="116"/>
  <c r="C94" i="116"/>
  <c r="C93" i="116"/>
  <c r="C92" i="116"/>
  <c r="C91" i="116"/>
  <c r="C90" i="116"/>
  <c r="C89" i="116"/>
  <c r="C88" i="116"/>
  <c r="C87" i="116"/>
  <c r="C86" i="116"/>
  <c r="C85" i="116"/>
  <c r="C84" i="116"/>
  <c r="C83" i="116"/>
  <c r="C82" i="116"/>
  <c r="C81" i="116"/>
  <c r="C80" i="116"/>
  <c r="C79" i="116"/>
  <c r="C78" i="116"/>
  <c r="C77" i="116"/>
  <c r="C76" i="116"/>
  <c r="C75" i="116"/>
  <c r="C74" i="116"/>
  <c r="C73" i="116"/>
  <c r="C72" i="116"/>
  <c r="C71" i="116"/>
  <c r="C70" i="116"/>
  <c r="C69" i="116"/>
  <c r="C68" i="116"/>
  <c r="C67" i="116"/>
  <c r="C66" i="116"/>
  <c r="C65" i="116"/>
  <c r="C64" i="116"/>
  <c r="C63" i="116"/>
  <c r="C62" i="116"/>
  <c r="C61" i="116"/>
  <c r="C60" i="116"/>
  <c r="C59" i="116"/>
  <c r="C58" i="116"/>
  <c r="C57" i="116"/>
  <c r="C56" i="116"/>
  <c r="C55" i="116"/>
  <c r="C54" i="116"/>
  <c r="C53" i="116"/>
  <c r="C52" i="116"/>
  <c r="C51" i="116"/>
  <c r="C50" i="116"/>
  <c r="C49" i="116"/>
  <c r="C48" i="116"/>
  <c r="C47" i="116"/>
  <c r="C46" i="116"/>
  <c r="C45" i="116"/>
  <c r="C44" i="116"/>
  <c r="C43" i="116"/>
  <c r="C42" i="116"/>
  <c r="C41" i="116"/>
  <c r="C40" i="116"/>
  <c r="C39" i="116"/>
  <c r="C38" i="116"/>
  <c r="C37" i="116"/>
  <c r="C36" i="116"/>
  <c r="C35" i="116"/>
  <c r="C34" i="116"/>
  <c r="C33" i="116"/>
  <c r="C32" i="116"/>
  <c r="C31" i="116"/>
  <c r="C30" i="116"/>
  <c r="C29" i="116"/>
  <c r="C28" i="116"/>
  <c r="C27" i="116"/>
  <c r="C26" i="116"/>
  <c r="C25" i="116"/>
  <c r="C24" i="116"/>
  <c r="C23" i="116"/>
  <c r="C22" i="116"/>
  <c r="C21" i="116"/>
  <c r="C20" i="116"/>
  <c r="C19" i="116"/>
  <c r="C18" i="116"/>
  <c r="C17" i="116"/>
  <c r="C16" i="116"/>
  <c r="C15" i="116"/>
  <c r="C14" i="116"/>
  <c r="C13" i="116"/>
  <c r="C12" i="116"/>
  <c r="C11" i="116"/>
  <c r="C10" i="116"/>
  <c r="C9" i="116"/>
  <c r="C8" i="116"/>
  <c r="C7" i="116"/>
  <c r="C6" i="116"/>
  <c r="C5" i="116"/>
  <c r="C4" i="116"/>
  <c r="C3" i="116"/>
  <c r="C2" i="116"/>
  <c r="C16" i="115"/>
  <c r="C15" i="115"/>
  <c r="C14" i="115"/>
  <c r="C13" i="115"/>
  <c r="C12" i="115"/>
  <c r="C11" i="115"/>
  <c r="C10" i="115"/>
  <c r="C9" i="115"/>
  <c r="C8" i="115"/>
  <c r="C7" i="115"/>
  <c r="C6" i="115"/>
  <c r="C5" i="115"/>
  <c r="C4" i="115"/>
  <c r="C3" i="115"/>
  <c r="C2" i="115"/>
  <c r="C3" i="114"/>
  <c r="C4" i="114"/>
  <c r="C5" i="114"/>
  <c r="C6" i="114"/>
  <c r="C7" i="114"/>
  <c r="C8" i="114"/>
  <c r="C9" i="114"/>
  <c r="C10" i="114"/>
  <c r="C11" i="114"/>
  <c r="C2" i="114"/>
  <c r="B15" i="103"/>
  <c r="Z17" i="104"/>
  <c r="Z17" i="118"/>
  <c r="Y17" i="104"/>
  <c r="X17" i="104"/>
  <c r="W17" i="104"/>
  <c r="V17" i="104"/>
  <c r="V17" i="118"/>
  <c r="U17" i="104"/>
  <c r="T17" i="104"/>
  <c r="S17" i="104"/>
  <c r="R17" i="104"/>
  <c r="R17" i="118"/>
  <c r="Q17" i="104"/>
  <c r="P17" i="104"/>
  <c r="O17" i="104"/>
  <c r="N17" i="104"/>
  <c r="N17" i="118"/>
  <c r="M17" i="104"/>
  <c r="L17" i="104"/>
  <c r="K17" i="104"/>
  <c r="J17" i="104"/>
  <c r="J17" i="118"/>
  <c r="I17" i="104"/>
  <c r="O11" i="104"/>
  <c r="O11" i="117"/>
  <c r="AG69" i="117"/>
  <c r="O11" i="118"/>
  <c r="C7" i="95"/>
  <c r="C9" i="95"/>
  <c r="C10" i="95"/>
  <c r="C11" i="95"/>
  <c r="C12" i="95"/>
  <c r="C13" i="95"/>
  <c r="C14" i="95"/>
  <c r="C15" i="95"/>
  <c r="C16" i="95"/>
  <c r="C17" i="95"/>
  <c r="C6" i="95"/>
  <c r="AG69" i="104"/>
  <c r="Y5" i="118"/>
  <c r="Y5" i="117"/>
  <c r="D6" i="95"/>
  <c r="D7" i="95"/>
  <c r="D9" i="95"/>
  <c r="D10" i="95"/>
  <c r="D11" i="95"/>
  <c r="D12" i="95"/>
  <c r="D13" i="95"/>
  <c r="D14" i="95"/>
  <c r="D15" i="95"/>
  <c r="D16" i="95"/>
  <c r="D17" i="95"/>
  <c r="BE25" i="118"/>
  <c r="BE26" i="118"/>
  <c r="BE27" i="118"/>
  <c r="BE28" i="118"/>
  <c r="BE29" i="118"/>
  <c r="BE30" i="118"/>
  <c r="BE31" i="118"/>
  <c r="BE32" i="118"/>
  <c r="BE33" i="118"/>
  <c r="BE34" i="118"/>
  <c r="BE35" i="118"/>
  <c r="BE36" i="118"/>
  <c r="BE37" i="118"/>
  <c r="BE38" i="118"/>
  <c r="BE39" i="118"/>
  <c r="BE40" i="118"/>
  <c r="BE41" i="118"/>
  <c r="BE42" i="118"/>
  <c r="BE43" i="118"/>
  <c r="BE44" i="118"/>
  <c r="BE45" i="118"/>
  <c r="BE46" i="118"/>
  <c r="BE47" i="118"/>
  <c r="BE48" i="118"/>
  <c r="BE49" i="118"/>
  <c r="BE50" i="118"/>
  <c r="BE51" i="118"/>
  <c r="BE52" i="118"/>
  <c r="BE24" i="118"/>
  <c r="BE25" i="117"/>
  <c r="BE26" i="117"/>
  <c r="BE27" i="117"/>
  <c r="BE28" i="117"/>
  <c r="BE29" i="117"/>
  <c r="BE30" i="117"/>
  <c r="BE31" i="117"/>
  <c r="BE32" i="117"/>
  <c r="BE33" i="117"/>
  <c r="BE34" i="117"/>
  <c r="BE35" i="117"/>
  <c r="BE36" i="117"/>
  <c r="BE37" i="117"/>
  <c r="BE38" i="117"/>
  <c r="BE39" i="117"/>
  <c r="BE40" i="117"/>
  <c r="BE41" i="117"/>
  <c r="BE42" i="117"/>
  <c r="BE43" i="117"/>
  <c r="BE44" i="117"/>
  <c r="BE45" i="117"/>
  <c r="BE46" i="117"/>
  <c r="BE47" i="117"/>
  <c r="BE48" i="117"/>
  <c r="BE49" i="117"/>
  <c r="BE50" i="117"/>
  <c r="BE51" i="117"/>
  <c r="BE52" i="117"/>
  <c r="BE24" i="117"/>
  <c r="A53" i="118"/>
  <c r="A53" i="117"/>
  <c r="A52" i="117"/>
  <c r="I17" i="118"/>
  <c r="I17" i="117"/>
  <c r="Y17" i="118"/>
  <c r="Y17" i="117"/>
  <c r="W17" i="118"/>
  <c r="W17" i="117"/>
  <c r="U17" i="118"/>
  <c r="U17" i="117"/>
  <c r="S17" i="118"/>
  <c r="S17" i="117"/>
  <c r="Q17" i="118"/>
  <c r="Q17" i="117"/>
  <c r="O17" i="118"/>
  <c r="O17" i="117"/>
  <c r="M17" i="118"/>
  <c r="M17" i="117"/>
  <c r="K17" i="118"/>
  <c r="K17" i="117"/>
  <c r="Z17" i="117"/>
  <c r="X17" i="117"/>
  <c r="X17" i="118"/>
  <c r="T17" i="117"/>
  <c r="T17" i="118"/>
  <c r="R17" i="117"/>
  <c r="P17" i="117"/>
  <c r="P17" i="118"/>
  <c r="L17" i="117"/>
  <c r="L17" i="118"/>
  <c r="J17" i="117"/>
  <c r="J9" i="104"/>
  <c r="J8" i="104"/>
  <c r="J7" i="104"/>
  <c r="J6" i="104"/>
  <c r="J5" i="104"/>
  <c r="O8" i="104"/>
  <c r="O6" i="104"/>
  <c r="C36" i="41"/>
  <c r="S36" i="41"/>
  <c r="C35" i="41"/>
  <c r="S35" i="41"/>
  <c r="B35" i="41"/>
  <c r="C34" i="41"/>
  <c r="S34" i="41"/>
  <c r="B34" i="41"/>
  <c r="C33" i="41"/>
  <c r="B33" i="41"/>
  <c r="C32" i="41"/>
  <c r="S32" i="41"/>
  <c r="B32" i="41"/>
  <c r="C31" i="41"/>
  <c r="S31" i="41"/>
  <c r="B31" i="41"/>
  <c r="C30" i="41"/>
  <c r="S30" i="41"/>
  <c r="B30" i="41"/>
  <c r="C29" i="41"/>
  <c r="B29" i="41"/>
  <c r="C28" i="41"/>
  <c r="S28" i="41"/>
  <c r="B28" i="41"/>
  <c r="C27" i="41"/>
  <c r="B27" i="41"/>
  <c r="C26" i="41"/>
  <c r="S26" i="41"/>
  <c r="S29" i="41"/>
  <c r="B26" i="41"/>
  <c r="C25" i="41"/>
  <c r="S25" i="41"/>
  <c r="B25" i="41"/>
  <c r="C24" i="41"/>
  <c r="S24" i="41"/>
  <c r="B24" i="41"/>
  <c r="C23" i="41"/>
  <c r="B23" i="41"/>
  <c r="C22" i="41"/>
  <c r="S22" i="41"/>
  <c r="B22" i="41"/>
  <c r="C21" i="41"/>
  <c r="B21" i="41"/>
  <c r="B16" i="41"/>
  <c r="B17" i="41"/>
  <c r="B18" i="41"/>
  <c r="B19" i="41"/>
  <c r="B20" i="41"/>
  <c r="C20" i="41"/>
  <c r="S20" i="41"/>
  <c r="C19" i="41"/>
  <c r="S19" i="41"/>
  <c r="C18" i="41"/>
  <c r="S18" i="41"/>
  <c r="C17" i="41"/>
  <c r="C16" i="41"/>
  <c r="AE14" i="41"/>
  <c r="AE12" i="41"/>
  <c r="S12" i="41"/>
  <c r="X6" i="41"/>
  <c r="AB15" i="41"/>
  <c r="AC19" i="41"/>
  <c r="AG19" i="41"/>
  <c r="X5" i="41"/>
  <c r="N5" i="41"/>
  <c r="AC3" i="41"/>
  <c r="U15" i="41"/>
  <c r="V19" i="41"/>
  <c r="E48" i="35"/>
  <c r="F48" i="35"/>
  <c r="E47" i="35"/>
  <c r="E46" i="35"/>
  <c r="F46" i="35"/>
  <c r="G46" i="35"/>
  <c r="E45" i="35"/>
  <c r="F45" i="35"/>
  <c r="G45" i="35"/>
  <c r="E44" i="35"/>
  <c r="F44" i="35"/>
  <c r="G44" i="35"/>
  <c r="H44" i="35"/>
  <c r="E43" i="35"/>
  <c r="E42" i="35"/>
  <c r="E41" i="35"/>
  <c r="F41" i="35"/>
  <c r="G41" i="35"/>
  <c r="H41" i="35"/>
  <c r="E40" i="35"/>
  <c r="F40" i="35"/>
  <c r="G40" i="35"/>
  <c r="H40" i="35"/>
  <c r="I40" i="35"/>
  <c r="E39" i="35"/>
  <c r="F39" i="35"/>
  <c r="G39" i="35"/>
  <c r="H39" i="35"/>
  <c r="I39" i="35"/>
  <c r="E38" i="35"/>
  <c r="F38" i="35"/>
  <c r="G38" i="35"/>
  <c r="H38" i="35"/>
  <c r="I38" i="35"/>
  <c r="J38" i="35"/>
  <c r="E37" i="35"/>
  <c r="F37" i="35"/>
  <c r="G37" i="35"/>
  <c r="H37" i="35"/>
  <c r="E36" i="35"/>
  <c r="E35" i="35"/>
  <c r="F35" i="35"/>
  <c r="E34" i="35"/>
  <c r="F34" i="35"/>
  <c r="G34" i="35"/>
  <c r="H34" i="35"/>
  <c r="E33" i="35"/>
  <c r="F33" i="35"/>
  <c r="G33" i="35"/>
  <c r="H33" i="35"/>
  <c r="I33" i="35"/>
  <c r="J33" i="35"/>
  <c r="K33" i="35"/>
  <c r="L33" i="35"/>
  <c r="M33" i="35"/>
  <c r="E32" i="35"/>
  <c r="E31" i="35"/>
  <c r="F31" i="35"/>
  <c r="G31" i="35"/>
  <c r="H31" i="35"/>
  <c r="I31" i="35"/>
  <c r="J31" i="35"/>
  <c r="K31" i="35"/>
  <c r="L31" i="35"/>
  <c r="M31" i="35"/>
  <c r="E30" i="35"/>
  <c r="F30" i="35"/>
  <c r="G30" i="35"/>
  <c r="E29" i="35"/>
  <c r="E28" i="35"/>
  <c r="F28" i="35"/>
  <c r="E27" i="35"/>
  <c r="E26" i="35"/>
  <c r="F26" i="35"/>
  <c r="G26" i="35"/>
  <c r="E25" i="35"/>
  <c r="F25" i="35"/>
  <c r="G25" i="35"/>
  <c r="H25" i="35"/>
  <c r="I25" i="35"/>
  <c r="J25" i="35"/>
  <c r="E24" i="35"/>
  <c r="E23" i="35"/>
  <c r="F23" i="35"/>
  <c r="G23" i="35"/>
  <c r="H23" i="35"/>
  <c r="I23" i="35"/>
  <c r="J23" i="35"/>
  <c r="E22" i="35"/>
  <c r="F22" i="35"/>
  <c r="E21" i="35"/>
  <c r="E20" i="35"/>
  <c r="F20" i="35"/>
  <c r="E19" i="35"/>
  <c r="F19" i="35"/>
  <c r="G19" i="35"/>
  <c r="H19" i="35"/>
  <c r="I19" i="35"/>
  <c r="E18" i="35"/>
  <c r="E17" i="35"/>
  <c r="E16" i="35"/>
  <c r="C36" i="35"/>
  <c r="C35" i="35"/>
  <c r="C34" i="35"/>
  <c r="C33" i="35"/>
  <c r="C32" i="35"/>
  <c r="C31" i="35"/>
  <c r="C30" i="35"/>
  <c r="C29" i="35"/>
  <c r="C28" i="35"/>
  <c r="C27" i="35"/>
  <c r="C26" i="35"/>
  <c r="C25" i="35"/>
  <c r="C24" i="35"/>
  <c r="C23" i="35"/>
  <c r="C22" i="35"/>
  <c r="C21" i="35"/>
  <c r="C20" i="35"/>
  <c r="C19" i="35"/>
  <c r="C18" i="35"/>
  <c r="C17" i="35"/>
  <c r="C16" i="35"/>
  <c r="S16" i="35"/>
  <c r="S17" i="35"/>
  <c r="S18" i="35"/>
  <c r="S19" i="35"/>
  <c r="S20" i="35"/>
  <c r="S21" i="35"/>
  <c r="S22" i="35"/>
  <c r="S23" i="35"/>
  <c r="S24" i="35"/>
  <c r="S25" i="35"/>
  <c r="S26" i="35"/>
  <c r="S27" i="35"/>
  <c r="S28" i="35"/>
  <c r="S29" i="35"/>
  <c r="S30" i="35"/>
  <c r="S31" i="35"/>
  <c r="S32" i="35"/>
  <c r="S33" i="35"/>
  <c r="S34" i="35"/>
  <c r="S35" i="35"/>
  <c r="S36" i="35"/>
  <c r="S48" i="35"/>
  <c r="S47" i="35"/>
  <c r="B47" i="35"/>
  <c r="S46" i="35"/>
  <c r="B46" i="35"/>
  <c r="S45" i="35"/>
  <c r="B45" i="35"/>
  <c r="S44" i="35"/>
  <c r="B44" i="35"/>
  <c r="S43" i="35"/>
  <c r="B43" i="35"/>
  <c r="S42" i="35"/>
  <c r="B42" i="35"/>
  <c r="S41" i="35"/>
  <c r="B41" i="35"/>
  <c r="S40" i="35"/>
  <c r="B40" i="35"/>
  <c r="S39" i="35"/>
  <c r="B39" i="35"/>
  <c r="S38" i="35"/>
  <c r="B38" i="35"/>
  <c r="S37" i="35"/>
  <c r="B37" i="35"/>
  <c r="B35" i="35"/>
  <c r="B34" i="35"/>
  <c r="B33" i="35"/>
  <c r="B32" i="35"/>
  <c r="B31" i="35"/>
  <c r="B30" i="35"/>
  <c r="B29" i="35"/>
  <c r="B28" i="35"/>
  <c r="B27" i="35"/>
  <c r="B26" i="35"/>
  <c r="B25" i="35"/>
  <c r="B24" i="35"/>
  <c r="B23" i="35"/>
  <c r="B22" i="35"/>
  <c r="B21" i="35"/>
  <c r="B20" i="35"/>
  <c r="B19" i="35"/>
  <c r="B18" i="35"/>
  <c r="B16" i="35"/>
  <c r="B17" i="35"/>
  <c r="B14" i="35"/>
  <c r="AF14" i="35"/>
  <c r="D14" i="35"/>
  <c r="AF12" i="35"/>
  <c r="T12" i="35"/>
  <c r="Y6" i="35"/>
  <c r="AC15" i="35"/>
  <c r="AD19" i="35"/>
  <c r="AH19" i="35"/>
  <c r="Y5" i="35"/>
  <c r="O5" i="35"/>
  <c r="AD3" i="35"/>
  <c r="V15" i="35"/>
  <c r="AK31" i="35"/>
  <c r="D36" i="41"/>
  <c r="D34" i="41"/>
  <c r="D32" i="41"/>
  <c r="D30" i="41"/>
  <c r="D28" i="41"/>
  <c r="D26" i="41"/>
  <c r="D24" i="41"/>
  <c r="D22" i="41"/>
  <c r="D20" i="41"/>
  <c r="D18" i="41"/>
  <c r="E35" i="41"/>
  <c r="E31" i="41"/>
  <c r="E29" i="41"/>
  <c r="E25" i="41"/>
  <c r="E21" i="41"/>
  <c r="E17" i="41"/>
  <c r="E16" i="41"/>
  <c r="E18" i="41"/>
  <c r="E19" i="41"/>
  <c r="E20" i="41"/>
  <c r="E22" i="41"/>
  <c r="E23" i="41"/>
  <c r="E24" i="41"/>
  <c r="E26" i="41"/>
  <c r="E27" i="41"/>
  <c r="E28" i="41"/>
  <c r="E30" i="41"/>
  <c r="E32" i="41"/>
  <c r="E33" i="41"/>
  <c r="E34" i="41"/>
  <c r="E36" i="41"/>
  <c r="D16" i="41"/>
  <c r="D35" i="41"/>
  <c r="D33" i="41"/>
  <c r="D31" i="41"/>
  <c r="D29" i="41"/>
  <c r="D27" i="41"/>
  <c r="D25" i="41"/>
  <c r="D23" i="41"/>
  <c r="D21" i="41"/>
  <c r="D19" i="41"/>
  <c r="D17" i="41"/>
  <c r="D14" i="41"/>
  <c r="F29" i="41"/>
  <c r="F35" i="41"/>
  <c r="F21" i="41"/>
  <c r="F16" i="41"/>
  <c r="F31" i="41"/>
  <c r="F17" i="41"/>
  <c r="F25" i="41"/>
  <c r="F18" i="41"/>
  <c r="F19" i="41"/>
  <c r="F20" i="41"/>
  <c r="F22" i="41"/>
  <c r="F23" i="41"/>
  <c r="F24" i="41"/>
  <c r="F26" i="41"/>
  <c r="F27" i="41"/>
  <c r="F28" i="41"/>
  <c r="F30" i="41"/>
  <c r="F32" i="41"/>
  <c r="F33" i="41"/>
  <c r="F34" i="41"/>
  <c r="F36" i="41"/>
  <c r="G25" i="41"/>
  <c r="G17" i="41"/>
  <c r="G31" i="41"/>
  <c r="G16" i="41"/>
  <c r="G18" i="41"/>
  <c r="G19" i="41"/>
  <c r="G20" i="41"/>
  <c r="G21" i="41"/>
  <c r="G22" i="41"/>
  <c r="G23" i="41"/>
  <c r="G24" i="41"/>
  <c r="G26" i="41"/>
  <c r="G27" i="41"/>
  <c r="G28" i="41"/>
  <c r="G29" i="41"/>
  <c r="G30" i="41"/>
  <c r="G32" i="41"/>
  <c r="G33" i="41"/>
  <c r="G34" i="41"/>
  <c r="G35" i="41"/>
  <c r="G36" i="41"/>
  <c r="H35" i="41"/>
  <c r="H25" i="41"/>
  <c r="H29" i="41"/>
  <c r="H21" i="41"/>
  <c r="H16" i="41"/>
  <c r="H31" i="41"/>
  <c r="H17" i="41"/>
  <c r="I17" i="41"/>
  <c r="H32" i="41"/>
  <c r="I21" i="41"/>
  <c r="I29" i="41"/>
  <c r="H22" i="41"/>
  <c r="H18" i="41"/>
  <c r="H19" i="41"/>
  <c r="H20" i="41"/>
  <c r="H23" i="41"/>
  <c r="H24" i="41"/>
  <c r="H26" i="41"/>
  <c r="H27" i="41"/>
  <c r="H28" i="41"/>
  <c r="H30" i="41"/>
  <c r="H33" i="41"/>
  <c r="H34" i="41"/>
  <c r="H36" i="41"/>
  <c r="I25" i="41"/>
  <c r="I35" i="41"/>
  <c r="I31" i="41"/>
  <c r="I16" i="41"/>
  <c r="I30" i="41"/>
  <c r="I36" i="41"/>
  <c r="I24" i="41"/>
  <c r="I18" i="41"/>
  <c r="I26" i="41"/>
  <c r="I20" i="41"/>
  <c r="J16" i="41"/>
  <c r="J17" i="41"/>
  <c r="J18" i="41"/>
  <c r="J19" i="41"/>
  <c r="J20" i="41"/>
  <c r="J21" i="41"/>
  <c r="J22" i="41"/>
  <c r="J23" i="41"/>
  <c r="J24" i="41"/>
  <c r="J25" i="41"/>
  <c r="J26" i="41"/>
  <c r="J27" i="41"/>
  <c r="J28" i="41"/>
  <c r="J29" i="41"/>
  <c r="J30" i="41"/>
  <c r="J31" i="41"/>
  <c r="J32" i="41"/>
  <c r="J33" i="41"/>
  <c r="J34" i="41"/>
  <c r="J35" i="41"/>
  <c r="J36" i="41"/>
  <c r="I33" i="41"/>
  <c r="I27" i="41"/>
  <c r="I28" i="41"/>
  <c r="I22" i="41"/>
  <c r="I32" i="41"/>
  <c r="I23" i="41"/>
  <c r="I34" i="41"/>
  <c r="I19" i="41"/>
  <c r="K25" i="41"/>
  <c r="K31" i="41"/>
  <c r="K17" i="41"/>
  <c r="K16" i="41"/>
  <c r="K18" i="41"/>
  <c r="K19" i="41"/>
  <c r="K20" i="41"/>
  <c r="K21" i="41"/>
  <c r="K22" i="41"/>
  <c r="K23" i="41"/>
  <c r="K24" i="41"/>
  <c r="K26" i="41"/>
  <c r="K27" i="41"/>
  <c r="K28" i="41"/>
  <c r="K29" i="41"/>
  <c r="K30" i="41"/>
  <c r="K32" i="41"/>
  <c r="K33" i="41"/>
  <c r="K34" i="41"/>
  <c r="K35" i="41"/>
  <c r="K36" i="41"/>
  <c r="L35" i="41"/>
  <c r="L29" i="41"/>
  <c r="L16" i="41"/>
  <c r="L21" i="41"/>
  <c r="L17" i="41"/>
  <c r="L18" i="41"/>
  <c r="L19" i="41"/>
  <c r="L20" i="41"/>
  <c r="L22" i="41"/>
  <c r="L23" i="41"/>
  <c r="L24" i="41"/>
  <c r="L25" i="41"/>
  <c r="L26" i="41"/>
  <c r="L27" i="41"/>
  <c r="L28" i="41"/>
  <c r="L30" i="41"/>
  <c r="L31" i="41"/>
  <c r="L32" i="41"/>
  <c r="L33" i="41"/>
  <c r="L34" i="41"/>
  <c r="L36" i="41"/>
  <c r="M17" i="41"/>
  <c r="M16" i="41"/>
  <c r="M29" i="41"/>
  <c r="M35" i="41"/>
  <c r="M25" i="41"/>
  <c r="M31" i="41"/>
  <c r="M21" i="41"/>
  <c r="M36" i="41"/>
  <c r="M34" i="41"/>
  <c r="M28" i="41"/>
  <c r="M24" i="41"/>
  <c r="M22" i="41"/>
  <c r="M18" i="41"/>
  <c r="N21" i="41"/>
  <c r="M19" i="41"/>
  <c r="M20" i="41"/>
  <c r="M23" i="41"/>
  <c r="M26" i="41"/>
  <c r="M27" i="41"/>
  <c r="M30" i="41"/>
  <c r="M32" i="41"/>
  <c r="M33" i="41"/>
  <c r="N25" i="41"/>
  <c r="N35" i="41"/>
  <c r="N16" i="41"/>
  <c r="N17" i="41"/>
  <c r="N31" i="41"/>
  <c r="N29" i="41"/>
  <c r="N23" i="41"/>
  <c r="O31" i="41"/>
  <c r="N27" i="41"/>
  <c r="N26" i="41"/>
  <c r="O16" i="41"/>
  <c r="O17" i="41"/>
  <c r="O18" i="41"/>
  <c r="O19" i="41"/>
  <c r="O20" i="41"/>
  <c r="O21" i="41"/>
  <c r="O22" i="41"/>
  <c r="O23" i="41"/>
  <c r="O24" i="41"/>
  <c r="O25" i="41"/>
  <c r="O26" i="41"/>
  <c r="O27" i="41"/>
  <c r="O28" i="41"/>
  <c r="O29" i="41"/>
  <c r="O30" i="41"/>
  <c r="O32" i="41"/>
  <c r="O33" i="41"/>
  <c r="O34" i="41"/>
  <c r="O35" i="41"/>
  <c r="O36" i="41"/>
  <c r="O14" i="41"/>
  <c r="N19" i="41"/>
  <c r="N18" i="41"/>
  <c r="N20" i="41"/>
  <c r="N22" i="41"/>
  <c r="N24" i="41"/>
  <c r="N28" i="41"/>
  <c r="N30" i="41"/>
  <c r="N32" i="41"/>
  <c r="N33" i="41"/>
  <c r="N34" i="41"/>
  <c r="N36" i="41"/>
  <c r="P21" i="41"/>
  <c r="P17" i="41"/>
  <c r="P16" i="41"/>
  <c r="P18" i="41"/>
  <c r="P19" i="41"/>
  <c r="P20" i="41"/>
  <c r="P22" i="41"/>
  <c r="P23" i="41"/>
  <c r="P24" i="41"/>
  <c r="P25" i="41"/>
  <c r="P26" i="41"/>
  <c r="P27" i="41"/>
  <c r="P28" i="41"/>
  <c r="P29" i="41"/>
  <c r="P30" i="41"/>
  <c r="P31" i="41"/>
  <c r="P32" i="41"/>
  <c r="P33" i="41"/>
  <c r="P34" i="41"/>
  <c r="P35" i="41"/>
  <c r="P36" i="41"/>
  <c r="Q29" i="41"/>
  <c r="Q16" i="41"/>
  <c r="Q25" i="41"/>
  <c r="Q31" i="41"/>
  <c r="Q35" i="41"/>
  <c r="Q17" i="41"/>
  <c r="Q18" i="41"/>
  <c r="Q19" i="41"/>
  <c r="Q20" i="41"/>
  <c r="Q21" i="41"/>
  <c r="Q22" i="41"/>
  <c r="Q23" i="41"/>
  <c r="Q24" i="41"/>
  <c r="Q26" i="41"/>
  <c r="Q27" i="41"/>
  <c r="Q28" i="41"/>
  <c r="Q30" i="41"/>
  <c r="Q32" i="41"/>
  <c r="Q33" i="41"/>
  <c r="Q34" i="41"/>
  <c r="Q36" i="41"/>
  <c r="S21" i="41"/>
  <c r="S23" i="41"/>
  <c r="G35" i="35"/>
  <c r="AK28" i="35"/>
  <c r="AK22" i="35"/>
  <c r="AK29" i="35"/>
  <c r="AK36" i="35"/>
  <c r="AK35" i="35"/>
  <c r="AK34" i="35"/>
  <c r="F17" i="35"/>
  <c r="G17" i="35"/>
  <c r="H17" i="35"/>
  <c r="F36" i="35"/>
  <c r="G36" i="35"/>
  <c r="H36" i="35"/>
  <c r="I36" i="35"/>
  <c r="J36" i="35"/>
  <c r="K36" i="35"/>
  <c r="L36" i="35"/>
  <c r="M36" i="35"/>
  <c r="N36" i="35"/>
  <c r="O36" i="35"/>
  <c r="P36" i="35"/>
  <c r="Q36" i="35"/>
  <c r="R36" i="35"/>
  <c r="F27" i="35"/>
  <c r="F21" i="35"/>
  <c r="G21" i="35"/>
  <c r="H21" i="35"/>
  <c r="I21" i="35"/>
  <c r="J21" i="35"/>
  <c r="K21" i="35"/>
  <c r="L21" i="35"/>
  <c r="M21" i="35"/>
  <c r="N21" i="35"/>
  <c r="O21" i="35"/>
  <c r="P21" i="35"/>
  <c r="Q21" i="35"/>
  <c r="R21" i="35"/>
  <c r="F32" i="35"/>
  <c r="S17" i="41"/>
  <c r="T20" i="41"/>
  <c r="F24" i="35"/>
  <c r="G24" i="35"/>
  <c r="H24" i="35"/>
  <c r="I24" i="35"/>
  <c r="J24" i="35"/>
  <c r="G20" i="35"/>
  <c r="H20" i="35"/>
  <c r="I20" i="35"/>
  <c r="J20" i="35"/>
  <c r="K20" i="35"/>
  <c r="F43" i="35"/>
  <c r="G43" i="35"/>
  <c r="H43" i="35"/>
  <c r="T21" i="41"/>
  <c r="J14" i="41"/>
  <c r="K23" i="35"/>
  <c r="L23" i="35"/>
  <c r="M23" i="35"/>
  <c r="N23" i="35"/>
  <c r="O23" i="35"/>
  <c r="H26" i="35"/>
  <c r="I26" i="35"/>
  <c r="J26" i="35"/>
  <c r="K26" i="35"/>
  <c r="L26" i="35"/>
  <c r="M26" i="35"/>
  <c r="N26" i="35"/>
  <c r="O26" i="35"/>
  <c r="P26" i="35"/>
  <c r="I34" i="35"/>
  <c r="J34" i="35"/>
  <c r="K34" i="35"/>
  <c r="L34" i="35"/>
  <c r="M34" i="35"/>
  <c r="K24" i="35"/>
  <c r="L24" i="35"/>
  <c r="M24" i="35"/>
  <c r="N24" i="35"/>
  <c r="O24" i="35"/>
  <c r="W19" i="35"/>
  <c r="G28" i="35"/>
  <c r="I41" i="35"/>
  <c r="J41" i="35"/>
  <c r="K41" i="35"/>
  <c r="L41" i="35"/>
  <c r="M41" i="35"/>
  <c r="N41" i="35"/>
  <c r="O41" i="35"/>
  <c r="P41" i="35"/>
  <c r="Q41" i="35"/>
  <c r="R41" i="35"/>
  <c r="AK25" i="35"/>
  <c r="AK30" i="35"/>
  <c r="AJ31" i="41"/>
  <c r="P24" i="35"/>
  <c r="Q24" i="35"/>
  <c r="R24" i="35"/>
  <c r="N33" i="35"/>
  <c r="O33" i="35"/>
  <c r="P33" i="35"/>
  <c r="Q33" i="35"/>
  <c r="R33" i="35"/>
  <c r="Q26" i="35"/>
  <c r="R26" i="35"/>
  <c r="H46" i="35"/>
  <c r="I46" i="35"/>
  <c r="H28" i="35"/>
  <c r="I28" i="35"/>
  <c r="J28" i="35"/>
  <c r="K28" i="35"/>
  <c r="L28" i="35"/>
  <c r="M28" i="35"/>
  <c r="N28" i="35"/>
  <c r="O28" i="35"/>
  <c r="P28" i="35"/>
  <c r="Q28" i="35"/>
  <c r="J40" i="35"/>
  <c r="G32" i="35"/>
  <c r="H32" i="35"/>
  <c r="F18" i="35"/>
  <c r="G18" i="35"/>
  <c r="F29" i="35"/>
  <c r="G29" i="35"/>
  <c r="H29" i="35"/>
  <c r="I29" i="35"/>
  <c r="J29" i="35"/>
  <c r="K29" i="35"/>
  <c r="L29" i="35"/>
  <c r="M29" i="35"/>
  <c r="N29" i="35"/>
  <c r="O29" i="35"/>
  <c r="J39" i="35"/>
  <c r="AJ32" i="41"/>
  <c r="AJ26" i="41"/>
  <c r="AJ35" i="41"/>
  <c r="AJ23" i="41"/>
  <c r="AJ36" i="41"/>
  <c r="AJ19" i="41"/>
  <c r="AJ29" i="41"/>
  <c r="AJ30" i="41"/>
  <c r="AJ33" i="41"/>
  <c r="AJ22" i="41"/>
  <c r="AJ20" i="41"/>
  <c r="AO19" i="41"/>
  <c r="AO20" i="41"/>
  <c r="AO21" i="41"/>
  <c r="AJ27" i="41"/>
  <c r="AJ25" i="41"/>
  <c r="AJ24" i="41"/>
  <c r="AJ34" i="41"/>
  <c r="T23" i="41"/>
  <c r="T22" i="41"/>
  <c r="B14" i="41"/>
  <c r="T31" i="41"/>
  <c r="T41" i="35"/>
  <c r="AJ21" i="41"/>
  <c r="AJ28" i="41"/>
  <c r="AJ17" i="41"/>
  <c r="K25" i="35"/>
  <c r="L25" i="35"/>
  <c r="M25" i="35"/>
  <c r="N25" i="35"/>
  <c r="O25" i="35"/>
  <c r="P25" i="35"/>
  <c r="Q25" i="35"/>
  <c r="R25" i="35"/>
  <c r="N31" i="35"/>
  <c r="O31" i="35"/>
  <c r="J19" i="35"/>
  <c r="K19" i="35"/>
  <c r="G27" i="35"/>
  <c r="I17" i="35"/>
  <c r="J17" i="35"/>
  <c r="K17" i="35"/>
  <c r="L17" i="35"/>
  <c r="M17" i="35"/>
  <c r="F14" i="41"/>
  <c r="E14" i="41"/>
  <c r="I43" i="35"/>
  <c r="P14" i="41"/>
  <c r="N14" i="41"/>
  <c r="K14" i="41"/>
  <c r="G14" i="41"/>
  <c r="AK32" i="35"/>
  <c r="AP19" i="35"/>
  <c r="AK19" i="35"/>
  <c r="AK33" i="35"/>
  <c r="AK27" i="35"/>
  <c r="AK26" i="35"/>
  <c r="AK21" i="35"/>
  <c r="AK23" i="35"/>
  <c r="AK24" i="35"/>
  <c r="AK20" i="35"/>
  <c r="F16" i="35"/>
  <c r="J36" i="101"/>
  <c r="Y4" i="118"/>
  <c r="Z4" i="118"/>
  <c r="O5" i="118"/>
  <c r="AD20" i="118"/>
  <c r="AE24" i="118"/>
  <c r="Y4" i="117"/>
  <c r="Z4" i="117"/>
  <c r="AI20" i="118"/>
  <c r="AI20" i="117"/>
  <c r="AH69" i="117"/>
  <c r="AH69" i="104"/>
  <c r="O6" i="117"/>
  <c r="P6" i="117"/>
  <c r="O8" i="118"/>
  <c r="O8" i="117"/>
  <c r="O10" i="118"/>
  <c r="P10" i="118"/>
  <c r="O10" i="117"/>
  <c r="P10" i="117"/>
  <c r="O13" i="118"/>
  <c r="O13" i="117"/>
  <c r="J5" i="118"/>
  <c r="J5" i="117"/>
  <c r="J9" i="117"/>
  <c r="J9" i="118"/>
  <c r="O5" i="117"/>
  <c r="O7" i="118"/>
  <c r="P7" i="118"/>
  <c r="O12" i="117"/>
  <c r="AO25" i="104"/>
  <c r="O14" i="118"/>
  <c r="AO25" i="118"/>
  <c r="O14" i="117"/>
  <c r="AO25" i="117"/>
  <c r="J6" i="118"/>
  <c r="J6" i="117"/>
  <c r="J8" i="118"/>
  <c r="J8" i="117"/>
  <c r="H53" i="117"/>
  <c r="AB17" i="104"/>
  <c r="A37" i="101"/>
  <c r="A38" i="101"/>
  <c r="A39" i="101"/>
  <c r="A40" i="101"/>
  <c r="A41" i="101"/>
  <c r="A42" i="101"/>
  <c r="A43" i="101"/>
  <c r="A44" i="101"/>
  <c r="A45" i="101"/>
  <c r="A46" i="101"/>
  <c r="A47" i="101"/>
  <c r="A48" i="101"/>
  <c r="A49" i="101"/>
  <c r="A50" i="101"/>
  <c r="A51" i="101"/>
  <c r="A52" i="101"/>
  <c r="A53" i="101"/>
  <c r="A54" i="101"/>
  <c r="A55" i="101"/>
  <c r="A56" i="101"/>
  <c r="A57" i="101"/>
  <c r="A58" i="101"/>
  <c r="A59" i="101"/>
  <c r="A60" i="101"/>
  <c r="A61" i="101"/>
  <c r="A62" i="101"/>
  <c r="A63" i="101"/>
  <c r="A64" i="101"/>
  <c r="A65" i="101"/>
  <c r="A66" i="101"/>
  <c r="A67" i="101"/>
  <c r="A68" i="101"/>
  <c r="A69" i="101"/>
  <c r="A70" i="101"/>
  <c r="A71" i="101"/>
  <c r="A72" i="101"/>
  <c r="A73" i="101"/>
  <c r="A74" i="101"/>
  <c r="A75" i="101"/>
  <c r="A76" i="101"/>
  <c r="A77" i="101"/>
  <c r="A78" i="101"/>
  <c r="A79" i="101"/>
  <c r="A80" i="101"/>
  <c r="A81" i="101"/>
  <c r="A82" i="101"/>
  <c r="A83" i="101"/>
  <c r="A84" i="101"/>
  <c r="A85" i="101"/>
  <c r="A86" i="101"/>
  <c r="A87" i="101"/>
  <c r="A88" i="101"/>
  <c r="A89" i="101"/>
  <c r="A90" i="101"/>
  <c r="A91" i="101"/>
  <c r="A92" i="101"/>
  <c r="A93" i="101"/>
  <c r="A94" i="101"/>
  <c r="A95" i="101"/>
  <c r="A96" i="101"/>
  <c r="A97" i="101"/>
  <c r="A98" i="101"/>
  <c r="A99" i="101"/>
  <c r="A100" i="101"/>
  <c r="A101" i="101"/>
  <c r="A102" i="101"/>
  <c r="A103" i="101"/>
  <c r="A104" i="101"/>
  <c r="A105" i="101"/>
  <c r="A106" i="101"/>
  <c r="A107" i="101"/>
  <c r="A108" i="101"/>
  <c r="A109" i="101"/>
  <c r="A110" i="101"/>
  <c r="A111" i="101"/>
  <c r="A112" i="101"/>
  <c r="A113" i="101"/>
  <c r="A114" i="101"/>
  <c r="A115" i="101"/>
  <c r="A116" i="101"/>
  <c r="A117" i="101"/>
  <c r="A118" i="101"/>
  <c r="A119" i="101"/>
  <c r="A120" i="101"/>
  <c r="A121" i="101"/>
  <c r="A122" i="101"/>
  <c r="A123" i="101"/>
  <c r="A124" i="101"/>
  <c r="A125" i="101"/>
  <c r="A126" i="101"/>
  <c r="A127" i="101"/>
  <c r="A128" i="101"/>
  <c r="A129" i="101"/>
  <c r="A130" i="101"/>
  <c r="A131" i="101"/>
  <c r="A132" i="101"/>
  <c r="A133" i="101"/>
  <c r="A134" i="101"/>
  <c r="A135" i="101"/>
  <c r="A136" i="101"/>
  <c r="A137" i="101"/>
  <c r="A138" i="101"/>
  <c r="A139" i="101"/>
  <c r="A140" i="101"/>
  <c r="A141" i="101"/>
  <c r="A142" i="101"/>
  <c r="A143" i="101"/>
  <c r="A144" i="101"/>
  <c r="A145" i="101"/>
  <c r="A146" i="101"/>
  <c r="A147" i="101"/>
  <c r="A148" i="101"/>
  <c r="A149" i="101"/>
  <c r="A150" i="101"/>
  <c r="A151" i="101"/>
  <c r="A152" i="101"/>
  <c r="A153" i="101"/>
  <c r="A154" i="101"/>
  <c r="A155" i="101"/>
  <c r="A156" i="101"/>
  <c r="A157" i="101"/>
  <c r="A158" i="101"/>
  <c r="A159" i="101"/>
  <c r="A160" i="101"/>
  <c r="A161" i="101"/>
  <c r="A162" i="101"/>
  <c r="A163" i="101"/>
  <c r="A164" i="101"/>
  <c r="A165" i="101"/>
  <c r="A166" i="101"/>
  <c r="A167" i="101"/>
  <c r="A168" i="101"/>
  <c r="A169" i="101"/>
  <c r="A170" i="101"/>
  <c r="A171" i="101"/>
  <c r="A172" i="101"/>
  <c r="A173" i="101"/>
  <c r="A174" i="101"/>
  <c r="A175" i="101"/>
  <c r="A176" i="101"/>
  <c r="A177" i="101"/>
  <c r="A178" i="101"/>
  <c r="A179" i="101"/>
  <c r="A180" i="101"/>
  <c r="A181" i="101"/>
  <c r="A182" i="101"/>
  <c r="A183" i="101"/>
  <c r="A184" i="101"/>
  <c r="A185" i="101"/>
  <c r="A186" i="101"/>
  <c r="A187" i="101"/>
  <c r="A188" i="101"/>
  <c r="A189" i="101"/>
  <c r="A190" i="101"/>
  <c r="A191" i="101"/>
  <c r="A192" i="101"/>
  <c r="A193" i="101"/>
  <c r="A194" i="101"/>
  <c r="A195" i="101"/>
  <c r="A196" i="101"/>
  <c r="A197" i="101"/>
  <c r="A198" i="101"/>
  <c r="A199" i="101"/>
  <c r="A200" i="101"/>
  <c r="A201" i="101"/>
  <c r="A202" i="101"/>
  <c r="A203" i="101"/>
  <c r="A204" i="101"/>
  <c r="A205" i="101"/>
  <c r="A206" i="101"/>
  <c r="A207" i="101"/>
  <c r="A208" i="101"/>
  <c r="A209" i="101"/>
  <c r="A210" i="101"/>
  <c r="A211" i="101"/>
  <c r="A212" i="101"/>
  <c r="A213" i="101"/>
  <c r="A214" i="101"/>
  <c r="A215" i="101"/>
  <c r="A216" i="101"/>
  <c r="A217" i="101"/>
  <c r="A218" i="101"/>
  <c r="A219" i="101"/>
  <c r="A220" i="101"/>
  <c r="A221" i="101"/>
  <c r="A222" i="101"/>
  <c r="A223" i="101"/>
  <c r="A224" i="101"/>
  <c r="A225" i="101"/>
  <c r="A226" i="101"/>
  <c r="A227" i="101"/>
  <c r="A228" i="101"/>
  <c r="A229" i="101"/>
  <c r="A230" i="101"/>
  <c r="A231" i="101"/>
  <c r="A232" i="101"/>
  <c r="A233" i="101"/>
  <c r="A234" i="101"/>
  <c r="A235" i="101"/>
  <c r="A236" i="101"/>
  <c r="A237" i="101"/>
  <c r="A238" i="101"/>
  <c r="A239" i="101"/>
  <c r="A240" i="101"/>
  <c r="A241" i="101"/>
  <c r="A242" i="101"/>
  <c r="A243" i="101"/>
  <c r="A244" i="101"/>
  <c r="A245" i="101"/>
  <c r="A246" i="101"/>
  <c r="A247" i="101"/>
  <c r="A248" i="101"/>
  <c r="A249" i="101"/>
  <c r="A250" i="101"/>
  <c r="A251" i="101"/>
  <c r="A252" i="101"/>
  <c r="A253" i="101"/>
  <c r="A254" i="101"/>
  <c r="A255" i="101"/>
  <c r="A256" i="101"/>
  <c r="A257" i="101"/>
  <c r="A258" i="101"/>
  <c r="A259" i="101"/>
  <c r="A260" i="101"/>
  <c r="A261" i="101"/>
  <c r="A262" i="101"/>
  <c r="A263" i="101"/>
  <c r="A264" i="101"/>
  <c r="A265" i="101"/>
  <c r="A266" i="101"/>
  <c r="A267" i="101"/>
  <c r="A268" i="101"/>
  <c r="A269" i="101"/>
  <c r="A270" i="101"/>
  <c r="A271" i="101"/>
  <c r="A272" i="101"/>
  <c r="A273" i="101"/>
  <c r="A274" i="101"/>
  <c r="A275" i="101"/>
  <c r="A276" i="101"/>
  <c r="A277" i="101"/>
  <c r="A278" i="101"/>
  <c r="A279" i="101"/>
  <c r="A280" i="101"/>
  <c r="A281" i="101"/>
  <c r="A282" i="101"/>
  <c r="A283" i="101"/>
  <c r="A284" i="101"/>
  <c r="A285" i="101"/>
  <c r="A286" i="101"/>
  <c r="A287" i="101"/>
  <c r="A288" i="101"/>
  <c r="A289" i="101"/>
  <c r="A290" i="101"/>
  <c r="A291" i="101"/>
  <c r="A292" i="101"/>
  <c r="A293" i="101"/>
  <c r="A294" i="101"/>
  <c r="A295" i="101"/>
  <c r="A296" i="101"/>
  <c r="A297" i="101"/>
  <c r="A298" i="101"/>
  <c r="A299" i="101"/>
  <c r="A300" i="101"/>
  <c r="A301" i="101"/>
  <c r="A302" i="101"/>
  <c r="A303" i="101"/>
  <c r="A304" i="101"/>
  <c r="A305" i="101"/>
  <c r="A306" i="101"/>
  <c r="A307" i="101"/>
  <c r="A308" i="101"/>
  <c r="AK17" i="35"/>
  <c r="AP20" i="35"/>
  <c r="T25" i="35"/>
  <c r="T26" i="35"/>
  <c r="AP21" i="35"/>
  <c r="AP22" i="35"/>
  <c r="AO22" i="41"/>
  <c r="AO23" i="41"/>
  <c r="AP23" i="35"/>
  <c r="AO24" i="41"/>
  <c r="S33" i="41"/>
  <c r="A54" i="104"/>
  <c r="BD53" i="104"/>
  <c r="H53" i="104"/>
  <c r="H11" i="103"/>
  <c r="P29" i="35"/>
  <c r="Q29" i="35"/>
  <c r="R29" i="35"/>
  <c r="T29" i="35"/>
  <c r="I32" i="35"/>
  <c r="J32" i="35"/>
  <c r="K32" i="35"/>
  <c r="L32" i="35"/>
  <c r="M32" i="35"/>
  <c r="N32" i="35"/>
  <c r="O32" i="35"/>
  <c r="P32" i="35"/>
  <c r="Q32" i="35"/>
  <c r="R32" i="35"/>
  <c r="T36" i="41"/>
  <c r="T33" i="41"/>
  <c r="T34" i="41"/>
  <c r="T35" i="41"/>
  <c r="T32" i="41"/>
  <c r="R28" i="35"/>
  <c r="T28" i="35"/>
  <c r="AO25" i="41"/>
  <c r="N17" i="35"/>
  <c r="O17" i="35"/>
  <c r="P17" i="35"/>
  <c r="Q17" i="35"/>
  <c r="R17" i="35"/>
  <c r="T17" i="35"/>
  <c r="L19" i="35"/>
  <c r="M19" i="35"/>
  <c r="N19" i="35"/>
  <c r="O19" i="35"/>
  <c r="P19" i="35"/>
  <c r="Q19" i="35"/>
  <c r="R19" i="35"/>
  <c r="K38" i="35"/>
  <c r="L38" i="35"/>
  <c r="M38" i="35"/>
  <c r="N38" i="35"/>
  <c r="O38" i="35"/>
  <c r="P38" i="35"/>
  <c r="Q38" i="35"/>
  <c r="R38" i="35"/>
  <c r="I44" i="35"/>
  <c r="J44" i="35"/>
  <c r="K44" i="35"/>
  <c r="L44" i="35"/>
  <c r="M44" i="35"/>
  <c r="N44" i="35"/>
  <c r="O44" i="35"/>
  <c r="P44" i="35"/>
  <c r="Q44" i="35"/>
  <c r="R44" i="35"/>
  <c r="BD53" i="118"/>
  <c r="H53" i="118"/>
  <c r="P9" i="104"/>
  <c r="O9" i="117"/>
  <c r="P9" i="117"/>
  <c r="O9" i="118"/>
  <c r="P9" i="118"/>
  <c r="J43" i="35"/>
  <c r="K43" i="35"/>
  <c r="L43" i="35"/>
  <c r="M43" i="35"/>
  <c r="N43" i="35"/>
  <c r="O43" i="35"/>
  <c r="P43" i="35"/>
  <c r="Q43" i="35"/>
  <c r="R43" i="35"/>
  <c r="P31" i="35"/>
  <c r="Q31" i="35"/>
  <c r="R31" i="35"/>
  <c r="L20" i="35"/>
  <c r="M20" i="35"/>
  <c r="N20" i="35"/>
  <c r="O20" i="35"/>
  <c r="P20" i="35"/>
  <c r="Q20" i="35"/>
  <c r="R20" i="35"/>
  <c r="H35" i="35"/>
  <c r="I35" i="35"/>
  <c r="J35" i="35"/>
  <c r="K35" i="35"/>
  <c r="L35" i="35"/>
  <c r="M35" i="35"/>
  <c r="N35" i="35"/>
  <c r="O35" i="35"/>
  <c r="P35" i="35"/>
  <c r="Q35" i="35"/>
  <c r="R35" i="35"/>
  <c r="G22" i="35"/>
  <c r="H22" i="35"/>
  <c r="I22" i="35"/>
  <c r="J22" i="35"/>
  <c r="K22" i="35"/>
  <c r="L22" i="35"/>
  <c r="M22" i="35"/>
  <c r="N22" i="35"/>
  <c r="O22" i="35"/>
  <c r="P22" i="35"/>
  <c r="Q22" i="35"/>
  <c r="R22" i="35"/>
  <c r="H30" i="35"/>
  <c r="I30" i="35"/>
  <c r="J30" i="35"/>
  <c r="K30" i="35"/>
  <c r="L30" i="35"/>
  <c r="M30" i="35"/>
  <c r="N30" i="35"/>
  <c r="O30" i="35"/>
  <c r="P30" i="35"/>
  <c r="Q30" i="35"/>
  <c r="R30" i="35"/>
  <c r="I37" i="35"/>
  <c r="J37" i="35"/>
  <c r="K37" i="35"/>
  <c r="L37" i="35"/>
  <c r="M37" i="35"/>
  <c r="N37" i="35"/>
  <c r="O37" i="35"/>
  <c r="P37" i="35"/>
  <c r="Q37" i="35"/>
  <c r="R37" i="35"/>
  <c r="AP24" i="35"/>
  <c r="H27" i="35"/>
  <c r="I27" i="35"/>
  <c r="J27" i="35"/>
  <c r="K27" i="35"/>
  <c r="L27" i="35"/>
  <c r="M27" i="35"/>
  <c r="N27" i="35"/>
  <c r="O27" i="35"/>
  <c r="P27" i="35"/>
  <c r="Q27" i="35"/>
  <c r="R27" i="35"/>
  <c r="T27" i="35"/>
  <c r="K39" i="35"/>
  <c r="L39" i="35"/>
  <c r="M39" i="35"/>
  <c r="N39" i="35"/>
  <c r="O39" i="35"/>
  <c r="P39" i="35"/>
  <c r="Q39" i="35"/>
  <c r="R39" i="35"/>
  <c r="T39" i="35"/>
  <c r="H18" i="35"/>
  <c r="I18" i="35"/>
  <c r="J18" i="35"/>
  <c r="K18" i="35"/>
  <c r="L18" i="35"/>
  <c r="M18" i="35"/>
  <c r="N18" i="35"/>
  <c r="O18" i="35"/>
  <c r="P18" i="35"/>
  <c r="Q18" i="35"/>
  <c r="R18" i="35"/>
  <c r="J46" i="35"/>
  <c r="K46" i="35"/>
  <c r="L46" i="35"/>
  <c r="M46" i="35"/>
  <c r="N46" i="35"/>
  <c r="O46" i="35"/>
  <c r="P46" i="35"/>
  <c r="Q46" i="35"/>
  <c r="R46" i="35"/>
  <c r="T36" i="35"/>
  <c r="T33" i="35"/>
  <c r="F42" i="35"/>
  <c r="E14" i="35"/>
  <c r="G16" i="35"/>
  <c r="K40" i="35"/>
  <c r="L40" i="35"/>
  <c r="M40" i="35"/>
  <c r="N40" i="35"/>
  <c r="O40" i="35"/>
  <c r="P40" i="35"/>
  <c r="Q40" i="35"/>
  <c r="R40" i="35"/>
  <c r="N34" i="35"/>
  <c r="O34" i="35"/>
  <c r="P34" i="35"/>
  <c r="Q34" i="35"/>
  <c r="R34" i="35"/>
  <c r="P23" i="35"/>
  <c r="Q23" i="35"/>
  <c r="R23" i="35"/>
  <c r="H45" i="35"/>
  <c r="I45" i="35"/>
  <c r="J45" i="35"/>
  <c r="K45" i="35"/>
  <c r="L45" i="35"/>
  <c r="M45" i="35"/>
  <c r="N45" i="35"/>
  <c r="O45" i="35"/>
  <c r="P45" i="35"/>
  <c r="Q45" i="35"/>
  <c r="R45" i="35"/>
  <c r="T45" i="35"/>
  <c r="F47" i="35"/>
  <c r="G47" i="35"/>
  <c r="H47" i="35"/>
  <c r="I47" i="35"/>
  <c r="J47" i="35"/>
  <c r="K47" i="35"/>
  <c r="L47" i="35"/>
  <c r="M47" i="35"/>
  <c r="N47" i="35"/>
  <c r="O47" i="35"/>
  <c r="P47" i="35"/>
  <c r="Q47" i="35"/>
  <c r="R47" i="35"/>
  <c r="T24" i="41"/>
  <c r="T25" i="41"/>
  <c r="T21" i="35"/>
  <c r="G48" i="35"/>
  <c r="H48" i="35"/>
  <c r="I48" i="35"/>
  <c r="J48" i="35"/>
  <c r="K48" i="35"/>
  <c r="L48" i="35"/>
  <c r="M48" i="35"/>
  <c r="N48" i="35"/>
  <c r="O48" i="35"/>
  <c r="P48" i="35"/>
  <c r="Q48" i="35"/>
  <c r="R48" i="35"/>
  <c r="T48" i="35"/>
  <c r="S16" i="41"/>
  <c r="C14" i="41"/>
  <c r="V17" i="117"/>
  <c r="T24" i="35"/>
  <c r="AB17" i="118"/>
  <c r="AD20" i="117"/>
  <c r="AE24" i="117"/>
  <c r="Q14" i="41"/>
  <c r="M14" i="41"/>
  <c r="L14" i="41"/>
  <c r="I14" i="41"/>
  <c r="H14" i="41"/>
  <c r="N17" i="117"/>
  <c r="AB17" i="117"/>
  <c r="C256" i="116"/>
  <c r="C263" i="116"/>
  <c r="C271" i="116"/>
  <c r="C258" i="116"/>
  <c r="C266" i="116"/>
  <c r="C274" i="116"/>
  <c r="A51" i="117"/>
  <c r="H52" i="117"/>
  <c r="BD52" i="117"/>
  <c r="H54" i="104"/>
  <c r="BD53" i="117"/>
  <c r="A54" i="117"/>
  <c r="A55" i="117"/>
  <c r="AD20" i="104"/>
  <c r="AE24" i="104"/>
  <c r="A34" i="101"/>
  <c r="J35" i="101"/>
  <c r="A52" i="118"/>
  <c r="A54" i="118"/>
  <c r="A51" i="104"/>
  <c r="BD52" i="104"/>
  <c r="Y9" i="117"/>
  <c r="AK20" i="117"/>
  <c r="Y9" i="118"/>
  <c r="AK20" i="118"/>
  <c r="P6" i="104"/>
  <c r="O6" i="118"/>
  <c r="P6" i="118"/>
  <c r="J7" i="117"/>
  <c r="J7" i="118"/>
  <c r="J11" i="104"/>
  <c r="J11" i="117"/>
  <c r="P7" i="104"/>
  <c r="O7" i="117"/>
  <c r="P7" i="117"/>
  <c r="AK20" i="104"/>
  <c r="AH24" i="118"/>
  <c r="C260" i="116"/>
  <c r="C264" i="116"/>
  <c r="C268" i="116"/>
  <c r="C272" i="116"/>
  <c r="C257" i="116"/>
  <c r="C261" i="116"/>
  <c r="C265" i="116"/>
  <c r="C269" i="116"/>
  <c r="AH24" i="117"/>
  <c r="A55" i="104"/>
  <c r="BD54" i="104"/>
  <c r="T34" i="35"/>
  <c r="H16" i="35"/>
  <c r="G42" i="35"/>
  <c r="G14" i="35"/>
  <c r="H42" i="35"/>
  <c r="I42" i="35"/>
  <c r="J42" i="35"/>
  <c r="K42" i="35"/>
  <c r="L42" i="35"/>
  <c r="M42" i="35"/>
  <c r="N42" i="35"/>
  <c r="O42" i="35"/>
  <c r="P42" i="35"/>
  <c r="Q42" i="35"/>
  <c r="R42" i="35"/>
  <c r="T42" i="35"/>
  <c r="T46" i="35"/>
  <c r="T30" i="35"/>
  <c r="T31" i="35"/>
  <c r="T32" i="35"/>
  <c r="U33" i="35"/>
  <c r="T35" i="35"/>
  <c r="T38" i="35"/>
  <c r="T19" i="35"/>
  <c r="U35" i="35"/>
  <c r="BD54" i="117"/>
  <c r="AH24" i="104"/>
  <c r="T19" i="41"/>
  <c r="F14" i="35"/>
  <c r="AP25" i="35"/>
  <c r="AO26" i="41"/>
  <c r="U27" i="35"/>
  <c r="T47" i="35"/>
  <c r="U48" i="35"/>
  <c r="T23" i="35"/>
  <c r="U26" i="35"/>
  <c r="T40" i="35"/>
  <c r="T18" i="35"/>
  <c r="T37" i="35"/>
  <c r="U40" i="35"/>
  <c r="T22" i="35"/>
  <c r="U24" i="35"/>
  <c r="T20" i="35"/>
  <c r="T43" i="35"/>
  <c r="T44" i="35"/>
  <c r="U47" i="35"/>
  <c r="U28" i="35"/>
  <c r="H54" i="117"/>
  <c r="H51" i="117"/>
  <c r="BD51" i="117"/>
  <c r="A50" i="117"/>
  <c r="A55" i="118"/>
  <c r="H54" i="118"/>
  <c r="BD54" i="118"/>
  <c r="A51" i="118"/>
  <c r="H52" i="118"/>
  <c r="BD52" i="118"/>
  <c r="H10" i="103"/>
  <c r="A50" i="104"/>
  <c r="H51" i="104"/>
  <c r="BD51" i="104"/>
  <c r="BD55" i="117"/>
  <c r="H55" i="117"/>
  <c r="A56" i="117"/>
  <c r="A33" i="101"/>
  <c r="J34" i="101"/>
  <c r="J11" i="118"/>
  <c r="AL24" i="118"/>
  <c r="AK24" i="118"/>
  <c r="AL24" i="104"/>
  <c r="AL24" i="117"/>
  <c r="AK24" i="117"/>
  <c r="AL25" i="117"/>
  <c r="F25" i="117"/>
  <c r="AK24" i="104"/>
  <c r="AL25" i="104"/>
  <c r="F25" i="104"/>
  <c r="BD55" i="104"/>
  <c r="H55" i="104"/>
  <c r="A56" i="104"/>
  <c r="U45" i="35"/>
  <c r="U44" i="35"/>
  <c r="U42" i="35"/>
  <c r="AO27" i="41"/>
  <c r="U46" i="35"/>
  <c r="U21" i="35"/>
  <c r="U32" i="35"/>
  <c r="U20" i="35"/>
  <c r="AP26" i="35"/>
  <c r="U41" i="35"/>
  <c r="U31" i="35"/>
  <c r="U22" i="35"/>
  <c r="U23" i="35"/>
  <c r="U39" i="35"/>
  <c r="U30" i="35"/>
  <c r="U34" i="35"/>
  <c r="I16" i="35"/>
  <c r="H14" i="35"/>
  <c r="U25" i="35"/>
  <c r="U43" i="35"/>
  <c r="U36" i="35"/>
  <c r="W19" i="41"/>
  <c r="U38" i="35"/>
  <c r="U37" i="35"/>
  <c r="U29" i="35"/>
  <c r="A49" i="117"/>
  <c r="H50" i="117"/>
  <c r="BD50" i="117"/>
  <c r="BD56" i="117"/>
  <c r="A57" i="117"/>
  <c r="H56" i="117"/>
  <c r="A32" i="101"/>
  <c r="J33" i="101"/>
  <c r="A49" i="104"/>
  <c r="H50" i="104"/>
  <c r="BD50" i="104"/>
  <c r="BD51" i="118"/>
  <c r="H51" i="118"/>
  <c r="A50" i="118"/>
  <c r="A56" i="118"/>
  <c r="BD55" i="118"/>
  <c r="H55" i="118"/>
  <c r="F24" i="118"/>
  <c r="F24" i="117"/>
  <c r="F24" i="104"/>
  <c r="AL25" i="118"/>
  <c r="F25" i="118"/>
  <c r="BD56" i="104"/>
  <c r="A57" i="104"/>
  <c r="H56" i="104"/>
  <c r="X19" i="41"/>
  <c r="W14" i="41"/>
  <c r="AP27" i="35"/>
  <c r="I14" i="35"/>
  <c r="J16" i="35"/>
  <c r="AO28" i="41"/>
  <c r="BD49" i="117"/>
  <c r="A48" i="117"/>
  <c r="H49" i="117"/>
  <c r="A57" i="118"/>
  <c r="BD56" i="118"/>
  <c r="H56" i="118"/>
  <c r="A31" i="101"/>
  <c r="J32" i="101"/>
  <c r="A48" i="104"/>
  <c r="BD49" i="104"/>
  <c r="H49" i="104"/>
  <c r="A49" i="118"/>
  <c r="BD50" i="118"/>
  <c r="H50" i="118"/>
  <c r="A58" i="117"/>
  <c r="BD57" i="117"/>
  <c r="H57" i="117"/>
  <c r="H57" i="104"/>
  <c r="BD57" i="104"/>
  <c r="A58" i="104"/>
  <c r="AP28" i="35"/>
  <c r="K16" i="35"/>
  <c r="J14" i="35"/>
  <c r="AO29" i="41"/>
  <c r="X14" i="41"/>
  <c r="AA19" i="41"/>
  <c r="Z19" i="41"/>
  <c r="Z14" i="41"/>
  <c r="Y19" i="41"/>
  <c r="H48" i="117"/>
  <c r="BD48" i="117"/>
  <c r="A47" i="117"/>
  <c r="A48" i="118"/>
  <c r="H49" i="118"/>
  <c r="BD49" i="118"/>
  <c r="A47" i="104"/>
  <c r="H48" i="104"/>
  <c r="BD48" i="104"/>
  <c r="A59" i="117"/>
  <c r="H58" i="117"/>
  <c r="BD58" i="117"/>
  <c r="A30" i="101"/>
  <c r="J31" i="101"/>
  <c r="A58" i="118"/>
  <c r="BD57" i="118"/>
  <c r="H57" i="118"/>
  <c r="BD58" i="104"/>
  <c r="H58" i="104"/>
  <c r="A59" i="104"/>
  <c r="Y14" i="41"/>
  <c r="AD19" i="41"/>
  <c r="U19" i="41"/>
  <c r="AB19" i="41"/>
  <c r="AA14" i="41"/>
  <c r="AO30" i="41"/>
  <c r="AP29" i="35"/>
  <c r="L16" i="35"/>
  <c r="K14" i="35"/>
  <c r="BD47" i="117"/>
  <c r="A46" i="117"/>
  <c r="H47" i="117"/>
  <c r="A29" i="101"/>
  <c r="J30" i="101"/>
  <c r="A60" i="117"/>
  <c r="BD59" i="117"/>
  <c r="H59" i="117"/>
  <c r="A46" i="104"/>
  <c r="BD47" i="104"/>
  <c r="H47" i="104"/>
  <c r="BD58" i="118"/>
  <c r="H58" i="118"/>
  <c r="A59" i="118"/>
  <c r="BD48" i="118"/>
  <c r="A47" i="118"/>
  <c r="H48" i="118"/>
  <c r="H59" i="104"/>
  <c r="BD59" i="104"/>
  <c r="A60" i="104"/>
  <c r="M16" i="35"/>
  <c r="L14" i="35"/>
  <c r="AB14" i="41"/>
  <c r="AC20" i="41"/>
  <c r="AP30" i="35"/>
  <c r="V20" i="41"/>
  <c r="U14" i="41"/>
  <c r="AO31" i="41"/>
  <c r="AD12" i="41"/>
  <c r="AF12" i="41"/>
  <c r="AK19" i="41"/>
  <c r="AK17" i="41"/>
  <c r="AK15" i="41"/>
  <c r="AS19" i="41"/>
  <c r="AS17" i="41"/>
  <c r="AF2" i="41"/>
  <c r="AD14" i="41"/>
  <c r="AF14" i="41"/>
  <c r="AL19" i="41"/>
  <c r="AM19" i="41"/>
  <c r="AM17" i="41"/>
  <c r="AF4" i="41"/>
  <c r="AR19" i="41"/>
  <c r="AR17" i="41"/>
  <c r="AF5" i="41"/>
  <c r="AN19" i="41"/>
  <c r="AF19" i="41"/>
  <c r="BD46" i="117"/>
  <c r="A45" i="117"/>
  <c r="H46" i="117"/>
  <c r="BD47" i="118"/>
  <c r="A46" i="118"/>
  <c r="H47" i="118"/>
  <c r="A60" i="118"/>
  <c r="BD59" i="118"/>
  <c r="H59" i="118"/>
  <c r="H60" i="117"/>
  <c r="A61" i="117"/>
  <c r="BD60" i="117"/>
  <c r="A45" i="104"/>
  <c r="BD46" i="104"/>
  <c r="H46" i="104"/>
  <c r="A28" i="101"/>
  <c r="J29" i="101"/>
  <c r="BD60" i="104"/>
  <c r="A61" i="104"/>
  <c r="H60" i="104"/>
  <c r="AN17" i="41"/>
  <c r="AQ19" i="41"/>
  <c r="AQ17" i="41"/>
  <c r="AO32" i="41"/>
  <c r="AP31" i="35"/>
  <c r="V14" i="41"/>
  <c r="W20" i="41"/>
  <c r="X20" i="41"/>
  <c r="AG20" i="41"/>
  <c r="AC14" i="41"/>
  <c r="M14" i="35"/>
  <c r="N16" i="35"/>
  <c r="BD45" i="117"/>
  <c r="A44" i="117"/>
  <c r="H45" i="117"/>
  <c r="J28" i="101"/>
  <c r="A27" i="101"/>
  <c r="H61" i="117"/>
  <c r="A62" i="117"/>
  <c r="BD61" i="117"/>
  <c r="A44" i="104"/>
  <c r="BD45" i="104"/>
  <c r="H45" i="104"/>
  <c r="A61" i="118"/>
  <c r="H60" i="118"/>
  <c r="BD60" i="118"/>
  <c r="BD46" i="118"/>
  <c r="A45" i="118"/>
  <c r="H46" i="118"/>
  <c r="H61" i="104"/>
  <c r="BD61" i="104"/>
  <c r="A62" i="104"/>
  <c r="AP32" i="35"/>
  <c r="AO33" i="41"/>
  <c r="O16" i="35"/>
  <c r="N14" i="35"/>
  <c r="Z20" i="41"/>
  <c r="Y20" i="41"/>
  <c r="AA20" i="41"/>
  <c r="AB20" i="41"/>
  <c r="BD44" i="117"/>
  <c r="A43" i="117"/>
  <c r="H44" i="117"/>
  <c r="A26" i="101"/>
  <c r="J27" i="101"/>
  <c r="H61" i="118"/>
  <c r="A62" i="118"/>
  <c r="BD61" i="118"/>
  <c r="H62" i="117"/>
  <c r="A63" i="117"/>
  <c r="BD62" i="117"/>
  <c r="A43" i="104"/>
  <c r="BD44" i="104"/>
  <c r="H44" i="104"/>
  <c r="BD45" i="118"/>
  <c r="A44" i="118"/>
  <c r="H45" i="118"/>
  <c r="H62" i="104"/>
  <c r="BD62" i="104"/>
  <c r="A63" i="104"/>
  <c r="AO34" i="41"/>
  <c r="AC21" i="41"/>
  <c r="AG21" i="41"/>
  <c r="P16" i="35"/>
  <c r="O14" i="35"/>
  <c r="AD20" i="41"/>
  <c r="U20" i="41"/>
  <c r="AP33" i="35"/>
  <c r="BD43" i="117"/>
  <c r="A42" i="117"/>
  <c r="H43" i="117"/>
  <c r="A64" i="117"/>
  <c r="H63" i="117"/>
  <c r="BD63" i="117"/>
  <c r="H62" i="118"/>
  <c r="BD62" i="118"/>
  <c r="A63" i="118"/>
  <c r="BD43" i="104"/>
  <c r="A42" i="104"/>
  <c r="H43" i="104"/>
  <c r="A43" i="118"/>
  <c r="BD44" i="118"/>
  <c r="H44" i="118"/>
  <c r="A25" i="101"/>
  <c r="J26" i="101"/>
  <c r="H63" i="104"/>
  <c r="BD63" i="104"/>
  <c r="AF20" i="41"/>
  <c r="AR20" i="41"/>
  <c r="AN20" i="41"/>
  <c r="AQ20" i="41"/>
  <c r="AS20" i="41"/>
  <c r="AL20" i="41"/>
  <c r="AM20" i="41"/>
  <c r="AK20" i="41"/>
  <c r="AP34" i="35"/>
  <c r="Q16" i="35"/>
  <c r="P14" i="35"/>
  <c r="V21" i="41"/>
  <c r="W21" i="41"/>
  <c r="X21" i="41"/>
  <c r="AO35" i="41"/>
  <c r="BD42" i="117"/>
  <c r="A41" i="117"/>
  <c r="H42" i="117"/>
  <c r="A42" i="118"/>
  <c r="BD43" i="118"/>
  <c r="H43" i="118"/>
  <c r="A24" i="101"/>
  <c r="J25" i="101"/>
  <c r="A41" i="104"/>
  <c r="BD42" i="104"/>
  <c r="H42" i="104"/>
  <c r="A65" i="117"/>
  <c r="BD64" i="117"/>
  <c r="H64" i="117"/>
  <c r="H63" i="118"/>
  <c r="BD63" i="118"/>
  <c r="A64" i="118"/>
  <c r="Y21" i="41"/>
  <c r="Z21" i="41"/>
  <c r="AA21" i="41"/>
  <c r="AB21" i="41"/>
  <c r="AP35" i="35"/>
  <c r="AO36" i="41"/>
  <c r="R16" i="35"/>
  <c r="Q14" i="35"/>
  <c r="A40" i="117"/>
  <c r="BD41" i="117"/>
  <c r="H41" i="117"/>
  <c r="A40" i="104"/>
  <c r="BD41" i="104"/>
  <c r="H41" i="104"/>
  <c r="A23" i="101"/>
  <c r="J24" i="101"/>
  <c r="A65" i="118"/>
  <c r="BD64" i="118"/>
  <c r="H64" i="118"/>
  <c r="H65" i="117"/>
  <c r="A66" i="117"/>
  <c r="BD65" i="117"/>
  <c r="A41" i="118"/>
  <c r="BD42" i="118"/>
  <c r="H42" i="118"/>
  <c r="AP36" i="35"/>
  <c r="AO17" i="41"/>
  <c r="AP36" i="41"/>
  <c r="AC22" i="41"/>
  <c r="AG22" i="41"/>
  <c r="R14" i="35"/>
  <c r="T16" i="35"/>
  <c r="AD21" i="41"/>
  <c r="U21" i="41"/>
  <c r="BD40" i="117"/>
  <c r="A39" i="117"/>
  <c r="H40" i="117"/>
  <c r="A66" i="118"/>
  <c r="BD65" i="118"/>
  <c r="H65" i="118"/>
  <c r="A67" i="117"/>
  <c r="BD66" i="117"/>
  <c r="H66" i="117"/>
  <c r="A22" i="101"/>
  <c r="J23" i="101"/>
  <c r="A40" i="118"/>
  <c r="BD41" i="118"/>
  <c r="H41" i="118"/>
  <c r="A39" i="104"/>
  <c r="BD40" i="104"/>
  <c r="H40" i="104"/>
  <c r="V22" i="41"/>
  <c r="W22" i="41"/>
  <c r="X22" i="41"/>
  <c r="AF21" i="41"/>
  <c r="AR21" i="41"/>
  <c r="AK21" i="41"/>
  <c r="AL21" i="41"/>
  <c r="AM21" i="41"/>
  <c r="AS21" i="41"/>
  <c r="AN21" i="41"/>
  <c r="AQ21" i="41"/>
  <c r="U19" i="35"/>
  <c r="T14" i="35"/>
  <c r="AP22" i="41"/>
  <c r="AP19" i="41"/>
  <c r="AP23" i="41"/>
  <c r="AP20" i="41"/>
  <c r="AP21" i="41"/>
  <c r="AP24" i="41"/>
  <c r="AP25" i="41"/>
  <c r="AP26" i="41"/>
  <c r="AP27" i="41"/>
  <c r="AP28" i="41"/>
  <c r="AP29" i="41"/>
  <c r="AP30" i="41"/>
  <c r="AP31" i="41"/>
  <c r="AP32" i="41"/>
  <c r="AP33" i="41"/>
  <c r="AP34" i="41"/>
  <c r="AP35" i="41"/>
  <c r="AP17" i="35"/>
  <c r="AQ36" i="35"/>
  <c r="BD39" i="117"/>
  <c r="A38" i="117"/>
  <c r="H39" i="117"/>
  <c r="A39" i="118"/>
  <c r="BD40" i="118"/>
  <c r="H40" i="118"/>
  <c r="A38" i="104"/>
  <c r="BD39" i="104"/>
  <c r="H39" i="104"/>
  <c r="A21" i="101"/>
  <c r="J22" i="101"/>
  <c r="H67" i="117"/>
  <c r="A68" i="117"/>
  <c r="BD67" i="117"/>
  <c r="A67" i="118"/>
  <c r="BD66" i="118"/>
  <c r="H66" i="118"/>
  <c r="Y22" i="41"/>
  <c r="Z22" i="41"/>
  <c r="AA22" i="41"/>
  <c r="AB22" i="41"/>
  <c r="X19" i="35"/>
  <c r="AP17" i="41"/>
  <c r="AQ15" i="41"/>
  <c r="AF3" i="41"/>
  <c r="AQ22" i="35"/>
  <c r="AQ19" i="35"/>
  <c r="AQ20" i="35"/>
  <c r="AQ21" i="35"/>
  <c r="AQ23" i="35"/>
  <c r="AQ24" i="35"/>
  <c r="AQ25" i="35"/>
  <c r="AQ26" i="35"/>
  <c r="AQ27" i="35"/>
  <c r="AQ28" i="35"/>
  <c r="AQ29" i="35"/>
  <c r="AQ30" i="35"/>
  <c r="AQ31" i="35"/>
  <c r="AQ32" i="35"/>
  <c r="AQ33" i="35"/>
  <c r="AQ34" i="35"/>
  <c r="AQ35" i="35"/>
  <c r="A37" i="117"/>
  <c r="BD38" i="117"/>
  <c r="H38" i="117"/>
  <c r="H68" i="117"/>
  <c r="BD68" i="117"/>
  <c r="A20" i="101"/>
  <c r="J21" i="101"/>
  <c r="A37" i="104"/>
  <c r="BD38" i="104"/>
  <c r="H38" i="104"/>
  <c r="BD67" i="118"/>
  <c r="H67" i="118"/>
  <c r="A68" i="118"/>
  <c r="A38" i="118"/>
  <c r="BD39" i="118"/>
  <c r="H39" i="118"/>
  <c r="X14" i="35"/>
  <c r="Y19" i="35"/>
  <c r="AC23" i="41"/>
  <c r="AG23" i="41"/>
  <c r="AQ17" i="35"/>
  <c r="AD22" i="41"/>
  <c r="U22" i="41"/>
  <c r="BD37" i="117"/>
  <c r="A36" i="117"/>
  <c r="H37" i="117"/>
  <c r="A37" i="118"/>
  <c r="BD38" i="118"/>
  <c r="H38" i="118"/>
  <c r="A69" i="118"/>
  <c r="BD68" i="118"/>
  <c r="H68" i="118"/>
  <c r="A36" i="104"/>
  <c r="BD37" i="104"/>
  <c r="H37" i="104"/>
  <c r="A19" i="101"/>
  <c r="J20" i="101"/>
  <c r="V23" i="41"/>
  <c r="W23" i="41"/>
  <c r="X23" i="41"/>
  <c r="AR22" i="41"/>
  <c r="AK22" i="41"/>
  <c r="AF22" i="41"/>
  <c r="AN22" i="41"/>
  <c r="AQ22" i="41"/>
  <c r="AS22" i="41"/>
  <c r="AL22" i="41"/>
  <c r="AM22" i="41"/>
  <c r="Y14" i="35"/>
  <c r="AB19" i="35"/>
  <c r="AA19" i="35"/>
  <c r="AA14" i="35"/>
  <c r="Z19" i="35"/>
  <c r="H36" i="117"/>
  <c r="A35" i="117"/>
  <c r="BD36" i="117"/>
  <c r="A18" i="101"/>
  <c r="J19" i="101"/>
  <c r="A35" i="104"/>
  <c r="BD36" i="104"/>
  <c r="H36" i="104"/>
  <c r="H69" i="118"/>
  <c r="A70" i="118"/>
  <c r="BD69" i="118"/>
  <c r="A36" i="118"/>
  <c r="BD37" i="118"/>
  <c r="H37" i="118"/>
  <c r="Y23" i="41"/>
  <c r="Z23" i="41"/>
  <c r="AA23" i="41"/>
  <c r="AB23" i="41"/>
  <c r="AE19" i="35"/>
  <c r="Z14" i="35"/>
  <c r="V19" i="35"/>
  <c r="AC19" i="35"/>
  <c r="AB14" i="35"/>
  <c r="BD35" i="117"/>
  <c r="A34" i="117"/>
  <c r="H35" i="117"/>
  <c r="A34" i="104"/>
  <c r="BD35" i="104"/>
  <c r="H35" i="104"/>
  <c r="A35" i="118"/>
  <c r="BD36" i="118"/>
  <c r="H36" i="118"/>
  <c r="BD70" i="118"/>
  <c r="H70" i="118"/>
  <c r="A71" i="118"/>
  <c r="A17" i="101"/>
  <c r="J18" i="101"/>
  <c r="AM19" i="35"/>
  <c r="AN19" i="35"/>
  <c r="AN17" i="35"/>
  <c r="AG4" i="35"/>
  <c r="AT19" i="35"/>
  <c r="AT17" i="35"/>
  <c r="AS19" i="35"/>
  <c r="AS17" i="35"/>
  <c r="AG5" i="35"/>
  <c r="AG19" i="35"/>
  <c r="AE12" i="35"/>
  <c r="AG12" i="35"/>
  <c r="AL19" i="35"/>
  <c r="AL17" i="35"/>
  <c r="AL15" i="35"/>
  <c r="AG2" i="35"/>
  <c r="AE14" i="35"/>
  <c r="AG14" i="35"/>
  <c r="AC14" i="35"/>
  <c r="AD20" i="35"/>
  <c r="AC24" i="41"/>
  <c r="AG24" i="41"/>
  <c r="W20" i="35"/>
  <c r="V14" i="35"/>
  <c r="AD23" i="41"/>
  <c r="U23" i="41"/>
  <c r="A33" i="117"/>
  <c r="BD34" i="117"/>
  <c r="H34" i="117"/>
  <c r="A16" i="101"/>
  <c r="J17" i="101"/>
  <c r="A34" i="118"/>
  <c r="BD35" i="118"/>
  <c r="H35" i="118"/>
  <c r="A33" i="104"/>
  <c r="BD34" i="104"/>
  <c r="H34" i="104"/>
  <c r="A72" i="118"/>
  <c r="BD71" i="118"/>
  <c r="H71" i="118"/>
  <c r="V24" i="41"/>
  <c r="W24" i="41"/>
  <c r="X24" i="41"/>
  <c r="AS23" i="41"/>
  <c r="AN23" i="41"/>
  <c r="AQ23" i="41"/>
  <c r="AF23" i="41"/>
  <c r="AK23" i="41"/>
  <c r="AR23" i="41"/>
  <c r="AL23" i="41"/>
  <c r="AM23" i="41"/>
  <c r="AO19" i="35"/>
  <c r="W14" i="35"/>
  <c r="X20" i="35"/>
  <c r="Y20" i="35"/>
  <c r="AH20" i="35"/>
  <c r="AD14" i="35"/>
  <c r="A32" i="117"/>
  <c r="H33" i="117"/>
  <c r="BD33" i="117"/>
  <c r="A32" i="104"/>
  <c r="BD33" i="104"/>
  <c r="H33" i="104"/>
  <c r="A33" i="118"/>
  <c r="BD34" i="118"/>
  <c r="H34" i="118"/>
  <c r="H72" i="118"/>
  <c r="A73" i="118"/>
  <c r="BD72" i="118"/>
  <c r="A15" i="101"/>
  <c r="J16" i="101"/>
  <c r="Z24" i="41"/>
  <c r="Y24" i="41"/>
  <c r="AA24" i="41"/>
  <c r="AB24" i="41"/>
  <c r="AO17" i="35"/>
  <c r="AR19" i="35"/>
  <c r="AR17" i="35"/>
  <c r="AR15" i="35"/>
  <c r="AG3" i="35"/>
  <c r="AA20" i="35"/>
  <c r="Z20" i="35"/>
  <c r="AB20" i="35"/>
  <c r="AC20" i="35"/>
  <c r="A31" i="117"/>
  <c r="BD32" i="117"/>
  <c r="H32" i="117"/>
  <c r="A14" i="101"/>
  <c r="J15" i="101"/>
  <c r="A32" i="118"/>
  <c r="BD33" i="118"/>
  <c r="H33" i="118"/>
  <c r="A74" i="118"/>
  <c r="BD73" i="118"/>
  <c r="H73" i="118"/>
  <c r="A31" i="104"/>
  <c r="BD32" i="104"/>
  <c r="H32" i="104"/>
  <c r="AD21" i="35"/>
  <c r="AH21" i="35"/>
  <c r="AE20" i="35"/>
  <c r="V20" i="35"/>
  <c r="AC25" i="41"/>
  <c r="AG25" i="41"/>
  <c r="AD24" i="41"/>
  <c r="U24" i="41"/>
  <c r="A30" i="117"/>
  <c r="H31" i="117"/>
  <c r="BD31" i="117"/>
  <c r="A31" i="118"/>
  <c r="BD32" i="118"/>
  <c r="H32" i="118"/>
  <c r="A75" i="118"/>
  <c r="BD74" i="118"/>
  <c r="H74" i="118"/>
  <c r="A30" i="104"/>
  <c r="H31" i="104"/>
  <c r="BD31" i="104"/>
  <c r="A13" i="101"/>
  <c r="J14" i="101"/>
  <c r="V25" i="41"/>
  <c r="W25" i="41"/>
  <c r="X25" i="41"/>
  <c r="W21" i="35"/>
  <c r="X21" i="35"/>
  <c r="Y21" i="35"/>
  <c r="AS24" i="41"/>
  <c r="AF24" i="41"/>
  <c r="AK24" i="41"/>
  <c r="AN24" i="41"/>
  <c r="AQ24" i="41"/>
  <c r="AL24" i="41"/>
  <c r="AM24" i="41"/>
  <c r="AR24" i="41"/>
  <c r="AL20" i="35"/>
  <c r="AO20" i="35"/>
  <c r="AR20" i="35"/>
  <c r="AS20" i="35"/>
  <c r="AM20" i="35"/>
  <c r="AN20" i="35"/>
  <c r="AG20" i="35"/>
  <c r="AT20" i="35"/>
  <c r="BD30" i="117"/>
  <c r="H30" i="117"/>
  <c r="A29" i="117"/>
  <c r="A76" i="118"/>
  <c r="BD75" i="118"/>
  <c r="H75" i="118"/>
  <c r="A12" i="101"/>
  <c r="J13" i="101"/>
  <c r="A29" i="104"/>
  <c r="BD30" i="104"/>
  <c r="H30" i="104"/>
  <c r="A30" i="118"/>
  <c r="BD31" i="118"/>
  <c r="H31" i="118"/>
  <c r="Z25" i="41"/>
  <c r="Y25" i="41"/>
  <c r="AA25" i="41"/>
  <c r="AB25" i="41"/>
  <c r="AA21" i="35"/>
  <c r="Z21" i="35"/>
  <c r="AB21" i="35"/>
  <c r="AC21" i="35"/>
  <c r="BD29" i="117"/>
  <c r="A28" i="117"/>
  <c r="H29" i="117"/>
  <c r="BD30" i="118"/>
  <c r="A29" i="118"/>
  <c r="H30" i="118"/>
  <c r="A28" i="104"/>
  <c r="BD29" i="104"/>
  <c r="H29" i="104"/>
  <c r="J12" i="101"/>
  <c r="A11" i="101"/>
  <c r="H76" i="118"/>
  <c r="A77" i="118"/>
  <c r="BD76" i="118"/>
  <c r="AC26" i="41"/>
  <c r="AG26" i="41"/>
  <c r="AD22" i="35"/>
  <c r="AH22" i="35"/>
  <c r="AD25" i="41"/>
  <c r="U25" i="41"/>
  <c r="AE21" i="35"/>
  <c r="V21" i="35"/>
  <c r="BD28" i="117"/>
  <c r="H28" i="117"/>
  <c r="A27" i="117"/>
  <c r="A10" i="101"/>
  <c r="J11" i="101"/>
  <c r="A78" i="118"/>
  <c r="BD77" i="118"/>
  <c r="H77" i="118"/>
  <c r="A27" i="104"/>
  <c r="BD28" i="104"/>
  <c r="H28" i="104"/>
  <c r="BD29" i="118"/>
  <c r="A28" i="118"/>
  <c r="H29" i="118"/>
  <c r="AN25" i="41"/>
  <c r="AQ25" i="41"/>
  <c r="AK25" i="41"/>
  <c r="AR25" i="41"/>
  <c r="AS25" i="41"/>
  <c r="AF25" i="41"/>
  <c r="AL25" i="41"/>
  <c r="AM25" i="41"/>
  <c r="W22" i="35"/>
  <c r="X22" i="35"/>
  <c r="Y22" i="35"/>
  <c r="AB22" i="35"/>
  <c r="AC22" i="35"/>
  <c r="AO21" i="35"/>
  <c r="AR21" i="35"/>
  <c r="AT21" i="35"/>
  <c r="AS21" i="35"/>
  <c r="AM21" i="35"/>
  <c r="AN21" i="35"/>
  <c r="AL21" i="35"/>
  <c r="AG21" i="35"/>
  <c r="V26" i="41"/>
  <c r="A26" i="117"/>
  <c r="BD27" i="117"/>
  <c r="H27" i="117"/>
  <c r="A26" i="104"/>
  <c r="BD27" i="104"/>
  <c r="H27" i="104"/>
  <c r="A79" i="118"/>
  <c r="BD78" i="118"/>
  <c r="H78" i="118"/>
  <c r="A27" i="118"/>
  <c r="BD28" i="118"/>
  <c r="H28" i="118"/>
  <c r="A9" i="101"/>
  <c r="J10" i="101"/>
  <c r="AD23" i="35"/>
  <c r="AH23" i="35"/>
  <c r="AA22" i="35"/>
  <c r="Z22" i="35"/>
  <c r="BD26" i="117"/>
  <c r="H26" i="117"/>
  <c r="A25" i="117"/>
  <c r="A8" i="101"/>
  <c r="J9" i="101"/>
  <c r="BD27" i="118"/>
  <c r="A26" i="118"/>
  <c r="H27" i="118"/>
  <c r="BD79" i="118"/>
  <c r="H79" i="118"/>
  <c r="A80" i="118"/>
  <c r="A25" i="104"/>
  <c r="BD26" i="104"/>
  <c r="H26" i="104"/>
  <c r="AE22" i="35"/>
  <c r="V22" i="35"/>
  <c r="A24" i="117"/>
  <c r="H25" i="117"/>
  <c r="BD25" i="117"/>
  <c r="A24" i="104"/>
  <c r="BD25" i="104"/>
  <c r="H9" i="103"/>
  <c r="H25" i="104"/>
  <c r="H80" i="118"/>
  <c r="A81" i="118"/>
  <c r="BD80" i="118"/>
  <c r="BD26" i="118"/>
  <c r="A25" i="118"/>
  <c r="H26" i="118"/>
  <c r="A7" i="101"/>
  <c r="J8" i="101"/>
  <c r="AT22" i="35"/>
  <c r="AS22" i="35"/>
  <c r="AM22" i="35"/>
  <c r="AN22" i="35"/>
  <c r="AG22" i="35"/>
  <c r="AL22" i="35"/>
  <c r="AO22" i="35"/>
  <c r="AR22" i="35"/>
  <c r="W23" i="35"/>
  <c r="X23" i="35"/>
  <c r="Y23" i="35"/>
  <c r="AB23" i="35"/>
  <c r="AC23" i="35"/>
  <c r="BD24" i="117"/>
  <c r="A23" i="117"/>
  <c r="H24" i="117"/>
  <c r="A6" i="101"/>
  <c r="J7" i="101"/>
  <c r="BD81" i="118"/>
  <c r="H81" i="118"/>
  <c r="A82" i="118"/>
  <c r="A24" i="118"/>
  <c r="BD25" i="118"/>
  <c r="H25" i="118"/>
  <c r="BD24" i="104"/>
  <c r="A23" i="104"/>
  <c r="H8" i="103"/>
  <c r="H24" i="104"/>
  <c r="AD24" i="35"/>
  <c r="AH24" i="35"/>
  <c r="AA23" i="35"/>
  <c r="Z23" i="35"/>
  <c r="H23" i="117"/>
  <c r="A22" i="117"/>
  <c r="BD24" i="118"/>
  <c r="A23" i="118"/>
  <c r="H24" i="118"/>
  <c r="A22" i="104"/>
  <c r="H23" i="104"/>
  <c r="H82" i="118"/>
  <c r="A83" i="118"/>
  <c r="BD82" i="118"/>
  <c r="A5" i="101"/>
  <c r="J6" i="101"/>
  <c r="AE23" i="35"/>
  <c r="V23" i="35"/>
  <c r="H22" i="117"/>
  <c r="A21" i="117"/>
  <c r="H21" i="117"/>
  <c r="H19" i="117"/>
  <c r="A4" i="101"/>
  <c r="I83" i="118"/>
  <c r="J5" i="101"/>
  <c r="A84" i="118"/>
  <c r="BD83" i="118"/>
  <c r="H83" i="118"/>
  <c r="A21" i="104"/>
  <c r="H22" i="104"/>
  <c r="A22" i="118"/>
  <c r="B23" i="118"/>
  <c r="H23" i="118"/>
  <c r="I23" i="118"/>
  <c r="W24" i="35"/>
  <c r="X24" i="35"/>
  <c r="Y24" i="35"/>
  <c r="AT23" i="35"/>
  <c r="AM23" i="35"/>
  <c r="AN23" i="35"/>
  <c r="AS23" i="35"/>
  <c r="AG23" i="35"/>
  <c r="AL23" i="35"/>
  <c r="AO23" i="35"/>
  <c r="AR23" i="35"/>
  <c r="I22" i="104"/>
  <c r="J22" i="104"/>
  <c r="B22" i="104"/>
  <c r="BK83" i="118"/>
  <c r="J83" i="118"/>
  <c r="K83" i="118"/>
  <c r="L83" i="118"/>
  <c r="M83" i="118"/>
  <c r="N83" i="118"/>
  <c r="O83" i="118"/>
  <c r="P83" i="118"/>
  <c r="Q83" i="118"/>
  <c r="R83" i="118"/>
  <c r="S83" i="118"/>
  <c r="T83" i="118"/>
  <c r="U83" i="118"/>
  <c r="V83" i="118"/>
  <c r="W83" i="118"/>
  <c r="X83" i="118"/>
  <c r="Y83" i="118"/>
  <c r="Z83" i="118"/>
  <c r="A21" i="118"/>
  <c r="I22" i="118"/>
  <c r="B22" i="118"/>
  <c r="H22" i="118"/>
  <c r="B21" i="104"/>
  <c r="I21" i="104"/>
  <c r="H21" i="104"/>
  <c r="H19" i="104"/>
  <c r="H84" i="118"/>
  <c r="A85" i="118"/>
  <c r="BD84" i="118"/>
  <c r="I84" i="118"/>
  <c r="J23" i="118"/>
  <c r="K23" i="118"/>
  <c r="L23" i="118"/>
  <c r="M23" i="118"/>
  <c r="N23" i="118"/>
  <c r="O23" i="118"/>
  <c r="P23" i="118"/>
  <c r="Q23" i="118"/>
  <c r="R23" i="118"/>
  <c r="S23" i="118"/>
  <c r="T23" i="118"/>
  <c r="U23" i="118"/>
  <c r="V23" i="118"/>
  <c r="W23" i="118"/>
  <c r="X23" i="118"/>
  <c r="Y23" i="118"/>
  <c r="Z23" i="118"/>
  <c r="I51" i="117"/>
  <c r="B49" i="117"/>
  <c r="B48" i="117"/>
  <c r="I54" i="117"/>
  <c r="B47" i="117"/>
  <c r="B45" i="117"/>
  <c r="B44" i="117"/>
  <c r="J4" i="101"/>
  <c r="I53" i="117"/>
  <c r="I49" i="117"/>
  <c r="B50" i="117"/>
  <c r="I50" i="117"/>
  <c r="I54" i="104"/>
  <c r="I48" i="117"/>
  <c r="B51" i="117"/>
  <c r="I53" i="118"/>
  <c r="B52" i="117"/>
  <c r="I53" i="104"/>
  <c r="I52" i="104"/>
  <c r="I47" i="117"/>
  <c r="I45" i="117"/>
  <c r="I44" i="117"/>
  <c r="I42" i="117"/>
  <c r="B39" i="117"/>
  <c r="I37" i="117"/>
  <c r="I46" i="117"/>
  <c r="I43" i="117"/>
  <c r="I38" i="117"/>
  <c r="B46" i="117"/>
  <c r="B43" i="117"/>
  <c r="B42" i="117"/>
  <c r="B41" i="117"/>
  <c r="I41" i="117"/>
  <c r="I40" i="117"/>
  <c r="I39" i="117"/>
  <c r="B37" i="117"/>
  <c r="I52" i="117"/>
  <c r="I55" i="104"/>
  <c r="B40" i="117"/>
  <c r="B38" i="117"/>
  <c r="B52" i="104"/>
  <c r="B52" i="118"/>
  <c r="I56" i="104"/>
  <c r="B36" i="117"/>
  <c r="I54" i="118"/>
  <c r="I36" i="117"/>
  <c r="I52" i="118"/>
  <c r="I51" i="104"/>
  <c r="B51" i="104"/>
  <c r="I55" i="117"/>
  <c r="I57" i="104"/>
  <c r="B51" i="118"/>
  <c r="I55" i="118"/>
  <c r="B35" i="117"/>
  <c r="I50" i="104"/>
  <c r="I51" i="118"/>
  <c r="B50" i="104"/>
  <c r="I35" i="117"/>
  <c r="I56" i="117"/>
  <c r="I56" i="118"/>
  <c r="I49" i="104"/>
  <c r="B50" i="118"/>
  <c r="I57" i="117"/>
  <c r="B34" i="117"/>
  <c r="I50" i="118"/>
  <c r="I58" i="104"/>
  <c r="I34" i="117"/>
  <c r="B49" i="104"/>
  <c r="I49" i="118"/>
  <c r="I33" i="117"/>
  <c r="B48" i="104"/>
  <c r="I48" i="104"/>
  <c r="B33" i="117"/>
  <c r="I59" i="104"/>
  <c r="I58" i="117"/>
  <c r="B49" i="118"/>
  <c r="I57" i="118"/>
  <c r="I59" i="117"/>
  <c r="I32" i="117"/>
  <c r="I48" i="118"/>
  <c r="B47" i="104"/>
  <c r="I58" i="118"/>
  <c r="I60" i="104"/>
  <c r="B32" i="117"/>
  <c r="I47" i="104"/>
  <c r="B48" i="118"/>
  <c r="I47" i="118"/>
  <c r="I31" i="117"/>
  <c r="I61" i="104"/>
  <c r="I59" i="118"/>
  <c r="I60" i="117"/>
  <c r="I46" i="104"/>
  <c r="B31" i="117"/>
  <c r="B46" i="104"/>
  <c r="B47" i="118"/>
  <c r="I46" i="118"/>
  <c r="B30" i="117"/>
  <c r="I62" i="104"/>
  <c r="I61" i="117"/>
  <c r="I45" i="104"/>
  <c r="I60" i="118"/>
  <c r="B46" i="118"/>
  <c r="I30" i="117"/>
  <c r="B45" i="104"/>
  <c r="I63" i="104"/>
  <c r="I44" i="104"/>
  <c r="I29" i="117"/>
  <c r="I61" i="118"/>
  <c r="I62" i="117"/>
  <c r="B44" i="104"/>
  <c r="B29" i="117"/>
  <c r="I45" i="118"/>
  <c r="B45" i="118"/>
  <c r="I63" i="117"/>
  <c r="I43" i="104"/>
  <c r="B28" i="117"/>
  <c r="B43" i="104"/>
  <c r="I44" i="118"/>
  <c r="I28" i="117"/>
  <c r="I62" i="118"/>
  <c r="B44" i="118"/>
  <c r="B42" i="104"/>
  <c r="I27" i="117"/>
  <c r="I43" i="118"/>
  <c r="I64" i="117"/>
  <c r="B27" i="117"/>
  <c r="B43" i="118"/>
  <c r="I42" i="104"/>
  <c r="I63" i="118"/>
  <c r="B41" i="104"/>
  <c r="B26" i="117"/>
  <c r="I64" i="118"/>
  <c r="I26" i="117"/>
  <c r="B42" i="118"/>
  <c r="I41" i="104"/>
  <c r="I65" i="117"/>
  <c r="I42" i="118"/>
  <c r="I65" i="118"/>
  <c r="I66" i="117"/>
  <c r="B40" i="104"/>
  <c r="I41" i="118"/>
  <c r="B25" i="117"/>
  <c r="I40" i="104"/>
  <c r="B41" i="118"/>
  <c r="I25" i="117"/>
  <c r="I39" i="104"/>
  <c r="I24" i="117"/>
  <c r="I66" i="118"/>
  <c r="B40" i="118"/>
  <c r="B39" i="104"/>
  <c r="I40" i="118"/>
  <c r="I67" i="117"/>
  <c r="B24" i="117"/>
  <c r="I38" i="104"/>
  <c r="I67" i="118"/>
  <c r="I39" i="118"/>
  <c r="I68" i="117"/>
  <c r="B38" i="104"/>
  <c r="B23" i="117"/>
  <c r="B39" i="118"/>
  <c r="I23" i="117"/>
  <c r="I68" i="118"/>
  <c r="I37" i="104"/>
  <c r="B22" i="117"/>
  <c r="B38" i="118"/>
  <c r="B37" i="104"/>
  <c r="I22" i="117"/>
  <c r="I38" i="118"/>
  <c r="B21" i="117"/>
  <c r="B37" i="118"/>
  <c r="B36" i="104"/>
  <c r="I36" i="104"/>
  <c r="I69" i="118"/>
  <c r="I37" i="118"/>
  <c r="I21" i="117"/>
  <c r="B35" i="104"/>
  <c r="I36" i="118"/>
  <c r="I70" i="118"/>
  <c r="I35" i="104"/>
  <c r="B36" i="118"/>
  <c r="B34" i="104"/>
  <c r="B35" i="118"/>
  <c r="I71" i="118"/>
  <c r="I35" i="118"/>
  <c r="I34" i="104"/>
  <c r="B34" i="118"/>
  <c r="I33" i="104"/>
  <c r="B33" i="104"/>
  <c r="I72" i="118"/>
  <c r="I34" i="118"/>
  <c r="B33" i="118"/>
  <c r="I33" i="118"/>
  <c r="I73" i="118"/>
  <c r="I32" i="104"/>
  <c r="B32" i="104"/>
  <c r="B32" i="118"/>
  <c r="I74" i="118"/>
  <c r="I32" i="118"/>
  <c r="B31" i="104"/>
  <c r="I31" i="104"/>
  <c r="B30" i="104"/>
  <c r="I30" i="104"/>
  <c r="B31" i="118"/>
  <c r="I75" i="118"/>
  <c r="I31" i="118"/>
  <c r="I29" i="104"/>
  <c r="I76" i="118"/>
  <c r="B30" i="118"/>
  <c r="B29" i="104"/>
  <c r="I30" i="118"/>
  <c r="I77" i="118"/>
  <c r="I28" i="104"/>
  <c r="B29" i="118"/>
  <c r="B28" i="104"/>
  <c r="I29" i="118"/>
  <c r="B27" i="104"/>
  <c r="I78" i="118"/>
  <c r="B28" i="118"/>
  <c r="I28" i="118"/>
  <c r="I27" i="104"/>
  <c r="B26" i="104"/>
  <c r="I27" i="118"/>
  <c r="B27" i="118"/>
  <c r="I79" i="118"/>
  <c r="I26" i="104"/>
  <c r="I80" i="118"/>
  <c r="I26" i="118"/>
  <c r="B25" i="104"/>
  <c r="B26" i="118"/>
  <c r="I25" i="104"/>
  <c r="I81" i="118"/>
  <c r="I25" i="118"/>
  <c r="B24" i="104"/>
  <c r="I24" i="104"/>
  <c r="B25" i="118"/>
  <c r="I82" i="118"/>
  <c r="I23" i="104"/>
  <c r="B23" i="104"/>
  <c r="I24" i="118"/>
  <c r="B24" i="118"/>
  <c r="AA24" i="35"/>
  <c r="Z24" i="35"/>
  <c r="AB24" i="35"/>
  <c r="AC24" i="35"/>
  <c r="K22" i="104"/>
  <c r="L22" i="104"/>
  <c r="M22" i="104"/>
  <c r="N22" i="104"/>
  <c r="O22" i="104"/>
  <c r="P22" i="104"/>
  <c r="Q22" i="104"/>
  <c r="R22" i="104"/>
  <c r="S22" i="104"/>
  <c r="T22" i="104"/>
  <c r="U22" i="104"/>
  <c r="V22" i="104"/>
  <c r="W22" i="104"/>
  <c r="X22" i="104"/>
  <c r="Y22" i="104"/>
  <c r="Z22" i="104"/>
  <c r="AB23" i="118"/>
  <c r="AB83" i="118"/>
  <c r="J54" i="104"/>
  <c r="K54" i="104"/>
  <c r="L54" i="104"/>
  <c r="M54" i="104"/>
  <c r="N54" i="104"/>
  <c r="O54" i="104"/>
  <c r="P54" i="104"/>
  <c r="Q54" i="104"/>
  <c r="R54" i="104"/>
  <c r="S54" i="104"/>
  <c r="T54" i="104"/>
  <c r="U54" i="104"/>
  <c r="V54" i="104"/>
  <c r="W54" i="104"/>
  <c r="X54" i="104"/>
  <c r="Y54" i="104"/>
  <c r="Z54" i="104"/>
  <c r="BK54" i="104"/>
  <c r="J53" i="117"/>
  <c r="K53" i="117"/>
  <c r="L53" i="117"/>
  <c r="M53" i="117"/>
  <c r="N53" i="117"/>
  <c r="O53" i="117"/>
  <c r="P53" i="117"/>
  <c r="Q53" i="117"/>
  <c r="R53" i="117"/>
  <c r="S53" i="117"/>
  <c r="T53" i="117"/>
  <c r="U53" i="117"/>
  <c r="V53" i="117"/>
  <c r="W53" i="117"/>
  <c r="X53" i="117"/>
  <c r="Y53" i="117"/>
  <c r="Z53" i="117"/>
  <c r="J51" i="117"/>
  <c r="K51" i="117"/>
  <c r="L51" i="117"/>
  <c r="M51" i="117"/>
  <c r="N51" i="117"/>
  <c r="O51" i="117"/>
  <c r="P51" i="117"/>
  <c r="Q51" i="117"/>
  <c r="R51" i="117"/>
  <c r="S51" i="117"/>
  <c r="T51" i="117"/>
  <c r="U51" i="117"/>
  <c r="V51" i="117"/>
  <c r="W51" i="117"/>
  <c r="X51" i="117"/>
  <c r="Y51" i="117"/>
  <c r="Z51" i="117"/>
  <c r="BK80" i="118"/>
  <c r="J80" i="118"/>
  <c r="K80" i="118"/>
  <c r="L80" i="118"/>
  <c r="M80" i="118"/>
  <c r="N80" i="118"/>
  <c r="O80" i="118"/>
  <c r="P80" i="118"/>
  <c r="Q80" i="118"/>
  <c r="R80" i="118"/>
  <c r="S80" i="118"/>
  <c r="T80" i="118"/>
  <c r="U80" i="118"/>
  <c r="V80" i="118"/>
  <c r="W80" i="118"/>
  <c r="X80" i="118"/>
  <c r="Y80" i="118"/>
  <c r="Z80" i="118"/>
  <c r="J30" i="104"/>
  <c r="K30" i="104"/>
  <c r="L30" i="104"/>
  <c r="M30" i="104"/>
  <c r="N30" i="104"/>
  <c r="O30" i="104"/>
  <c r="P30" i="104"/>
  <c r="Q30" i="104"/>
  <c r="R30" i="104"/>
  <c r="S30" i="104"/>
  <c r="T30" i="104"/>
  <c r="U30" i="104"/>
  <c r="V30" i="104"/>
  <c r="W30" i="104"/>
  <c r="X30" i="104"/>
  <c r="Y30" i="104"/>
  <c r="Z30" i="104"/>
  <c r="J63" i="117"/>
  <c r="K63" i="117"/>
  <c r="L63" i="117"/>
  <c r="M63" i="117"/>
  <c r="N63" i="117"/>
  <c r="O63" i="117"/>
  <c r="P63" i="117"/>
  <c r="Q63" i="117"/>
  <c r="R63" i="117"/>
  <c r="S63" i="117"/>
  <c r="T63" i="117"/>
  <c r="U63" i="117"/>
  <c r="V63" i="117"/>
  <c r="W63" i="117"/>
  <c r="X63" i="117"/>
  <c r="Y63" i="117"/>
  <c r="Z63" i="117"/>
  <c r="BK63" i="117"/>
  <c r="J44" i="104"/>
  <c r="K44" i="104"/>
  <c r="L44" i="104"/>
  <c r="M44" i="104"/>
  <c r="N44" i="104"/>
  <c r="O44" i="104"/>
  <c r="P44" i="104"/>
  <c r="Q44" i="104"/>
  <c r="R44" i="104"/>
  <c r="S44" i="104"/>
  <c r="T44" i="104"/>
  <c r="U44" i="104"/>
  <c r="V44" i="104"/>
  <c r="W44" i="104"/>
  <c r="X44" i="104"/>
  <c r="Y44" i="104"/>
  <c r="Z44" i="104"/>
  <c r="BK59" i="117"/>
  <c r="J59" i="117"/>
  <c r="K59" i="117"/>
  <c r="L59" i="117"/>
  <c r="M59" i="117"/>
  <c r="N59" i="117"/>
  <c r="O59" i="117"/>
  <c r="P59" i="117"/>
  <c r="Q59" i="117"/>
  <c r="R59" i="117"/>
  <c r="S59" i="117"/>
  <c r="T59" i="117"/>
  <c r="U59" i="117"/>
  <c r="V59" i="117"/>
  <c r="W59" i="117"/>
  <c r="X59" i="117"/>
  <c r="Y59" i="117"/>
  <c r="Z59" i="117"/>
  <c r="BK58" i="104"/>
  <c r="J58" i="104"/>
  <c r="K58" i="104"/>
  <c r="L58" i="104"/>
  <c r="M58" i="104"/>
  <c r="N58" i="104"/>
  <c r="O58" i="104"/>
  <c r="P58" i="104"/>
  <c r="Q58" i="104"/>
  <c r="R58" i="104"/>
  <c r="S58" i="104"/>
  <c r="T58" i="104"/>
  <c r="U58" i="104"/>
  <c r="V58" i="104"/>
  <c r="W58" i="104"/>
  <c r="X58" i="104"/>
  <c r="Y58" i="104"/>
  <c r="Z58" i="104"/>
  <c r="J35" i="117"/>
  <c r="K35" i="117"/>
  <c r="L35" i="117"/>
  <c r="M35" i="117"/>
  <c r="N35" i="117"/>
  <c r="O35" i="117"/>
  <c r="P35" i="117"/>
  <c r="Q35" i="117"/>
  <c r="R35" i="117"/>
  <c r="S35" i="117"/>
  <c r="T35" i="117"/>
  <c r="U35" i="117"/>
  <c r="V35" i="117"/>
  <c r="W35" i="117"/>
  <c r="X35" i="117"/>
  <c r="Y35" i="117"/>
  <c r="Z35" i="117"/>
  <c r="J36" i="117"/>
  <c r="K36" i="117"/>
  <c r="L36" i="117"/>
  <c r="M36" i="117"/>
  <c r="N36" i="117"/>
  <c r="O36" i="117"/>
  <c r="P36" i="117"/>
  <c r="Q36" i="117"/>
  <c r="R36" i="117"/>
  <c r="S36" i="117"/>
  <c r="T36" i="117"/>
  <c r="U36" i="117"/>
  <c r="V36" i="117"/>
  <c r="W36" i="117"/>
  <c r="X36" i="117"/>
  <c r="Y36" i="117"/>
  <c r="Z36" i="117"/>
  <c r="BK55" i="104"/>
  <c r="J55" i="104"/>
  <c r="K55" i="104"/>
  <c r="L55" i="104"/>
  <c r="M55" i="104"/>
  <c r="N55" i="104"/>
  <c r="O55" i="104"/>
  <c r="P55" i="104"/>
  <c r="Q55" i="104"/>
  <c r="R55" i="104"/>
  <c r="S55" i="104"/>
  <c r="T55" i="104"/>
  <c r="U55" i="104"/>
  <c r="V55" i="104"/>
  <c r="W55" i="104"/>
  <c r="X55" i="104"/>
  <c r="Y55" i="104"/>
  <c r="Z55" i="104"/>
  <c r="J46" i="117"/>
  <c r="K46" i="117"/>
  <c r="L46" i="117"/>
  <c r="M46" i="117"/>
  <c r="N46" i="117"/>
  <c r="O46" i="117"/>
  <c r="P46" i="117"/>
  <c r="Q46" i="117"/>
  <c r="R46" i="117"/>
  <c r="S46" i="117"/>
  <c r="T46" i="117"/>
  <c r="U46" i="117"/>
  <c r="V46" i="117"/>
  <c r="W46" i="117"/>
  <c r="X46" i="117"/>
  <c r="Y46" i="117"/>
  <c r="Z46" i="117"/>
  <c r="J53" i="104"/>
  <c r="K53" i="104"/>
  <c r="L53" i="104"/>
  <c r="M53" i="104"/>
  <c r="N53" i="104"/>
  <c r="O53" i="104"/>
  <c r="P53" i="104"/>
  <c r="Q53" i="104"/>
  <c r="R53" i="104"/>
  <c r="S53" i="104"/>
  <c r="T53" i="104"/>
  <c r="U53" i="104"/>
  <c r="V53" i="104"/>
  <c r="W53" i="104"/>
  <c r="X53" i="104"/>
  <c r="Y53" i="104"/>
  <c r="Z53" i="104"/>
  <c r="H85" i="118"/>
  <c r="A86" i="118"/>
  <c r="BD85" i="118"/>
  <c r="I85" i="118"/>
  <c r="B21" i="118"/>
  <c r="I21" i="118"/>
  <c r="H21" i="118"/>
  <c r="H19" i="118"/>
  <c r="B19" i="104"/>
  <c r="AS46" i="104"/>
  <c r="BP46" i="104"/>
  <c r="B17" i="104"/>
  <c r="J8" i="103"/>
  <c r="J26" i="104"/>
  <c r="K26" i="104"/>
  <c r="L26" i="104"/>
  <c r="M26" i="104"/>
  <c r="N26" i="104"/>
  <c r="O26" i="104"/>
  <c r="P26" i="104"/>
  <c r="Q26" i="104"/>
  <c r="R26" i="104"/>
  <c r="S26" i="104"/>
  <c r="T26" i="104"/>
  <c r="U26" i="104"/>
  <c r="V26" i="104"/>
  <c r="W26" i="104"/>
  <c r="X26" i="104"/>
  <c r="Y26" i="104"/>
  <c r="Z26" i="104"/>
  <c r="J31" i="118"/>
  <c r="K31" i="118"/>
  <c r="L31" i="118"/>
  <c r="M31" i="118"/>
  <c r="N31" i="118"/>
  <c r="O31" i="118"/>
  <c r="P31" i="118"/>
  <c r="Q31" i="118"/>
  <c r="R31" i="118"/>
  <c r="S31" i="118"/>
  <c r="T31" i="118"/>
  <c r="U31" i="118"/>
  <c r="V31" i="118"/>
  <c r="W31" i="118"/>
  <c r="X31" i="118"/>
  <c r="Y31" i="118"/>
  <c r="Z31" i="118"/>
  <c r="BK74" i="118"/>
  <c r="J74" i="118"/>
  <c r="K74" i="118"/>
  <c r="L74" i="118"/>
  <c r="M74" i="118"/>
  <c r="N74" i="118"/>
  <c r="O74" i="118"/>
  <c r="P74" i="118"/>
  <c r="Q74" i="118"/>
  <c r="R74" i="118"/>
  <c r="S74" i="118"/>
  <c r="T74" i="118"/>
  <c r="U74" i="118"/>
  <c r="V74" i="118"/>
  <c r="W74" i="118"/>
  <c r="X74" i="118"/>
  <c r="Y74" i="118"/>
  <c r="Z74" i="118"/>
  <c r="J72" i="118"/>
  <c r="K72" i="118"/>
  <c r="L72" i="118"/>
  <c r="M72" i="118"/>
  <c r="N72" i="118"/>
  <c r="O72" i="118"/>
  <c r="P72" i="118"/>
  <c r="Q72" i="118"/>
  <c r="R72" i="118"/>
  <c r="S72" i="118"/>
  <c r="T72" i="118"/>
  <c r="U72" i="118"/>
  <c r="V72" i="118"/>
  <c r="W72" i="118"/>
  <c r="X72" i="118"/>
  <c r="Y72" i="118"/>
  <c r="Z72" i="118"/>
  <c r="BK72" i="118"/>
  <c r="J36" i="118"/>
  <c r="K36" i="118"/>
  <c r="L36" i="118"/>
  <c r="M36" i="118"/>
  <c r="N36" i="118"/>
  <c r="O36" i="118"/>
  <c r="P36" i="118"/>
  <c r="Q36" i="118"/>
  <c r="R36" i="118"/>
  <c r="S36" i="118"/>
  <c r="T36" i="118"/>
  <c r="U36" i="118"/>
  <c r="V36" i="118"/>
  <c r="W36" i="118"/>
  <c r="X36" i="118"/>
  <c r="Y36" i="118"/>
  <c r="Z36" i="118"/>
  <c r="BK68" i="117"/>
  <c r="J68" i="117"/>
  <c r="K68" i="117"/>
  <c r="L68" i="117"/>
  <c r="M68" i="117"/>
  <c r="N68" i="117"/>
  <c r="O68" i="117"/>
  <c r="P68" i="117"/>
  <c r="Q68" i="117"/>
  <c r="R68" i="117"/>
  <c r="S68" i="117"/>
  <c r="T68" i="117"/>
  <c r="U68" i="117"/>
  <c r="V68" i="117"/>
  <c r="W68" i="117"/>
  <c r="X68" i="117"/>
  <c r="Y68" i="117"/>
  <c r="Z68" i="117"/>
  <c r="B17" i="117"/>
  <c r="B19" i="117"/>
  <c r="AS47" i="117"/>
  <c r="AT24" i="117"/>
  <c r="AU24" i="117"/>
  <c r="AV24" i="117"/>
  <c r="BA24" i="117"/>
  <c r="BB24" i="117"/>
  <c r="J25" i="117"/>
  <c r="K25" i="117"/>
  <c r="L25" i="117"/>
  <c r="M25" i="117"/>
  <c r="N25" i="117"/>
  <c r="O25" i="117"/>
  <c r="P25" i="117"/>
  <c r="Q25" i="117"/>
  <c r="R25" i="117"/>
  <c r="S25" i="117"/>
  <c r="T25" i="117"/>
  <c r="U25" i="117"/>
  <c r="V25" i="117"/>
  <c r="W25" i="117"/>
  <c r="X25" i="117"/>
  <c r="Y25" i="117"/>
  <c r="Z25" i="117"/>
  <c r="J42" i="118"/>
  <c r="K42" i="118"/>
  <c r="L42" i="118"/>
  <c r="M42" i="118"/>
  <c r="N42" i="118"/>
  <c r="O42" i="118"/>
  <c r="P42" i="118"/>
  <c r="Q42" i="118"/>
  <c r="R42" i="118"/>
  <c r="S42" i="118"/>
  <c r="T42" i="118"/>
  <c r="U42" i="118"/>
  <c r="V42" i="118"/>
  <c r="W42" i="118"/>
  <c r="X42" i="118"/>
  <c r="Y42" i="118"/>
  <c r="Z42" i="118"/>
  <c r="J26" i="117"/>
  <c r="K26" i="117"/>
  <c r="L26" i="117"/>
  <c r="M26" i="117"/>
  <c r="N26" i="117"/>
  <c r="O26" i="117"/>
  <c r="P26" i="117"/>
  <c r="Q26" i="117"/>
  <c r="R26" i="117"/>
  <c r="S26" i="117"/>
  <c r="T26" i="117"/>
  <c r="U26" i="117"/>
  <c r="V26" i="117"/>
  <c r="W26" i="117"/>
  <c r="X26" i="117"/>
  <c r="Y26" i="117"/>
  <c r="Z26" i="117"/>
  <c r="J64" i="117"/>
  <c r="K64" i="117"/>
  <c r="L64" i="117"/>
  <c r="M64" i="117"/>
  <c r="N64" i="117"/>
  <c r="O64" i="117"/>
  <c r="P64" i="117"/>
  <c r="Q64" i="117"/>
  <c r="R64" i="117"/>
  <c r="S64" i="117"/>
  <c r="T64" i="117"/>
  <c r="U64" i="117"/>
  <c r="V64" i="117"/>
  <c r="W64" i="117"/>
  <c r="X64" i="117"/>
  <c r="Y64" i="117"/>
  <c r="Z64" i="117"/>
  <c r="BK64" i="117"/>
  <c r="BK62" i="117"/>
  <c r="J62" i="117"/>
  <c r="K62" i="117"/>
  <c r="L62" i="117"/>
  <c r="M62" i="117"/>
  <c r="N62" i="117"/>
  <c r="O62" i="117"/>
  <c r="P62" i="117"/>
  <c r="Q62" i="117"/>
  <c r="R62" i="117"/>
  <c r="S62" i="117"/>
  <c r="T62" i="117"/>
  <c r="U62" i="117"/>
  <c r="V62" i="117"/>
  <c r="W62" i="117"/>
  <c r="X62" i="117"/>
  <c r="Y62" i="117"/>
  <c r="Z62" i="117"/>
  <c r="J60" i="118"/>
  <c r="K60" i="118"/>
  <c r="L60" i="118"/>
  <c r="M60" i="118"/>
  <c r="N60" i="118"/>
  <c r="O60" i="118"/>
  <c r="P60" i="118"/>
  <c r="Q60" i="118"/>
  <c r="R60" i="118"/>
  <c r="S60" i="118"/>
  <c r="T60" i="118"/>
  <c r="U60" i="118"/>
  <c r="V60" i="118"/>
  <c r="W60" i="118"/>
  <c r="X60" i="118"/>
  <c r="Y60" i="118"/>
  <c r="Z60" i="118"/>
  <c r="BK60" i="118"/>
  <c r="J47" i="104"/>
  <c r="K47" i="104"/>
  <c r="L47" i="104"/>
  <c r="M47" i="104"/>
  <c r="N47" i="104"/>
  <c r="O47" i="104"/>
  <c r="P47" i="104"/>
  <c r="Q47" i="104"/>
  <c r="R47" i="104"/>
  <c r="S47" i="104"/>
  <c r="T47" i="104"/>
  <c r="U47" i="104"/>
  <c r="V47" i="104"/>
  <c r="W47" i="104"/>
  <c r="X47" i="104"/>
  <c r="Y47" i="104"/>
  <c r="Z47" i="104"/>
  <c r="J57" i="118"/>
  <c r="K57" i="118"/>
  <c r="L57" i="118"/>
  <c r="M57" i="118"/>
  <c r="N57" i="118"/>
  <c r="O57" i="118"/>
  <c r="P57" i="118"/>
  <c r="Q57" i="118"/>
  <c r="R57" i="118"/>
  <c r="S57" i="118"/>
  <c r="T57" i="118"/>
  <c r="U57" i="118"/>
  <c r="V57" i="118"/>
  <c r="W57" i="118"/>
  <c r="X57" i="118"/>
  <c r="Y57" i="118"/>
  <c r="Z57" i="118"/>
  <c r="BK57" i="118"/>
  <c r="J49" i="118"/>
  <c r="K49" i="118"/>
  <c r="L49" i="118"/>
  <c r="M49" i="118"/>
  <c r="N49" i="118"/>
  <c r="O49" i="118"/>
  <c r="P49" i="118"/>
  <c r="Q49" i="118"/>
  <c r="R49" i="118"/>
  <c r="S49" i="118"/>
  <c r="T49" i="118"/>
  <c r="U49" i="118"/>
  <c r="V49" i="118"/>
  <c r="W49" i="118"/>
  <c r="X49" i="118"/>
  <c r="Y49" i="118"/>
  <c r="Z49" i="118"/>
  <c r="J49" i="104"/>
  <c r="K49" i="104"/>
  <c r="L49" i="104"/>
  <c r="M49" i="104"/>
  <c r="N49" i="104"/>
  <c r="O49" i="104"/>
  <c r="P49" i="104"/>
  <c r="Q49" i="104"/>
  <c r="R49" i="104"/>
  <c r="S49" i="104"/>
  <c r="T49" i="104"/>
  <c r="U49" i="104"/>
  <c r="V49" i="104"/>
  <c r="W49" i="104"/>
  <c r="X49" i="104"/>
  <c r="Y49" i="104"/>
  <c r="Z49" i="104"/>
  <c r="J55" i="118"/>
  <c r="K55" i="118"/>
  <c r="L55" i="118"/>
  <c r="M55" i="118"/>
  <c r="N55" i="118"/>
  <c r="O55" i="118"/>
  <c r="P55" i="118"/>
  <c r="Q55" i="118"/>
  <c r="R55" i="118"/>
  <c r="S55" i="118"/>
  <c r="T55" i="118"/>
  <c r="U55" i="118"/>
  <c r="V55" i="118"/>
  <c r="W55" i="118"/>
  <c r="X55" i="118"/>
  <c r="Y55" i="118"/>
  <c r="Z55" i="118"/>
  <c r="BK55" i="118"/>
  <c r="BK54" i="118"/>
  <c r="J54" i="118"/>
  <c r="K54" i="118"/>
  <c r="L54" i="118"/>
  <c r="M54" i="118"/>
  <c r="N54" i="118"/>
  <c r="O54" i="118"/>
  <c r="P54" i="118"/>
  <c r="Q54" i="118"/>
  <c r="R54" i="118"/>
  <c r="S54" i="118"/>
  <c r="T54" i="118"/>
  <c r="U54" i="118"/>
  <c r="V54" i="118"/>
  <c r="W54" i="118"/>
  <c r="X54" i="118"/>
  <c r="Y54" i="118"/>
  <c r="Z54" i="118"/>
  <c r="J11" i="103"/>
  <c r="J41" i="117"/>
  <c r="K41" i="117"/>
  <c r="L41" i="117"/>
  <c r="M41" i="117"/>
  <c r="N41" i="117"/>
  <c r="O41" i="117"/>
  <c r="P41" i="117"/>
  <c r="Q41" i="117"/>
  <c r="R41" i="117"/>
  <c r="S41" i="117"/>
  <c r="T41" i="117"/>
  <c r="U41" i="117"/>
  <c r="V41" i="117"/>
  <c r="W41" i="117"/>
  <c r="X41" i="117"/>
  <c r="Y41" i="117"/>
  <c r="Z41" i="117"/>
  <c r="J37" i="117"/>
  <c r="K37" i="117"/>
  <c r="L37" i="117"/>
  <c r="M37" i="117"/>
  <c r="N37" i="117"/>
  <c r="O37" i="117"/>
  <c r="P37" i="117"/>
  <c r="Q37" i="117"/>
  <c r="R37" i="117"/>
  <c r="S37" i="117"/>
  <c r="T37" i="117"/>
  <c r="U37" i="117"/>
  <c r="V37" i="117"/>
  <c r="W37" i="117"/>
  <c r="X37" i="117"/>
  <c r="Y37" i="117"/>
  <c r="Z37" i="117"/>
  <c r="B17" i="118"/>
  <c r="B19" i="118"/>
  <c r="AS42" i="118"/>
  <c r="AU24" i="118"/>
  <c r="AV24" i="118"/>
  <c r="BB24" i="118"/>
  <c r="BA24" i="118"/>
  <c r="AT24" i="118"/>
  <c r="BK82" i="118"/>
  <c r="J82" i="118"/>
  <c r="K82" i="118"/>
  <c r="L82" i="118"/>
  <c r="M82" i="118"/>
  <c r="N82" i="118"/>
  <c r="O82" i="118"/>
  <c r="P82" i="118"/>
  <c r="Q82" i="118"/>
  <c r="R82" i="118"/>
  <c r="S82" i="118"/>
  <c r="T82" i="118"/>
  <c r="U82" i="118"/>
  <c r="V82" i="118"/>
  <c r="W82" i="118"/>
  <c r="X82" i="118"/>
  <c r="Y82" i="118"/>
  <c r="Z82" i="118"/>
  <c r="J25" i="118"/>
  <c r="K25" i="118"/>
  <c r="L25" i="118"/>
  <c r="M25" i="118"/>
  <c r="N25" i="118"/>
  <c r="O25" i="118"/>
  <c r="P25" i="118"/>
  <c r="Q25" i="118"/>
  <c r="R25" i="118"/>
  <c r="S25" i="118"/>
  <c r="T25" i="118"/>
  <c r="U25" i="118"/>
  <c r="V25" i="118"/>
  <c r="W25" i="118"/>
  <c r="X25" i="118"/>
  <c r="Y25" i="118"/>
  <c r="Z25" i="118"/>
  <c r="J9" i="103"/>
  <c r="BK79" i="118"/>
  <c r="J79" i="118"/>
  <c r="K79" i="118"/>
  <c r="L79" i="118"/>
  <c r="M79" i="118"/>
  <c r="N79" i="118"/>
  <c r="O79" i="118"/>
  <c r="P79" i="118"/>
  <c r="Q79" i="118"/>
  <c r="R79" i="118"/>
  <c r="S79" i="118"/>
  <c r="T79" i="118"/>
  <c r="U79" i="118"/>
  <c r="V79" i="118"/>
  <c r="W79" i="118"/>
  <c r="X79" i="118"/>
  <c r="Y79" i="118"/>
  <c r="Z79" i="118"/>
  <c r="J27" i="104"/>
  <c r="K27" i="104"/>
  <c r="L27" i="104"/>
  <c r="M27" i="104"/>
  <c r="N27" i="104"/>
  <c r="O27" i="104"/>
  <c r="P27" i="104"/>
  <c r="Q27" i="104"/>
  <c r="R27" i="104"/>
  <c r="S27" i="104"/>
  <c r="T27" i="104"/>
  <c r="U27" i="104"/>
  <c r="V27" i="104"/>
  <c r="W27" i="104"/>
  <c r="X27" i="104"/>
  <c r="Y27" i="104"/>
  <c r="Z27" i="104"/>
  <c r="J28" i="104"/>
  <c r="K28" i="104"/>
  <c r="L28" i="104"/>
  <c r="M28" i="104"/>
  <c r="N28" i="104"/>
  <c r="O28" i="104"/>
  <c r="P28" i="104"/>
  <c r="Q28" i="104"/>
  <c r="R28" i="104"/>
  <c r="S28" i="104"/>
  <c r="T28" i="104"/>
  <c r="U28" i="104"/>
  <c r="V28" i="104"/>
  <c r="W28" i="104"/>
  <c r="X28" i="104"/>
  <c r="Y28" i="104"/>
  <c r="Z28" i="104"/>
  <c r="J75" i="118"/>
  <c r="K75" i="118"/>
  <c r="L75" i="118"/>
  <c r="M75" i="118"/>
  <c r="N75" i="118"/>
  <c r="O75" i="118"/>
  <c r="P75" i="118"/>
  <c r="Q75" i="118"/>
  <c r="R75" i="118"/>
  <c r="S75" i="118"/>
  <c r="T75" i="118"/>
  <c r="U75" i="118"/>
  <c r="V75" i="118"/>
  <c r="W75" i="118"/>
  <c r="X75" i="118"/>
  <c r="Y75" i="118"/>
  <c r="Z75" i="118"/>
  <c r="BK75" i="118"/>
  <c r="J31" i="104"/>
  <c r="K31" i="104"/>
  <c r="L31" i="104"/>
  <c r="M31" i="104"/>
  <c r="N31" i="104"/>
  <c r="O31" i="104"/>
  <c r="P31" i="104"/>
  <c r="Q31" i="104"/>
  <c r="R31" i="104"/>
  <c r="S31" i="104"/>
  <c r="T31" i="104"/>
  <c r="U31" i="104"/>
  <c r="V31" i="104"/>
  <c r="W31" i="104"/>
  <c r="X31" i="104"/>
  <c r="Y31" i="104"/>
  <c r="Z31" i="104"/>
  <c r="AS32" i="118"/>
  <c r="J33" i="118"/>
  <c r="K33" i="118"/>
  <c r="L33" i="118"/>
  <c r="M33" i="118"/>
  <c r="N33" i="118"/>
  <c r="O33" i="118"/>
  <c r="P33" i="118"/>
  <c r="Q33" i="118"/>
  <c r="R33" i="118"/>
  <c r="S33" i="118"/>
  <c r="T33" i="118"/>
  <c r="U33" i="118"/>
  <c r="V33" i="118"/>
  <c r="W33" i="118"/>
  <c r="X33" i="118"/>
  <c r="Y33" i="118"/>
  <c r="Z33" i="118"/>
  <c r="J35" i="118"/>
  <c r="K35" i="118"/>
  <c r="L35" i="118"/>
  <c r="M35" i="118"/>
  <c r="N35" i="118"/>
  <c r="O35" i="118"/>
  <c r="P35" i="118"/>
  <c r="Q35" i="118"/>
  <c r="R35" i="118"/>
  <c r="S35" i="118"/>
  <c r="T35" i="118"/>
  <c r="U35" i="118"/>
  <c r="V35" i="118"/>
  <c r="W35" i="118"/>
  <c r="X35" i="118"/>
  <c r="Y35" i="118"/>
  <c r="Z35" i="118"/>
  <c r="J36" i="104"/>
  <c r="K36" i="104"/>
  <c r="L36" i="104"/>
  <c r="M36" i="104"/>
  <c r="N36" i="104"/>
  <c r="O36" i="104"/>
  <c r="P36" i="104"/>
  <c r="Q36" i="104"/>
  <c r="R36" i="104"/>
  <c r="S36" i="104"/>
  <c r="T36" i="104"/>
  <c r="U36" i="104"/>
  <c r="V36" i="104"/>
  <c r="W36" i="104"/>
  <c r="X36" i="104"/>
  <c r="Y36" i="104"/>
  <c r="Z36" i="104"/>
  <c r="J38" i="118"/>
  <c r="K38" i="118"/>
  <c r="L38" i="118"/>
  <c r="M38" i="118"/>
  <c r="N38" i="118"/>
  <c r="O38" i="118"/>
  <c r="P38" i="118"/>
  <c r="Q38" i="118"/>
  <c r="R38" i="118"/>
  <c r="S38" i="118"/>
  <c r="T38" i="118"/>
  <c r="U38" i="118"/>
  <c r="V38" i="118"/>
  <c r="W38" i="118"/>
  <c r="X38" i="118"/>
  <c r="Y38" i="118"/>
  <c r="Z38" i="118"/>
  <c r="J39" i="118"/>
  <c r="K39" i="118"/>
  <c r="L39" i="118"/>
  <c r="M39" i="118"/>
  <c r="N39" i="118"/>
  <c r="O39" i="118"/>
  <c r="P39" i="118"/>
  <c r="Q39" i="118"/>
  <c r="R39" i="118"/>
  <c r="S39" i="118"/>
  <c r="T39" i="118"/>
  <c r="U39" i="118"/>
  <c r="V39" i="118"/>
  <c r="W39" i="118"/>
  <c r="X39" i="118"/>
  <c r="Y39" i="118"/>
  <c r="Z39" i="118"/>
  <c r="BK67" i="117"/>
  <c r="J67" i="117"/>
  <c r="K67" i="117"/>
  <c r="L67" i="117"/>
  <c r="M67" i="117"/>
  <c r="N67" i="117"/>
  <c r="O67" i="117"/>
  <c r="P67" i="117"/>
  <c r="Q67" i="117"/>
  <c r="R67" i="117"/>
  <c r="S67" i="117"/>
  <c r="T67" i="117"/>
  <c r="U67" i="117"/>
  <c r="V67" i="117"/>
  <c r="W67" i="117"/>
  <c r="X67" i="117"/>
  <c r="Y67" i="117"/>
  <c r="Z67" i="117"/>
  <c r="BK66" i="118"/>
  <c r="J66" i="118"/>
  <c r="K66" i="118"/>
  <c r="L66" i="118"/>
  <c r="M66" i="118"/>
  <c r="N66" i="118"/>
  <c r="O66" i="118"/>
  <c r="P66" i="118"/>
  <c r="Q66" i="118"/>
  <c r="R66" i="118"/>
  <c r="S66" i="118"/>
  <c r="T66" i="118"/>
  <c r="U66" i="118"/>
  <c r="V66" i="118"/>
  <c r="W66" i="118"/>
  <c r="X66" i="118"/>
  <c r="Y66" i="118"/>
  <c r="Z66" i="118"/>
  <c r="BK65" i="117"/>
  <c r="J65" i="117"/>
  <c r="K65" i="117"/>
  <c r="L65" i="117"/>
  <c r="M65" i="117"/>
  <c r="N65" i="117"/>
  <c r="O65" i="117"/>
  <c r="P65" i="117"/>
  <c r="Q65" i="117"/>
  <c r="R65" i="117"/>
  <c r="S65" i="117"/>
  <c r="T65" i="117"/>
  <c r="U65" i="117"/>
  <c r="V65" i="117"/>
  <c r="W65" i="117"/>
  <c r="X65" i="117"/>
  <c r="Y65" i="117"/>
  <c r="Z65" i="117"/>
  <c r="J64" i="118"/>
  <c r="K64" i="118"/>
  <c r="L64" i="118"/>
  <c r="M64" i="118"/>
  <c r="N64" i="118"/>
  <c r="O64" i="118"/>
  <c r="P64" i="118"/>
  <c r="Q64" i="118"/>
  <c r="R64" i="118"/>
  <c r="S64" i="118"/>
  <c r="T64" i="118"/>
  <c r="U64" i="118"/>
  <c r="V64" i="118"/>
  <c r="W64" i="118"/>
  <c r="X64" i="118"/>
  <c r="Y64" i="118"/>
  <c r="Z64" i="118"/>
  <c r="BK64" i="118"/>
  <c r="J42" i="104"/>
  <c r="K42" i="104"/>
  <c r="L42" i="104"/>
  <c r="M42" i="104"/>
  <c r="N42" i="104"/>
  <c r="O42" i="104"/>
  <c r="P42" i="104"/>
  <c r="Q42" i="104"/>
  <c r="R42" i="104"/>
  <c r="S42" i="104"/>
  <c r="T42" i="104"/>
  <c r="U42" i="104"/>
  <c r="V42" i="104"/>
  <c r="W42" i="104"/>
  <c r="X42" i="104"/>
  <c r="Y42" i="104"/>
  <c r="Z42" i="104"/>
  <c r="J43" i="118"/>
  <c r="K43" i="118"/>
  <c r="L43" i="118"/>
  <c r="M43" i="118"/>
  <c r="N43" i="118"/>
  <c r="O43" i="118"/>
  <c r="P43" i="118"/>
  <c r="Q43" i="118"/>
  <c r="R43" i="118"/>
  <c r="S43" i="118"/>
  <c r="T43" i="118"/>
  <c r="U43" i="118"/>
  <c r="V43" i="118"/>
  <c r="W43" i="118"/>
  <c r="X43" i="118"/>
  <c r="Y43" i="118"/>
  <c r="Z43" i="118"/>
  <c r="BK62" i="118"/>
  <c r="J62" i="118"/>
  <c r="K62" i="118"/>
  <c r="L62" i="118"/>
  <c r="M62" i="118"/>
  <c r="N62" i="118"/>
  <c r="O62" i="118"/>
  <c r="P62" i="118"/>
  <c r="Q62" i="118"/>
  <c r="R62" i="118"/>
  <c r="S62" i="118"/>
  <c r="T62" i="118"/>
  <c r="U62" i="118"/>
  <c r="V62" i="118"/>
  <c r="W62" i="118"/>
  <c r="X62" i="118"/>
  <c r="Y62" i="118"/>
  <c r="Z62" i="118"/>
  <c r="J45" i="118"/>
  <c r="K45" i="118"/>
  <c r="L45" i="118"/>
  <c r="M45" i="118"/>
  <c r="N45" i="118"/>
  <c r="O45" i="118"/>
  <c r="P45" i="118"/>
  <c r="Q45" i="118"/>
  <c r="R45" i="118"/>
  <c r="S45" i="118"/>
  <c r="T45" i="118"/>
  <c r="U45" i="118"/>
  <c r="V45" i="118"/>
  <c r="W45" i="118"/>
  <c r="X45" i="118"/>
  <c r="Y45" i="118"/>
  <c r="Z45" i="118"/>
  <c r="J61" i="118"/>
  <c r="K61" i="118"/>
  <c r="L61" i="118"/>
  <c r="M61" i="118"/>
  <c r="N61" i="118"/>
  <c r="O61" i="118"/>
  <c r="P61" i="118"/>
  <c r="Q61" i="118"/>
  <c r="R61" i="118"/>
  <c r="S61" i="118"/>
  <c r="T61" i="118"/>
  <c r="U61" i="118"/>
  <c r="V61" i="118"/>
  <c r="W61" i="118"/>
  <c r="X61" i="118"/>
  <c r="Y61" i="118"/>
  <c r="Z61" i="118"/>
  <c r="BK61" i="118"/>
  <c r="J45" i="104"/>
  <c r="K45" i="104"/>
  <c r="L45" i="104"/>
  <c r="M45" i="104"/>
  <c r="N45" i="104"/>
  <c r="O45" i="104"/>
  <c r="P45" i="104"/>
  <c r="Q45" i="104"/>
  <c r="R45" i="104"/>
  <c r="S45" i="104"/>
  <c r="T45" i="104"/>
  <c r="U45" i="104"/>
  <c r="V45" i="104"/>
  <c r="W45" i="104"/>
  <c r="X45" i="104"/>
  <c r="Y45" i="104"/>
  <c r="Z45" i="104"/>
  <c r="J46" i="118"/>
  <c r="K46" i="118"/>
  <c r="L46" i="118"/>
  <c r="M46" i="118"/>
  <c r="N46" i="118"/>
  <c r="O46" i="118"/>
  <c r="P46" i="118"/>
  <c r="Q46" i="118"/>
  <c r="R46" i="118"/>
  <c r="S46" i="118"/>
  <c r="T46" i="118"/>
  <c r="U46" i="118"/>
  <c r="V46" i="118"/>
  <c r="W46" i="118"/>
  <c r="X46" i="118"/>
  <c r="Y46" i="118"/>
  <c r="Z46" i="118"/>
  <c r="J46" i="104"/>
  <c r="K46" i="104"/>
  <c r="L46" i="104"/>
  <c r="M46" i="104"/>
  <c r="N46" i="104"/>
  <c r="O46" i="104"/>
  <c r="P46" i="104"/>
  <c r="Q46" i="104"/>
  <c r="R46" i="104"/>
  <c r="S46" i="104"/>
  <c r="T46" i="104"/>
  <c r="U46" i="104"/>
  <c r="V46" i="104"/>
  <c r="W46" i="104"/>
  <c r="X46" i="104"/>
  <c r="Y46" i="104"/>
  <c r="Z46" i="104"/>
  <c r="J31" i="117"/>
  <c r="K31" i="117"/>
  <c r="L31" i="117"/>
  <c r="M31" i="117"/>
  <c r="N31" i="117"/>
  <c r="O31" i="117"/>
  <c r="P31" i="117"/>
  <c r="Q31" i="117"/>
  <c r="R31" i="117"/>
  <c r="S31" i="117"/>
  <c r="T31" i="117"/>
  <c r="U31" i="117"/>
  <c r="V31" i="117"/>
  <c r="W31" i="117"/>
  <c r="X31" i="117"/>
  <c r="Y31" i="117"/>
  <c r="Z31" i="117"/>
  <c r="J48" i="118"/>
  <c r="K48" i="118"/>
  <c r="L48" i="118"/>
  <c r="M48" i="118"/>
  <c r="N48" i="118"/>
  <c r="O48" i="118"/>
  <c r="P48" i="118"/>
  <c r="Q48" i="118"/>
  <c r="R48" i="118"/>
  <c r="S48" i="118"/>
  <c r="T48" i="118"/>
  <c r="U48" i="118"/>
  <c r="V48" i="118"/>
  <c r="W48" i="118"/>
  <c r="X48" i="118"/>
  <c r="Y48" i="118"/>
  <c r="Z48" i="118"/>
  <c r="J48" i="104"/>
  <c r="K48" i="104"/>
  <c r="L48" i="104"/>
  <c r="M48" i="104"/>
  <c r="N48" i="104"/>
  <c r="O48" i="104"/>
  <c r="P48" i="104"/>
  <c r="Q48" i="104"/>
  <c r="R48" i="104"/>
  <c r="S48" i="104"/>
  <c r="T48" i="104"/>
  <c r="U48" i="104"/>
  <c r="V48" i="104"/>
  <c r="W48" i="104"/>
  <c r="X48" i="104"/>
  <c r="Y48" i="104"/>
  <c r="Z48" i="104"/>
  <c r="BK56" i="118"/>
  <c r="J56" i="118"/>
  <c r="K56" i="118"/>
  <c r="L56" i="118"/>
  <c r="M56" i="118"/>
  <c r="N56" i="118"/>
  <c r="O56" i="118"/>
  <c r="P56" i="118"/>
  <c r="Q56" i="118"/>
  <c r="R56" i="118"/>
  <c r="S56" i="118"/>
  <c r="T56" i="118"/>
  <c r="U56" i="118"/>
  <c r="V56" i="118"/>
  <c r="W56" i="118"/>
  <c r="X56" i="118"/>
  <c r="Y56" i="118"/>
  <c r="Z56" i="118"/>
  <c r="J51" i="118"/>
  <c r="K51" i="118"/>
  <c r="L51" i="118"/>
  <c r="M51" i="118"/>
  <c r="N51" i="118"/>
  <c r="O51" i="118"/>
  <c r="P51" i="118"/>
  <c r="Q51" i="118"/>
  <c r="R51" i="118"/>
  <c r="S51" i="118"/>
  <c r="T51" i="118"/>
  <c r="U51" i="118"/>
  <c r="V51" i="118"/>
  <c r="W51" i="118"/>
  <c r="X51" i="118"/>
  <c r="Y51" i="118"/>
  <c r="Z51" i="118"/>
  <c r="J51" i="104"/>
  <c r="K51" i="104"/>
  <c r="L51" i="104"/>
  <c r="M51" i="104"/>
  <c r="N51" i="104"/>
  <c r="O51" i="104"/>
  <c r="P51" i="104"/>
  <c r="Q51" i="104"/>
  <c r="R51" i="104"/>
  <c r="S51" i="104"/>
  <c r="T51" i="104"/>
  <c r="U51" i="104"/>
  <c r="V51" i="104"/>
  <c r="W51" i="104"/>
  <c r="X51" i="104"/>
  <c r="Y51" i="104"/>
  <c r="Z51" i="104"/>
  <c r="J38" i="117"/>
  <c r="K38" i="117"/>
  <c r="L38" i="117"/>
  <c r="M38" i="117"/>
  <c r="N38" i="117"/>
  <c r="O38" i="117"/>
  <c r="P38" i="117"/>
  <c r="Q38" i="117"/>
  <c r="R38" i="117"/>
  <c r="S38" i="117"/>
  <c r="T38" i="117"/>
  <c r="U38" i="117"/>
  <c r="V38" i="117"/>
  <c r="W38" i="117"/>
  <c r="X38" i="117"/>
  <c r="Y38" i="117"/>
  <c r="Z38" i="117"/>
  <c r="J47" i="117"/>
  <c r="K47" i="117"/>
  <c r="L47" i="117"/>
  <c r="M47" i="117"/>
  <c r="N47" i="117"/>
  <c r="O47" i="117"/>
  <c r="P47" i="117"/>
  <c r="Q47" i="117"/>
  <c r="R47" i="117"/>
  <c r="S47" i="117"/>
  <c r="T47" i="117"/>
  <c r="U47" i="117"/>
  <c r="V47" i="117"/>
  <c r="W47" i="117"/>
  <c r="X47" i="117"/>
  <c r="Y47" i="117"/>
  <c r="Z47" i="117"/>
  <c r="J53" i="118"/>
  <c r="K53" i="118"/>
  <c r="L53" i="118"/>
  <c r="M53" i="118"/>
  <c r="N53" i="118"/>
  <c r="O53" i="118"/>
  <c r="P53" i="118"/>
  <c r="Q53" i="118"/>
  <c r="R53" i="118"/>
  <c r="S53" i="118"/>
  <c r="T53" i="118"/>
  <c r="U53" i="118"/>
  <c r="V53" i="118"/>
  <c r="W53" i="118"/>
  <c r="X53" i="118"/>
  <c r="Y53" i="118"/>
  <c r="Z53" i="118"/>
  <c r="J50" i="117"/>
  <c r="K50" i="117"/>
  <c r="L50" i="117"/>
  <c r="M50" i="117"/>
  <c r="N50" i="117"/>
  <c r="O50" i="117"/>
  <c r="P50" i="117"/>
  <c r="Q50" i="117"/>
  <c r="R50" i="117"/>
  <c r="S50" i="117"/>
  <c r="T50" i="117"/>
  <c r="U50" i="117"/>
  <c r="V50" i="117"/>
  <c r="W50" i="117"/>
  <c r="X50" i="117"/>
  <c r="Y50" i="117"/>
  <c r="Z50" i="117"/>
  <c r="J54" i="117"/>
  <c r="K54" i="117"/>
  <c r="L54" i="117"/>
  <c r="M54" i="117"/>
  <c r="N54" i="117"/>
  <c r="O54" i="117"/>
  <c r="P54" i="117"/>
  <c r="Q54" i="117"/>
  <c r="R54" i="117"/>
  <c r="S54" i="117"/>
  <c r="T54" i="117"/>
  <c r="U54" i="117"/>
  <c r="V54" i="117"/>
  <c r="W54" i="117"/>
  <c r="X54" i="117"/>
  <c r="Y54" i="117"/>
  <c r="Z54" i="117"/>
  <c r="BK54" i="117"/>
  <c r="BK84" i="118"/>
  <c r="J84" i="118"/>
  <c r="K84" i="118"/>
  <c r="L84" i="118"/>
  <c r="M84" i="118"/>
  <c r="N84" i="118"/>
  <c r="O84" i="118"/>
  <c r="P84" i="118"/>
  <c r="Q84" i="118"/>
  <c r="R84" i="118"/>
  <c r="S84" i="118"/>
  <c r="T84" i="118"/>
  <c r="U84" i="118"/>
  <c r="V84" i="118"/>
  <c r="W84" i="118"/>
  <c r="X84" i="118"/>
  <c r="Y84" i="118"/>
  <c r="Z84" i="118"/>
  <c r="J24" i="104"/>
  <c r="K24" i="104"/>
  <c r="L24" i="104"/>
  <c r="M24" i="104"/>
  <c r="N24" i="104"/>
  <c r="O24" i="104"/>
  <c r="P24" i="104"/>
  <c r="Q24" i="104"/>
  <c r="R24" i="104"/>
  <c r="S24" i="104"/>
  <c r="T24" i="104"/>
  <c r="U24" i="104"/>
  <c r="V24" i="104"/>
  <c r="W24" i="104"/>
  <c r="X24" i="104"/>
  <c r="Y24" i="104"/>
  <c r="Z24" i="104"/>
  <c r="J25" i="104"/>
  <c r="K25" i="104"/>
  <c r="L25" i="104"/>
  <c r="M25" i="104"/>
  <c r="N25" i="104"/>
  <c r="O25" i="104"/>
  <c r="P25" i="104"/>
  <c r="Q25" i="104"/>
  <c r="R25" i="104"/>
  <c r="S25" i="104"/>
  <c r="T25" i="104"/>
  <c r="U25" i="104"/>
  <c r="V25" i="104"/>
  <c r="W25" i="104"/>
  <c r="X25" i="104"/>
  <c r="Y25" i="104"/>
  <c r="Z25" i="104"/>
  <c r="J27" i="118"/>
  <c r="K27" i="118"/>
  <c r="L27" i="118"/>
  <c r="M27" i="118"/>
  <c r="N27" i="118"/>
  <c r="O27" i="118"/>
  <c r="P27" i="118"/>
  <c r="Q27" i="118"/>
  <c r="R27" i="118"/>
  <c r="S27" i="118"/>
  <c r="T27" i="118"/>
  <c r="U27" i="118"/>
  <c r="V27" i="118"/>
  <c r="W27" i="118"/>
  <c r="X27" i="118"/>
  <c r="Y27" i="118"/>
  <c r="Z27" i="118"/>
  <c r="J30" i="118"/>
  <c r="K30" i="118"/>
  <c r="L30" i="118"/>
  <c r="M30" i="118"/>
  <c r="N30" i="118"/>
  <c r="O30" i="118"/>
  <c r="P30" i="118"/>
  <c r="Q30" i="118"/>
  <c r="R30" i="118"/>
  <c r="S30" i="118"/>
  <c r="T30" i="118"/>
  <c r="U30" i="118"/>
  <c r="V30" i="118"/>
  <c r="W30" i="118"/>
  <c r="X30" i="118"/>
  <c r="Y30" i="118"/>
  <c r="Z30" i="118"/>
  <c r="J29" i="104"/>
  <c r="K29" i="104"/>
  <c r="L29" i="104"/>
  <c r="M29" i="104"/>
  <c r="N29" i="104"/>
  <c r="O29" i="104"/>
  <c r="P29" i="104"/>
  <c r="Q29" i="104"/>
  <c r="R29" i="104"/>
  <c r="S29" i="104"/>
  <c r="T29" i="104"/>
  <c r="U29" i="104"/>
  <c r="V29" i="104"/>
  <c r="W29" i="104"/>
  <c r="X29" i="104"/>
  <c r="Y29" i="104"/>
  <c r="Z29" i="104"/>
  <c r="J32" i="118"/>
  <c r="K32" i="118"/>
  <c r="L32" i="118"/>
  <c r="M32" i="118"/>
  <c r="N32" i="118"/>
  <c r="O32" i="118"/>
  <c r="P32" i="118"/>
  <c r="Q32" i="118"/>
  <c r="R32" i="118"/>
  <c r="S32" i="118"/>
  <c r="T32" i="118"/>
  <c r="U32" i="118"/>
  <c r="V32" i="118"/>
  <c r="W32" i="118"/>
  <c r="X32" i="118"/>
  <c r="Y32" i="118"/>
  <c r="Z32" i="118"/>
  <c r="J32" i="104"/>
  <c r="K32" i="104"/>
  <c r="L32" i="104"/>
  <c r="M32" i="104"/>
  <c r="N32" i="104"/>
  <c r="O32" i="104"/>
  <c r="P32" i="104"/>
  <c r="Q32" i="104"/>
  <c r="R32" i="104"/>
  <c r="S32" i="104"/>
  <c r="T32" i="104"/>
  <c r="U32" i="104"/>
  <c r="V32" i="104"/>
  <c r="W32" i="104"/>
  <c r="X32" i="104"/>
  <c r="Y32" i="104"/>
  <c r="Z32" i="104"/>
  <c r="J34" i="118"/>
  <c r="K34" i="118"/>
  <c r="L34" i="118"/>
  <c r="M34" i="118"/>
  <c r="N34" i="118"/>
  <c r="O34" i="118"/>
  <c r="P34" i="118"/>
  <c r="Q34" i="118"/>
  <c r="R34" i="118"/>
  <c r="S34" i="118"/>
  <c r="T34" i="118"/>
  <c r="U34" i="118"/>
  <c r="V34" i="118"/>
  <c r="W34" i="118"/>
  <c r="X34" i="118"/>
  <c r="Y34" i="118"/>
  <c r="Z34" i="118"/>
  <c r="AS35" i="118"/>
  <c r="J70" i="118"/>
  <c r="K70" i="118"/>
  <c r="L70" i="118"/>
  <c r="M70" i="118"/>
  <c r="N70" i="118"/>
  <c r="O70" i="118"/>
  <c r="P70" i="118"/>
  <c r="Q70" i="118"/>
  <c r="R70" i="118"/>
  <c r="S70" i="118"/>
  <c r="T70" i="118"/>
  <c r="U70" i="118"/>
  <c r="V70" i="118"/>
  <c r="W70" i="118"/>
  <c r="X70" i="118"/>
  <c r="Y70" i="118"/>
  <c r="Z70" i="118"/>
  <c r="BK70" i="118"/>
  <c r="J37" i="118"/>
  <c r="K37" i="118"/>
  <c r="L37" i="118"/>
  <c r="M37" i="118"/>
  <c r="N37" i="118"/>
  <c r="O37" i="118"/>
  <c r="P37" i="118"/>
  <c r="Q37" i="118"/>
  <c r="R37" i="118"/>
  <c r="S37" i="118"/>
  <c r="T37" i="118"/>
  <c r="U37" i="118"/>
  <c r="V37" i="118"/>
  <c r="W37" i="118"/>
  <c r="X37" i="118"/>
  <c r="Y37" i="118"/>
  <c r="Z37" i="118"/>
  <c r="AS37" i="118"/>
  <c r="BK68" i="118"/>
  <c r="J68" i="118"/>
  <c r="K68" i="118"/>
  <c r="L68" i="118"/>
  <c r="M68" i="118"/>
  <c r="N68" i="118"/>
  <c r="O68" i="118"/>
  <c r="P68" i="118"/>
  <c r="Q68" i="118"/>
  <c r="R68" i="118"/>
  <c r="S68" i="118"/>
  <c r="T68" i="118"/>
  <c r="U68" i="118"/>
  <c r="V68" i="118"/>
  <c r="W68" i="118"/>
  <c r="X68" i="118"/>
  <c r="Y68" i="118"/>
  <c r="Z68" i="118"/>
  <c r="J38" i="104"/>
  <c r="K38" i="104"/>
  <c r="L38" i="104"/>
  <c r="M38" i="104"/>
  <c r="N38" i="104"/>
  <c r="O38" i="104"/>
  <c r="P38" i="104"/>
  <c r="Q38" i="104"/>
  <c r="R38" i="104"/>
  <c r="S38" i="104"/>
  <c r="T38" i="104"/>
  <c r="U38" i="104"/>
  <c r="V38" i="104"/>
  <c r="W38" i="104"/>
  <c r="X38" i="104"/>
  <c r="Y38" i="104"/>
  <c r="Z38" i="104"/>
  <c r="J39" i="104"/>
  <c r="K39" i="104"/>
  <c r="L39" i="104"/>
  <c r="M39" i="104"/>
  <c r="N39" i="104"/>
  <c r="O39" i="104"/>
  <c r="P39" i="104"/>
  <c r="Q39" i="104"/>
  <c r="R39" i="104"/>
  <c r="S39" i="104"/>
  <c r="T39" i="104"/>
  <c r="U39" i="104"/>
  <c r="V39" i="104"/>
  <c r="W39" i="104"/>
  <c r="X39" i="104"/>
  <c r="Y39" i="104"/>
  <c r="Z39" i="104"/>
  <c r="BA25" i="117"/>
  <c r="BB25" i="117"/>
  <c r="AT25" i="117"/>
  <c r="AU25" i="117"/>
  <c r="BK65" i="118"/>
  <c r="J65" i="118"/>
  <c r="K65" i="118"/>
  <c r="L65" i="118"/>
  <c r="M65" i="118"/>
  <c r="N65" i="118"/>
  <c r="O65" i="118"/>
  <c r="P65" i="118"/>
  <c r="Q65" i="118"/>
  <c r="R65" i="118"/>
  <c r="S65" i="118"/>
  <c r="T65" i="118"/>
  <c r="U65" i="118"/>
  <c r="V65" i="118"/>
  <c r="W65" i="118"/>
  <c r="X65" i="118"/>
  <c r="Y65" i="118"/>
  <c r="Z65" i="118"/>
  <c r="J44" i="118"/>
  <c r="K44" i="118"/>
  <c r="L44" i="118"/>
  <c r="M44" i="118"/>
  <c r="N44" i="118"/>
  <c r="O44" i="118"/>
  <c r="P44" i="118"/>
  <c r="Q44" i="118"/>
  <c r="R44" i="118"/>
  <c r="S44" i="118"/>
  <c r="T44" i="118"/>
  <c r="U44" i="118"/>
  <c r="V44" i="118"/>
  <c r="W44" i="118"/>
  <c r="X44" i="118"/>
  <c r="Y44" i="118"/>
  <c r="Z44" i="118"/>
  <c r="BK62" i="104"/>
  <c r="J62" i="104"/>
  <c r="K62" i="104"/>
  <c r="L62" i="104"/>
  <c r="M62" i="104"/>
  <c r="N62" i="104"/>
  <c r="O62" i="104"/>
  <c r="P62" i="104"/>
  <c r="Q62" i="104"/>
  <c r="R62" i="104"/>
  <c r="S62" i="104"/>
  <c r="T62" i="104"/>
  <c r="U62" i="104"/>
  <c r="V62" i="104"/>
  <c r="W62" i="104"/>
  <c r="X62" i="104"/>
  <c r="Y62" i="104"/>
  <c r="Z62" i="104"/>
  <c r="BK59" i="118"/>
  <c r="J59" i="118"/>
  <c r="K59" i="118"/>
  <c r="L59" i="118"/>
  <c r="M59" i="118"/>
  <c r="N59" i="118"/>
  <c r="O59" i="118"/>
  <c r="P59" i="118"/>
  <c r="Q59" i="118"/>
  <c r="R59" i="118"/>
  <c r="S59" i="118"/>
  <c r="T59" i="118"/>
  <c r="U59" i="118"/>
  <c r="V59" i="118"/>
  <c r="W59" i="118"/>
  <c r="X59" i="118"/>
  <c r="Y59" i="118"/>
  <c r="Z59" i="118"/>
  <c r="J58" i="118"/>
  <c r="K58" i="118"/>
  <c r="L58" i="118"/>
  <c r="M58" i="118"/>
  <c r="N58" i="118"/>
  <c r="O58" i="118"/>
  <c r="P58" i="118"/>
  <c r="Q58" i="118"/>
  <c r="R58" i="118"/>
  <c r="S58" i="118"/>
  <c r="T58" i="118"/>
  <c r="U58" i="118"/>
  <c r="V58" i="118"/>
  <c r="W58" i="118"/>
  <c r="X58" i="118"/>
  <c r="Y58" i="118"/>
  <c r="Z58" i="118"/>
  <c r="BK58" i="118"/>
  <c r="BK59" i="104"/>
  <c r="J59" i="104"/>
  <c r="K59" i="104"/>
  <c r="L59" i="104"/>
  <c r="M59" i="104"/>
  <c r="N59" i="104"/>
  <c r="O59" i="104"/>
  <c r="P59" i="104"/>
  <c r="Q59" i="104"/>
  <c r="R59" i="104"/>
  <c r="S59" i="104"/>
  <c r="T59" i="104"/>
  <c r="U59" i="104"/>
  <c r="V59" i="104"/>
  <c r="W59" i="104"/>
  <c r="X59" i="104"/>
  <c r="Y59" i="104"/>
  <c r="Z59" i="104"/>
  <c r="J33" i="117"/>
  <c r="K33" i="117"/>
  <c r="L33" i="117"/>
  <c r="M33" i="117"/>
  <c r="N33" i="117"/>
  <c r="O33" i="117"/>
  <c r="P33" i="117"/>
  <c r="Q33" i="117"/>
  <c r="R33" i="117"/>
  <c r="S33" i="117"/>
  <c r="T33" i="117"/>
  <c r="U33" i="117"/>
  <c r="V33" i="117"/>
  <c r="W33" i="117"/>
  <c r="X33" i="117"/>
  <c r="Y33" i="117"/>
  <c r="Z33" i="117"/>
  <c r="J55" i="117"/>
  <c r="K55" i="117"/>
  <c r="L55" i="117"/>
  <c r="M55" i="117"/>
  <c r="N55" i="117"/>
  <c r="O55" i="117"/>
  <c r="P55" i="117"/>
  <c r="Q55" i="117"/>
  <c r="R55" i="117"/>
  <c r="S55" i="117"/>
  <c r="T55" i="117"/>
  <c r="U55" i="117"/>
  <c r="V55" i="117"/>
  <c r="W55" i="117"/>
  <c r="X55" i="117"/>
  <c r="Y55" i="117"/>
  <c r="Z55" i="117"/>
  <c r="BK55" i="117"/>
  <c r="AS52" i="118"/>
  <c r="J40" i="117"/>
  <c r="K40" i="117"/>
  <c r="L40" i="117"/>
  <c r="M40" i="117"/>
  <c r="N40" i="117"/>
  <c r="O40" i="117"/>
  <c r="P40" i="117"/>
  <c r="Q40" i="117"/>
  <c r="R40" i="117"/>
  <c r="S40" i="117"/>
  <c r="T40" i="117"/>
  <c r="U40" i="117"/>
  <c r="V40" i="117"/>
  <c r="W40" i="117"/>
  <c r="X40" i="117"/>
  <c r="Y40" i="117"/>
  <c r="Z40" i="117"/>
  <c r="J44" i="117"/>
  <c r="K44" i="117"/>
  <c r="L44" i="117"/>
  <c r="M44" i="117"/>
  <c r="N44" i="117"/>
  <c r="O44" i="117"/>
  <c r="P44" i="117"/>
  <c r="Q44" i="117"/>
  <c r="R44" i="117"/>
  <c r="S44" i="117"/>
  <c r="T44" i="117"/>
  <c r="U44" i="117"/>
  <c r="V44" i="117"/>
  <c r="W44" i="117"/>
  <c r="X44" i="117"/>
  <c r="Y44" i="117"/>
  <c r="Z44" i="117"/>
  <c r="J48" i="117"/>
  <c r="K48" i="117"/>
  <c r="L48" i="117"/>
  <c r="M48" i="117"/>
  <c r="N48" i="117"/>
  <c r="O48" i="117"/>
  <c r="P48" i="117"/>
  <c r="Q48" i="117"/>
  <c r="R48" i="117"/>
  <c r="S48" i="117"/>
  <c r="T48" i="117"/>
  <c r="U48" i="117"/>
  <c r="V48" i="117"/>
  <c r="W48" i="117"/>
  <c r="X48" i="117"/>
  <c r="Y48" i="117"/>
  <c r="Z48" i="117"/>
  <c r="J49" i="117"/>
  <c r="K49" i="117"/>
  <c r="L49" i="117"/>
  <c r="M49" i="117"/>
  <c r="N49" i="117"/>
  <c r="O49" i="117"/>
  <c r="P49" i="117"/>
  <c r="Q49" i="117"/>
  <c r="R49" i="117"/>
  <c r="S49" i="117"/>
  <c r="T49" i="117"/>
  <c r="U49" i="117"/>
  <c r="V49" i="117"/>
  <c r="W49" i="117"/>
  <c r="X49" i="117"/>
  <c r="Y49" i="117"/>
  <c r="Z49" i="117"/>
  <c r="J23" i="104"/>
  <c r="K23" i="104"/>
  <c r="L23" i="104"/>
  <c r="M23" i="104"/>
  <c r="N23" i="104"/>
  <c r="O23" i="104"/>
  <c r="P23" i="104"/>
  <c r="Q23" i="104"/>
  <c r="R23" i="104"/>
  <c r="S23" i="104"/>
  <c r="T23" i="104"/>
  <c r="U23" i="104"/>
  <c r="V23" i="104"/>
  <c r="W23" i="104"/>
  <c r="X23" i="104"/>
  <c r="Y23" i="104"/>
  <c r="Z23" i="104"/>
  <c r="BK78" i="118"/>
  <c r="J78" i="118"/>
  <c r="K78" i="118"/>
  <c r="L78" i="118"/>
  <c r="M78" i="118"/>
  <c r="N78" i="118"/>
  <c r="O78" i="118"/>
  <c r="P78" i="118"/>
  <c r="Q78" i="118"/>
  <c r="R78" i="118"/>
  <c r="S78" i="118"/>
  <c r="T78" i="118"/>
  <c r="U78" i="118"/>
  <c r="V78" i="118"/>
  <c r="W78" i="118"/>
  <c r="X78" i="118"/>
  <c r="Y78" i="118"/>
  <c r="Z78" i="118"/>
  <c r="BK73" i="118"/>
  <c r="J73" i="118"/>
  <c r="K73" i="118"/>
  <c r="L73" i="118"/>
  <c r="M73" i="118"/>
  <c r="N73" i="118"/>
  <c r="O73" i="118"/>
  <c r="P73" i="118"/>
  <c r="Q73" i="118"/>
  <c r="R73" i="118"/>
  <c r="S73" i="118"/>
  <c r="T73" i="118"/>
  <c r="U73" i="118"/>
  <c r="V73" i="118"/>
  <c r="W73" i="118"/>
  <c r="X73" i="118"/>
  <c r="Y73" i="118"/>
  <c r="Z73" i="118"/>
  <c r="J34" i="104"/>
  <c r="K34" i="104"/>
  <c r="L34" i="104"/>
  <c r="M34" i="104"/>
  <c r="N34" i="104"/>
  <c r="O34" i="104"/>
  <c r="P34" i="104"/>
  <c r="Q34" i="104"/>
  <c r="R34" i="104"/>
  <c r="S34" i="104"/>
  <c r="T34" i="104"/>
  <c r="U34" i="104"/>
  <c r="V34" i="104"/>
  <c r="W34" i="104"/>
  <c r="X34" i="104"/>
  <c r="Y34" i="104"/>
  <c r="Z34" i="104"/>
  <c r="J69" i="118"/>
  <c r="K69" i="118"/>
  <c r="L69" i="118"/>
  <c r="M69" i="118"/>
  <c r="N69" i="118"/>
  <c r="O69" i="118"/>
  <c r="P69" i="118"/>
  <c r="Q69" i="118"/>
  <c r="R69" i="118"/>
  <c r="S69" i="118"/>
  <c r="T69" i="118"/>
  <c r="U69" i="118"/>
  <c r="V69" i="118"/>
  <c r="W69" i="118"/>
  <c r="X69" i="118"/>
  <c r="Y69" i="118"/>
  <c r="Z69" i="118"/>
  <c r="BK69" i="118"/>
  <c r="J23" i="117"/>
  <c r="K23" i="117"/>
  <c r="L23" i="117"/>
  <c r="M23" i="117"/>
  <c r="N23" i="117"/>
  <c r="O23" i="117"/>
  <c r="P23" i="117"/>
  <c r="Q23" i="117"/>
  <c r="R23" i="117"/>
  <c r="S23" i="117"/>
  <c r="T23" i="117"/>
  <c r="U23" i="117"/>
  <c r="V23" i="117"/>
  <c r="W23" i="117"/>
  <c r="X23" i="117"/>
  <c r="Y23" i="117"/>
  <c r="Z23" i="117"/>
  <c r="J41" i="118"/>
  <c r="K41" i="118"/>
  <c r="L41" i="118"/>
  <c r="M41" i="118"/>
  <c r="N41" i="118"/>
  <c r="O41" i="118"/>
  <c r="P41" i="118"/>
  <c r="Q41" i="118"/>
  <c r="R41" i="118"/>
  <c r="S41" i="118"/>
  <c r="T41" i="118"/>
  <c r="U41" i="118"/>
  <c r="V41" i="118"/>
  <c r="W41" i="118"/>
  <c r="X41" i="118"/>
  <c r="Y41" i="118"/>
  <c r="Z41" i="118"/>
  <c r="BK63" i="118"/>
  <c r="J63" i="118"/>
  <c r="K63" i="118"/>
  <c r="L63" i="118"/>
  <c r="M63" i="118"/>
  <c r="N63" i="118"/>
  <c r="O63" i="118"/>
  <c r="P63" i="118"/>
  <c r="Q63" i="118"/>
  <c r="R63" i="118"/>
  <c r="S63" i="118"/>
  <c r="T63" i="118"/>
  <c r="U63" i="118"/>
  <c r="V63" i="118"/>
  <c r="W63" i="118"/>
  <c r="X63" i="118"/>
  <c r="Y63" i="118"/>
  <c r="Z63" i="118"/>
  <c r="BK63" i="104"/>
  <c r="J63" i="104"/>
  <c r="K63" i="104"/>
  <c r="L63" i="104"/>
  <c r="M63" i="104"/>
  <c r="N63" i="104"/>
  <c r="O63" i="104"/>
  <c r="P63" i="104"/>
  <c r="Q63" i="104"/>
  <c r="R63" i="104"/>
  <c r="S63" i="104"/>
  <c r="T63" i="104"/>
  <c r="U63" i="104"/>
  <c r="V63" i="104"/>
  <c r="W63" i="104"/>
  <c r="X63" i="104"/>
  <c r="Y63" i="104"/>
  <c r="Z63" i="104"/>
  <c r="BK61" i="104"/>
  <c r="J61" i="104"/>
  <c r="K61" i="104"/>
  <c r="L61" i="104"/>
  <c r="M61" i="104"/>
  <c r="N61" i="104"/>
  <c r="O61" i="104"/>
  <c r="P61" i="104"/>
  <c r="Q61" i="104"/>
  <c r="R61" i="104"/>
  <c r="S61" i="104"/>
  <c r="T61" i="104"/>
  <c r="U61" i="104"/>
  <c r="V61" i="104"/>
  <c r="W61" i="104"/>
  <c r="X61" i="104"/>
  <c r="Y61" i="104"/>
  <c r="Z61" i="104"/>
  <c r="J50" i="118"/>
  <c r="K50" i="118"/>
  <c r="L50" i="118"/>
  <c r="M50" i="118"/>
  <c r="N50" i="118"/>
  <c r="O50" i="118"/>
  <c r="P50" i="118"/>
  <c r="Q50" i="118"/>
  <c r="R50" i="118"/>
  <c r="S50" i="118"/>
  <c r="T50" i="118"/>
  <c r="U50" i="118"/>
  <c r="V50" i="118"/>
  <c r="W50" i="118"/>
  <c r="X50" i="118"/>
  <c r="Y50" i="118"/>
  <c r="Z50" i="118"/>
  <c r="J10" i="103"/>
  <c r="AS51" i="104"/>
  <c r="BP51" i="104"/>
  <c r="J52" i="117"/>
  <c r="K52" i="117"/>
  <c r="L52" i="117"/>
  <c r="M52" i="117"/>
  <c r="N52" i="117"/>
  <c r="O52" i="117"/>
  <c r="P52" i="117"/>
  <c r="Q52" i="117"/>
  <c r="R52" i="117"/>
  <c r="S52" i="117"/>
  <c r="T52" i="117"/>
  <c r="U52" i="117"/>
  <c r="V52" i="117"/>
  <c r="W52" i="117"/>
  <c r="X52" i="117"/>
  <c r="Y52" i="117"/>
  <c r="Z52" i="117"/>
  <c r="J45" i="117"/>
  <c r="K45" i="117"/>
  <c r="L45" i="117"/>
  <c r="M45" i="117"/>
  <c r="N45" i="117"/>
  <c r="O45" i="117"/>
  <c r="P45" i="117"/>
  <c r="Q45" i="117"/>
  <c r="R45" i="117"/>
  <c r="S45" i="117"/>
  <c r="T45" i="117"/>
  <c r="U45" i="117"/>
  <c r="V45" i="117"/>
  <c r="W45" i="117"/>
  <c r="X45" i="117"/>
  <c r="Y45" i="117"/>
  <c r="Z45" i="117"/>
  <c r="J24" i="118"/>
  <c r="K24" i="118"/>
  <c r="L24" i="118"/>
  <c r="M24" i="118"/>
  <c r="N24" i="118"/>
  <c r="O24" i="118"/>
  <c r="P24" i="118"/>
  <c r="Q24" i="118"/>
  <c r="R24" i="118"/>
  <c r="S24" i="118"/>
  <c r="T24" i="118"/>
  <c r="U24" i="118"/>
  <c r="V24" i="118"/>
  <c r="W24" i="118"/>
  <c r="X24" i="118"/>
  <c r="Y24" i="118"/>
  <c r="Z24" i="118"/>
  <c r="BA25" i="118"/>
  <c r="BB25" i="118"/>
  <c r="AT25" i="118"/>
  <c r="AU25" i="118"/>
  <c r="J81" i="118"/>
  <c r="K81" i="118"/>
  <c r="L81" i="118"/>
  <c r="M81" i="118"/>
  <c r="N81" i="118"/>
  <c r="O81" i="118"/>
  <c r="P81" i="118"/>
  <c r="Q81" i="118"/>
  <c r="R81" i="118"/>
  <c r="S81" i="118"/>
  <c r="T81" i="118"/>
  <c r="U81" i="118"/>
  <c r="V81" i="118"/>
  <c r="W81" i="118"/>
  <c r="X81" i="118"/>
  <c r="Y81" i="118"/>
  <c r="Z81" i="118"/>
  <c r="BK81" i="118"/>
  <c r="J26" i="118"/>
  <c r="K26" i="118"/>
  <c r="L26" i="118"/>
  <c r="M26" i="118"/>
  <c r="N26" i="118"/>
  <c r="O26" i="118"/>
  <c r="P26" i="118"/>
  <c r="Q26" i="118"/>
  <c r="R26" i="118"/>
  <c r="S26" i="118"/>
  <c r="T26" i="118"/>
  <c r="U26" i="118"/>
  <c r="V26" i="118"/>
  <c r="W26" i="118"/>
  <c r="X26" i="118"/>
  <c r="Y26" i="118"/>
  <c r="Z26" i="118"/>
  <c r="J28" i="118"/>
  <c r="K28" i="118"/>
  <c r="L28" i="118"/>
  <c r="M28" i="118"/>
  <c r="N28" i="118"/>
  <c r="O28" i="118"/>
  <c r="P28" i="118"/>
  <c r="Q28" i="118"/>
  <c r="R28" i="118"/>
  <c r="S28" i="118"/>
  <c r="T28" i="118"/>
  <c r="U28" i="118"/>
  <c r="V28" i="118"/>
  <c r="W28" i="118"/>
  <c r="X28" i="118"/>
  <c r="Y28" i="118"/>
  <c r="Z28" i="118"/>
  <c r="J29" i="118"/>
  <c r="K29" i="118"/>
  <c r="L29" i="118"/>
  <c r="M29" i="118"/>
  <c r="N29" i="118"/>
  <c r="O29" i="118"/>
  <c r="P29" i="118"/>
  <c r="Q29" i="118"/>
  <c r="R29" i="118"/>
  <c r="S29" i="118"/>
  <c r="T29" i="118"/>
  <c r="U29" i="118"/>
  <c r="V29" i="118"/>
  <c r="W29" i="118"/>
  <c r="X29" i="118"/>
  <c r="Y29" i="118"/>
  <c r="Z29" i="118"/>
  <c r="BK77" i="118"/>
  <c r="J77" i="118"/>
  <c r="K77" i="118"/>
  <c r="L77" i="118"/>
  <c r="M77" i="118"/>
  <c r="N77" i="118"/>
  <c r="O77" i="118"/>
  <c r="P77" i="118"/>
  <c r="Q77" i="118"/>
  <c r="R77" i="118"/>
  <c r="S77" i="118"/>
  <c r="T77" i="118"/>
  <c r="U77" i="118"/>
  <c r="V77" i="118"/>
  <c r="W77" i="118"/>
  <c r="X77" i="118"/>
  <c r="Y77" i="118"/>
  <c r="Z77" i="118"/>
  <c r="J76" i="118"/>
  <c r="K76" i="118"/>
  <c r="L76" i="118"/>
  <c r="M76" i="118"/>
  <c r="N76" i="118"/>
  <c r="O76" i="118"/>
  <c r="P76" i="118"/>
  <c r="Q76" i="118"/>
  <c r="R76" i="118"/>
  <c r="S76" i="118"/>
  <c r="T76" i="118"/>
  <c r="U76" i="118"/>
  <c r="V76" i="118"/>
  <c r="W76" i="118"/>
  <c r="X76" i="118"/>
  <c r="Y76" i="118"/>
  <c r="Z76" i="118"/>
  <c r="BK76" i="118"/>
  <c r="AS31" i="104"/>
  <c r="BP31" i="104"/>
  <c r="J33" i="104"/>
  <c r="K33" i="104"/>
  <c r="L33" i="104"/>
  <c r="M33" i="104"/>
  <c r="N33" i="104"/>
  <c r="O33" i="104"/>
  <c r="P33" i="104"/>
  <c r="Q33" i="104"/>
  <c r="R33" i="104"/>
  <c r="S33" i="104"/>
  <c r="T33" i="104"/>
  <c r="U33" i="104"/>
  <c r="V33" i="104"/>
  <c r="W33" i="104"/>
  <c r="X33" i="104"/>
  <c r="Y33" i="104"/>
  <c r="Z33" i="104"/>
  <c r="BK71" i="118"/>
  <c r="J71" i="118"/>
  <c r="K71" i="118"/>
  <c r="L71" i="118"/>
  <c r="M71" i="118"/>
  <c r="N71" i="118"/>
  <c r="O71" i="118"/>
  <c r="P71" i="118"/>
  <c r="Q71" i="118"/>
  <c r="R71" i="118"/>
  <c r="S71" i="118"/>
  <c r="T71" i="118"/>
  <c r="U71" i="118"/>
  <c r="V71" i="118"/>
  <c r="W71" i="118"/>
  <c r="X71" i="118"/>
  <c r="Y71" i="118"/>
  <c r="Z71" i="118"/>
  <c r="J35" i="104"/>
  <c r="K35" i="104"/>
  <c r="L35" i="104"/>
  <c r="M35" i="104"/>
  <c r="N35" i="104"/>
  <c r="O35" i="104"/>
  <c r="P35" i="104"/>
  <c r="Q35" i="104"/>
  <c r="R35" i="104"/>
  <c r="S35" i="104"/>
  <c r="T35" i="104"/>
  <c r="U35" i="104"/>
  <c r="V35" i="104"/>
  <c r="W35" i="104"/>
  <c r="X35" i="104"/>
  <c r="Y35" i="104"/>
  <c r="Z35" i="104"/>
  <c r="I19" i="117"/>
  <c r="J21" i="117"/>
  <c r="J22" i="117"/>
  <c r="K22" i="117"/>
  <c r="L22" i="117"/>
  <c r="M22" i="117"/>
  <c r="N22" i="117"/>
  <c r="O22" i="117"/>
  <c r="P22" i="117"/>
  <c r="Q22" i="117"/>
  <c r="R22" i="117"/>
  <c r="S22" i="117"/>
  <c r="T22" i="117"/>
  <c r="U22" i="117"/>
  <c r="V22" i="117"/>
  <c r="W22" i="117"/>
  <c r="X22" i="117"/>
  <c r="Y22" i="117"/>
  <c r="Z22" i="117"/>
  <c r="J37" i="104"/>
  <c r="K37" i="104"/>
  <c r="L37" i="104"/>
  <c r="M37" i="104"/>
  <c r="N37" i="104"/>
  <c r="O37" i="104"/>
  <c r="P37" i="104"/>
  <c r="Q37" i="104"/>
  <c r="R37" i="104"/>
  <c r="S37" i="104"/>
  <c r="T37" i="104"/>
  <c r="U37" i="104"/>
  <c r="V37" i="104"/>
  <c r="W37" i="104"/>
  <c r="X37" i="104"/>
  <c r="Y37" i="104"/>
  <c r="Z37" i="104"/>
  <c r="BK67" i="118"/>
  <c r="J67" i="118"/>
  <c r="K67" i="118"/>
  <c r="L67" i="118"/>
  <c r="M67" i="118"/>
  <c r="N67" i="118"/>
  <c r="O67" i="118"/>
  <c r="P67" i="118"/>
  <c r="Q67" i="118"/>
  <c r="R67" i="118"/>
  <c r="S67" i="118"/>
  <c r="T67" i="118"/>
  <c r="U67" i="118"/>
  <c r="V67" i="118"/>
  <c r="W67" i="118"/>
  <c r="X67" i="118"/>
  <c r="Y67" i="118"/>
  <c r="Z67" i="118"/>
  <c r="J40" i="118"/>
  <c r="K40" i="118"/>
  <c r="L40" i="118"/>
  <c r="M40" i="118"/>
  <c r="N40" i="118"/>
  <c r="O40" i="118"/>
  <c r="P40" i="118"/>
  <c r="Q40" i="118"/>
  <c r="R40" i="118"/>
  <c r="S40" i="118"/>
  <c r="T40" i="118"/>
  <c r="U40" i="118"/>
  <c r="V40" i="118"/>
  <c r="W40" i="118"/>
  <c r="X40" i="118"/>
  <c r="Y40" i="118"/>
  <c r="Z40" i="118"/>
  <c r="J24" i="117"/>
  <c r="K24" i="117"/>
  <c r="L24" i="117"/>
  <c r="M24" i="117"/>
  <c r="N24" i="117"/>
  <c r="O24" i="117"/>
  <c r="P24" i="117"/>
  <c r="Q24" i="117"/>
  <c r="R24" i="117"/>
  <c r="S24" i="117"/>
  <c r="T24" i="117"/>
  <c r="U24" i="117"/>
  <c r="V24" i="117"/>
  <c r="W24" i="117"/>
  <c r="X24" i="117"/>
  <c r="Y24" i="117"/>
  <c r="Z24" i="117"/>
  <c r="J40" i="104"/>
  <c r="K40" i="104"/>
  <c r="L40" i="104"/>
  <c r="M40" i="104"/>
  <c r="N40" i="104"/>
  <c r="O40" i="104"/>
  <c r="P40" i="104"/>
  <c r="Q40" i="104"/>
  <c r="R40" i="104"/>
  <c r="S40" i="104"/>
  <c r="T40" i="104"/>
  <c r="U40" i="104"/>
  <c r="V40" i="104"/>
  <c r="W40" i="104"/>
  <c r="X40" i="104"/>
  <c r="Y40" i="104"/>
  <c r="Z40" i="104"/>
  <c r="BK66" i="117"/>
  <c r="J66" i="117"/>
  <c r="K66" i="117"/>
  <c r="L66" i="117"/>
  <c r="M66" i="117"/>
  <c r="N66" i="117"/>
  <c r="O66" i="117"/>
  <c r="P66" i="117"/>
  <c r="Q66" i="117"/>
  <c r="R66" i="117"/>
  <c r="S66" i="117"/>
  <c r="T66" i="117"/>
  <c r="U66" i="117"/>
  <c r="V66" i="117"/>
  <c r="W66" i="117"/>
  <c r="X66" i="117"/>
  <c r="Y66" i="117"/>
  <c r="Z66" i="117"/>
  <c r="J41" i="104"/>
  <c r="K41" i="104"/>
  <c r="L41" i="104"/>
  <c r="M41" i="104"/>
  <c r="N41" i="104"/>
  <c r="O41" i="104"/>
  <c r="P41" i="104"/>
  <c r="Q41" i="104"/>
  <c r="R41" i="104"/>
  <c r="S41" i="104"/>
  <c r="T41" i="104"/>
  <c r="U41" i="104"/>
  <c r="V41" i="104"/>
  <c r="W41" i="104"/>
  <c r="X41" i="104"/>
  <c r="Y41" i="104"/>
  <c r="Z41" i="104"/>
  <c r="AS43" i="118"/>
  <c r="J27" i="117"/>
  <c r="K27" i="117"/>
  <c r="L27" i="117"/>
  <c r="M27" i="117"/>
  <c r="N27" i="117"/>
  <c r="O27" i="117"/>
  <c r="P27" i="117"/>
  <c r="Q27" i="117"/>
  <c r="R27" i="117"/>
  <c r="S27" i="117"/>
  <c r="T27" i="117"/>
  <c r="U27" i="117"/>
  <c r="V27" i="117"/>
  <c r="W27" i="117"/>
  <c r="X27" i="117"/>
  <c r="Y27" i="117"/>
  <c r="Z27" i="117"/>
  <c r="J28" i="117"/>
  <c r="K28" i="117"/>
  <c r="L28" i="117"/>
  <c r="M28" i="117"/>
  <c r="N28" i="117"/>
  <c r="O28" i="117"/>
  <c r="P28" i="117"/>
  <c r="Q28" i="117"/>
  <c r="R28" i="117"/>
  <c r="S28" i="117"/>
  <c r="T28" i="117"/>
  <c r="U28" i="117"/>
  <c r="V28" i="117"/>
  <c r="W28" i="117"/>
  <c r="X28" i="117"/>
  <c r="Y28" i="117"/>
  <c r="Z28" i="117"/>
  <c r="J43" i="104"/>
  <c r="K43" i="104"/>
  <c r="L43" i="104"/>
  <c r="M43" i="104"/>
  <c r="N43" i="104"/>
  <c r="O43" i="104"/>
  <c r="P43" i="104"/>
  <c r="Q43" i="104"/>
  <c r="R43" i="104"/>
  <c r="S43" i="104"/>
  <c r="T43" i="104"/>
  <c r="U43" i="104"/>
  <c r="V43" i="104"/>
  <c r="W43" i="104"/>
  <c r="X43" i="104"/>
  <c r="Y43" i="104"/>
  <c r="Z43" i="104"/>
  <c r="J29" i="117"/>
  <c r="K29" i="117"/>
  <c r="L29" i="117"/>
  <c r="M29" i="117"/>
  <c r="N29" i="117"/>
  <c r="O29" i="117"/>
  <c r="P29" i="117"/>
  <c r="Q29" i="117"/>
  <c r="R29" i="117"/>
  <c r="S29" i="117"/>
  <c r="T29" i="117"/>
  <c r="U29" i="117"/>
  <c r="V29" i="117"/>
  <c r="W29" i="117"/>
  <c r="X29" i="117"/>
  <c r="Y29" i="117"/>
  <c r="Z29" i="117"/>
  <c r="J30" i="117"/>
  <c r="K30" i="117"/>
  <c r="L30" i="117"/>
  <c r="M30" i="117"/>
  <c r="N30" i="117"/>
  <c r="O30" i="117"/>
  <c r="P30" i="117"/>
  <c r="Q30" i="117"/>
  <c r="R30" i="117"/>
  <c r="S30" i="117"/>
  <c r="T30" i="117"/>
  <c r="U30" i="117"/>
  <c r="V30" i="117"/>
  <c r="W30" i="117"/>
  <c r="X30" i="117"/>
  <c r="Y30" i="117"/>
  <c r="Z30" i="117"/>
  <c r="BK61" i="117"/>
  <c r="J61" i="117"/>
  <c r="K61" i="117"/>
  <c r="L61" i="117"/>
  <c r="M61" i="117"/>
  <c r="N61" i="117"/>
  <c r="O61" i="117"/>
  <c r="P61" i="117"/>
  <c r="Q61" i="117"/>
  <c r="R61" i="117"/>
  <c r="S61" i="117"/>
  <c r="T61" i="117"/>
  <c r="U61" i="117"/>
  <c r="V61" i="117"/>
  <c r="W61" i="117"/>
  <c r="X61" i="117"/>
  <c r="Y61" i="117"/>
  <c r="Z61" i="117"/>
  <c r="AS47" i="118"/>
  <c r="J60" i="117"/>
  <c r="K60" i="117"/>
  <c r="L60" i="117"/>
  <c r="M60" i="117"/>
  <c r="N60" i="117"/>
  <c r="O60" i="117"/>
  <c r="P60" i="117"/>
  <c r="Q60" i="117"/>
  <c r="R60" i="117"/>
  <c r="S60" i="117"/>
  <c r="T60" i="117"/>
  <c r="U60" i="117"/>
  <c r="V60" i="117"/>
  <c r="W60" i="117"/>
  <c r="X60" i="117"/>
  <c r="Y60" i="117"/>
  <c r="Z60" i="117"/>
  <c r="BK60" i="117"/>
  <c r="J47" i="118"/>
  <c r="K47" i="118"/>
  <c r="L47" i="118"/>
  <c r="M47" i="118"/>
  <c r="N47" i="118"/>
  <c r="O47" i="118"/>
  <c r="P47" i="118"/>
  <c r="Q47" i="118"/>
  <c r="R47" i="118"/>
  <c r="S47" i="118"/>
  <c r="T47" i="118"/>
  <c r="U47" i="118"/>
  <c r="V47" i="118"/>
  <c r="W47" i="118"/>
  <c r="X47" i="118"/>
  <c r="Y47" i="118"/>
  <c r="Z47" i="118"/>
  <c r="BK60" i="104"/>
  <c r="J60" i="104"/>
  <c r="K60" i="104"/>
  <c r="L60" i="104"/>
  <c r="M60" i="104"/>
  <c r="N60" i="104"/>
  <c r="O60" i="104"/>
  <c r="P60" i="104"/>
  <c r="Q60" i="104"/>
  <c r="R60" i="104"/>
  <c r="S60" i="104"/>
  <c r="T60" i="104"/>
  <c r="U60" i="104"/>
  <c r="V60" i="104"/>
  <c r="W60" i="104"/>
  <c r="X60" i="104"/>
  <c r="Y60" i="104"/>
  <c r="Z60" i="104"/>
  <c r="J32" i="117"/>
  <c r="K32" i="117"/>
  <c r="L32" i="117"/>
  <c r="M32" i="117"/>
  <c r="N32" i="117"/>
  <c r="O32" i="117"/>
  <c r="P32" i="117"/>
  <c r="Q32" i="117"/>
  <c r="R32" i="117"/>
  <c r="S32" i="117"/>
  <c r="T32" i="117"/>
  <c r="U32" i="117"/>
  <c r="V32" i="117"/>
  <c r="W32" i="117"/>
  <c r="X32" i="117"/>
  <c r="Y32" i="117"/>
  <c r="Z32" i="117"/>
  <c r="J58" i="117"/>
  <c r="K58" i="117"/>
  <c r="L58" i="117"/>
  <c r="M58" i="117"/>
  <c r="N58" i="117"/>
  <c r="O58" i="117"/>
  <c r="P58" i="117"/>
  <c r="Q58" i="117"/>
  <c r="R58" i="117"/>
  <c r="S58" i="117"/>
  <c r="T58" i="117"/>
  <c r="U58" i="117"/>
  <c r="V58" i="117"/>
  <c r="W58" i="117"/>
  <c r="X58" i="117"/>
  <c r="Y58" i="117"/>
  <c r="Z58" i="117"/>
  <c r="BK58" i="117"/>
  <c r="J34" i="117"/>
  <c r="K34" i="117"/>
  <c r="L34" i="117"/>
  <c r="M34" i="117"/>
  <c r="N34" i="117"/>
  <c r="O34" i="117"/>
  <c r="P34" i="117"/>
  <c r="Q34" i="117"/>
  <c r="R34" i="117"/>
  <c r="S34" i="117"/>
  <c r="T34" i="117"/>
  <c r="U34" i="117"/>
  <c r="V34" i="117"/>
  <c r="W34" i="117"/>
  <c r="X34" i="117"/>
  <c r="Y34" i="117"/>
  <c r="Z34" i="117"/>
  <c r="BK57" i="117"/>
  <c r="J57" i="117"/>
  <c r="K57" i="117"/>
  <c r="L57" i="117"/>
  <c r="M57" i="117"/>
  <c r="N57" i="117"/>
  <c r="O57" i="117"/>
  <c r="P57" i="117"/>
  <c r="Q57" i="117"/>
  <c r="R57" i="117"/>
  <c r="S57" i="117"/>
  <c r="T57" i="117"/>
  <c r="U57" i="117"/>
  <c r="V57" i="117"/>
  <c r="W57" i="117"/>
  <c r="X57" i="117"/>
  <c r="Y57" i="117"/>
  <c r="Z57" i="117"/>
  <c r="BK56" i="117"/>
  <c r="J56" i="117"/>
  <c r="K56" i="117"/>
  <c r="L56" i="117"/>
  <c r="M56" i="117"/>
  <c r="N56" i="117"/>
  <c r="O56" i="117"/>
  <c r="P56" i="117"/>
  <c r="Q56" i="117"/>
  <c r="R56" i="117"/>
  <c r="S56" i="117"/>
  <c r="T56" i="117"/>
  <c r="U56" i="117"/>
  <c r="V56" i="117"/>
  <c r="W56" i="117"/>
  <c r="X56" i="117"/>
  <c r="Y56" i="117"/>
  <c r="Z56" i="117"/>
  <c r="J50" i="104"/>
  <c r="K50" i="104"/>
  <c r="L50" i="104"/>
  <c r="M50" i="104"/>
  <c r="N50" i="104"/>
  <c r="O50" i="104"/>
  <c r="P50" i="104"/>
  <c r="Q50" i="104"/>
  <c r="R50" i="104"/>
  <c r="S50" i="104"/>
  <c r="T50" i="104"/>
  <c r="U50" i="104"/>
  <c r="V50" i="104"/>
  <c r="W50" i="104"/>
  <c r="X50" i="104"/>
  <c r="Y50" i="104"/>
  <c r="Z50" i="104"/>
  <c r="J57" i="104"/>
  <c r="K57" i="104"/>
  <c r="L57" i="104"/>
  <c r="M57" i="104"/>
  <c r="N57" i="104"/>
  <c r="O57" i="104"/>
  <c r="P57" i="104"/>
  <c r="Q57" i="104"/>
  <c r="R57" i="104"/>
  <c r="S57" i="104"/>
  <c r="T57" i="104"/>
  <c r="U57" i="104"/>
  <c r="V57" i="104"/>
  <c r="W57" i="104"/>
  <c r="X57" i="104"/>
  <c r="Y57" i="104"/>
  <c r="Z57" i="104"/>
  <c r="BK57" i="104"/>
  <c r="J52" i="118"/>
  <c r="K52" i="118"/>
  <c r="L52" i="118"/>
  <c r="M52" i="118"/>
  <c r="N52" i="118"/>
  <c r="O52" i="118"/>
  <c r="P52" i="118"/>
  <c r="Q52" i="118"/>
  <c r="R52" i="118"/>
  <c r="S52" i="118"/>
  <c r="T52" i="118"/>
  <c r="U52" i="118"/>
  <c r="V52" i="118"/>
  <c r="W52" i="118"/>
  <c r="X52" i="118"/>
  <c r="Y52" i="118"/>
  <c r="Z52" i="118"/>
  <c r="BK56" i="104"/>
  <c r="J56" i="104"/>
  <c r="K56" i="104"/>
  <c r="L56" i="104"/>
  <c r="M56" i="104"/>
  <c r="N56" i="104"/>
  <c r="O56" i="104"/>
  <c r="P56" i="104"/>
  <c r="Q56" i="104"/>
  <c r="R56" i="104"/>
  <c r="S56" i="104"/>
  <c r="T56" i="104"/>
  <c r="U56" i="104"/>
  <c r="V56" i="104"/>
  <c r="W56" i="104"/>
  <c r="X56" i="104"/>
  <c r="Y56" i="104"/>
  <c r="Z56" i="104"/>
  <c r="J39" i="117"/>
  <c r="K39" i="117"/>
  <c r="L39" i="117"/>
  <c r="M39" i="117"/>
  <c r="N39" i="117"/>
  <c r="O39" i="117"/>
  <c r="P39" i="117"/>
  <c r="Q39" i="117"/>
  <c r="R39" i="117"/>
  <c r="S39" i="117"/>
  <c r="T39" i="117"/>
  <c r="U39" i="117"/>
  <c r="V39" i="117"/>
  <c r="W39" i="117"/>
  <c r="X39" i="117"/>
  <c r="Y39" i="117"/>
  <c r="Z39" i="117"/>
  <c r="J43" i="117"/>
  <c r="K43" i="117"/>
  <c r="L43" i="117"/>
  <c r="M43" i="117"/>
  <c r="N43" i="117"/>
  <c r="O43" i="117"/>
  <c r="P43" i="117"/>
  <c r="Q43" i="117"/>
  <c r="R43" i="117"/>
  <c r="S43" i="117"/>
  <c r="T43" i="117"/>
  <c r="U43" i="117"/>
  <c r="V43" i="117"/>
  <c r="W43" i="117"/>
  <c r="X43" i="117"/>
  <c r="Y43" i="117"/>
  <c r="Z43" i="117"/>
  <c r="J42" i="117"/>
  <c r="K42" i="117"/>
  <c r="L42" i="117"/>
  <c r="M42" i="117"/>
  <c r="N42" i="117"/>
  <c r="O42" i="117"/>
  <c r="P42" i="117"/>
  <c r="Q42" i="117"/>
  <c r="R42" i="117"/>
  <c r="S42" i="117"/>
  <c r="T42" i="117"/>
  <c r="U42" i="117"/>
  <c r="V42" i="117"/>
  <c r="W42" i="117"/>
  <c r="X42" i="117"/>
  <c r="Y42" i="117"/>
  <c r="Z42" i="117"/>
  <c r="J52" i="104"/>
  <c r="K52" i="104"/>
  <c r="L52" i="104"/>
  <c r="M52" i="104"/>
  <c r="N52" i="104"/>
  <c r="O52" i="104"/>
  <c r="P52" i="104"/>
  <c r="Q52" i="104"/>
  <c r="R52" i="104"/>
  <c r="S52" i="104"/>
  <c r="T52" i="104"/>
  <c r="U52" i="104"/>
  <c r="V52" i="104"/>
  <c r="W52" i="104"/>
  <c r="X52" i="104"/>
  <c r="Y52" i="104"/>
  <c r="Z52" i="104"/>
  <c r="J21" i="104"/>
  <c r="I19" i="104"/>
  <c r="J22" i="118"/>
  <c r="K22" i="118"/>
  <c r="L22" i="118"/>
  <c r="M22" i="118"/>
  <c r="N22" i="118"/>
  <c r="O22" i="118"/>
  <c r="P22" i="118"/>
  <c r="Q22" i="118"/>
  <c r="R22" i="118"/>
  <c r="S22" i="118"/>
  <c r="T22" i="118"/>
  <c r="U22" i="118"/>
  <c r="V22" i="118"/>
  <c r="W22" i="118"/>
  <c r="X22" i="118"/>
  <c r="Y22" i="118"/>
  <c r="Z22" i="118"/>
  <c r="AS51" i="118"/>
  <c r="AS31" i="118"/>
  <c r="AS44" i="118"/>
  <c r="AS40" i="118"/>
  <c r="AD25" i="35"/>
  <c r="AH25" i="35"/>
  <c r="AE24" i="35"/>
  <c r="V24" i="35"/>
  <c r="AS49" i="118"/>
  <c r="AS39" i="118"/>
  <c r="AS51" i="117"/>
  <c r="AS42" i="117"/>
  <c r="AS30" i="117"/>
  <c r="AS25" i="117"/>
  <c r="AB22" i="104"/>
  <c r="AS33" i="118"/>
  <c r="AS38" i="118"/>
  <c r="AS26" i="118"/>
  <c r="AS34" i="118"/>
  <c r="AS41" i="118"/>
  <c r="AS24" i="118"/>
  <c r="AS44" i="117"/>
  <c r="AS27" i="118"/>
  <c r="AS25" i="118"/>
  <c r="AS45" i="118"/>
  <c r="AS50" i="118"/>
  <c r="AB52" i="118"/>
  <c r="AB53" i="117"/>
  <c r="AB34" i="117"/>
  <c r="AB30" i="118"/>
  <c r="AB59" i="118"/>
  <c r="AB66" i="118"/>
  <c r="AB38" i="104"/>
  <c r="AB50" i="117"/>
  <c r="AB60" i="118"/>
  <c r="AB42" i="118"/>
  <c r="AB31" i="118"/>
  <c r="AB63" i="104"/>
  <c r="AB25" i="104"/>
  <c r="AB31" i="117"/>
  <c r="AB39" i="104"/>
  <c r="AB68" i="118"/>
  <c r="AB37" i="118"/>
  <c r="AB32" i="118"/>
  <c r="AB62" i="118"/>
  <c r="AB42" i="104"/>
  <c r="AS36" i="118"/>
  <c r="AS30" i="118"/>
  <c r="AB54" i="118"/>
  <c r="AB58" i="117"/>
  <c r="AB84" i="118"/>
  <c r="AB51" i="118"/>
  <c r="AB75" i="118"/>
  <c r="AB41" i="117"/>
  <c r="AB55" i="104"/>
  <c r="AB35" i="117"/>
  <c r="AS44" i="104"/>
  <c r="BP44" i="104"/>
  <c r="AS49" i="104"/>
  <c r="BP49" i="104"/>
  <c r="AS47" i="104"/>
  <c r="BP47" i="104"/>
  <c r="AS30" i="104"/>
  <c r="BP30" i="104"/>
  <c r="AS38" i="104"/>
  <c r="BP38" i="104"/>
  <c r="AS37" i="104"/>
  <c r="BP37" i="104"/>
  <c r="AS29" i="104"/>
  <c r="BP29" i="104"/>
  <c r="AS39" i="104"/>
  <c r="BP39" i="104"/>
  <c r="AS45" i="104"/>
  <c r="BP45" i="104"/>
  <c r="AS33" i="104"/>
  <c r="BP33" i="104"/>
  <c r="AS48" i="104"/>
  <c r="BP48" i="104"/>
  <c r="AS50" i="104"/>
  <c r="BP50" i="104"/>
  <c r="AS42" i="104"/>
  <c r="BP42" i="104"/>
  <c r="AS35" i="104"/>
  <c r="BP35" i="104"/>
  <c r="AS27" i="104"/>
  <c r="BP27" i="104"/>
  <c r="AX24" i="118"/>
  <c r="AX25" i="118"/>
  <c r="AS52" i="104"/>
  <c r="BP52" i="104"/>
  <c r="AS36" i="104"/>
  <c r="BP36" i="104"/>
  <c r="AS32" i="104"/>
  <c r="BP32" i="104"/>
  <c r="AS41" i="104"/>
  <c r="BP41" i="104"/>
  <c r="AS28" i="104"/>
  <c r="BP28" i="104"/>
  <c r="AS40" i="104"/>
  <c r="BP40" i="104"/>
  <c r="AS25" i="104"/>
  <c r="BP25" i="104"/>
  <c r="AS43" i="104"/>
  <c r="BP43" i="104"/>
  <c r="AB22" i="118"/>
  <c r="AB39" i="117"/>
  <c r="AB40" i="118"/>
  <c r="AB37" i="104"/>
  <c r="AB29" i="118"/>
  <c r="AB26" i="118"/>
  <c r="AB73" i="118"/>
  <c r="AB44" i="117"/>
  <c r="AB47" i="117"/>
  <c r="AB51" i="104"/>
  <c r="AB67" i="117"/>
  <c r="AB33" i="118"/>
  <c r="AB28" i="104"/>
  <c r="AB79" i="118"/>
  <c r="AB36" i="118"/>
  <c r="AB63" i="117"/>
  <c r="AB30" i="104"/>
  <c r="AB43" i="117"/>
  <c r="AB50" i="104"/>
  <c r="AB32" i="117"/>
  <c r="AB47" i="118"/>
  <c r="AB28" i="117"/>
  <c r="AB40" i="104"/>
  <c r="AB24" i="118"/>
  <c r="AB49" i="117"/>
  <c r="AB55" i="117"/>
  <c r="AB33" i="117"/>
  <c r="AB64" i="117"/>
  <c r="AB53" i="104"/>
  <c r="AB51" i="117"/>
  <c r="AB52" i="104"/>
  <c r="AB56" i="104"/>
  <c r="AB61" i="117"/>
  <c r="AB29" i="117"/>
  <c r="AB66" i="117"/>
  <c r="AB35" i="104"/>
  <c r="AB33" i="104"/>
  <c r="AB63" i="118"/>
  <c r="AB40" i="117"/>
  <c r="AB62" i="104"/>
  <c r="AB44" i="118"/>
  <c r="AB34" i="118"/>
  <c r="AB54" i="117"/>
  <c r="AB38" i="117"/>
  <c r="AB46" i="118"/>
  <c r="AB36" i="104"/>
  <c r="AB25" i="118"/>
  <c r="AB55" i="118"/>
  <c r="AB49" i="118"/>
  <c r="AS34" i="104"/>
  <c r="BP34" i="104"/>
  <c r="AX24" i="104"/>
  <c r="AX25" i="104"/>
  <c r="AX26" i="104"/>
  <c r="AX27" i="104"/>
  <c r="AB80" i="118"/>
  <c r="AS49" i="117"/>
  <c r="A87" i="118"/>
  <c r="BD86" i="118"/>
  <c r="I86" i="118"/>
  <c r="H86" i="118"/>
  <c r="AS50" i="117"/>
  <c r="AB57" i="104"/>
  <c r="AB57" i="117"/>
  <c r="AB60" i="104"/>
  <c r="AS26" i="117"/>
  <c r="AB24" i="117"/>
  <c r="AB67" i="118"/>
  <c r="J19" i="117"/>
  <c r="K21" i="117"/>
  <c r="AB71" i="118"/>
  <c r="AB77" i="118"/>
  <c r="AS46" i="117"/>
  <c r="AB50" i="118"/>
  <c r="AB61" i="104"/>
  <c r="AB34" i="104"/>
  <c r="AB23" i="104"/>
  <c r="AB48" i="117"/>
  <c r="AC50" i="117"/>
  <c r="AS43" i="117"/>
  <c r="AB58" i="118"/>
  <c r="AB70" i="118"/>
  <c r="AB53" i="118"/>
  <c r="AS37" i="117"/>
  <c r="AS36" i="117"/>
  <c r="AB56" i="118"/>
  <c r="AB45" i="118"/>
  <c r="AS28" i="117"/>
  <c r="AB65" i="117"/>
  <c r="AB27" i="104"/>
  <c r="AB82" i="118"/>
  <c r="AB37" i="117"/>
  <c r="AB47" i="104"/>
  <c r="AX24" i="117"/>
  <c r="AB68" i="117"/>
  <c r="AB74" i="118"/>
  <c r="AS29" i="118"/>
  <c r="AS26" i="104"/>
  <c r="BP26" i="104"/>
  <c r="AS24" i="104"/>
  <c r="BP24" i="104"/>
  <c r="AB46" i="117"/>
  <c r="AB59" i="117"/>
  <c r="AS48" i="118"/>
  <c r="AS46" i="118"/>
  <c r="AS27" i="117"/>
  <c r="AS28" i="118"/>
  <c r="AB54" i="104"/>
  <c r="AS52" i="117"/>
  <c r="J19" i="104"/>
  <c r="K21" i="104"/>
  <c r="AS48" i="117"/>
  <c r="AS29" i="117"/>
  <c r="J21" i="118"/>
  <c r="I19" i="118"/>
  <c r="AB42" i="117"/>
  <c r="AS40" i="117"/>
  <c r="AB56" i="117"/>
  <c r="AB60" i="117"/>
  <c r="AB30" i="117"/>
  <c r="AB43" i="104"/>
  <c r="AB27" i="117"/>
  <c r="AB41" i="104"/>
  <c r="AB22" i="117"/>
  <c r="AB76" i="118"/>
  <c r="AB28" i="118"/>
  <c r="AB81" i="118"/>
  <c r="AV25" i="118"/>
  <c r="AB45" i="117"/>
  <c r="AB52" i="117"/>
  <c r="AS33" i="117"/>
  <c r="AB41" i="118"/>
  <c r="AB23" i="117"/>
  <c r="AB69" i="118"/>
  <c r="AB78" i="118"/>
  <c r="AS45" i="117"/>
  <c r="AB59" i="104"/>
  <c r="AB65" i="118"/>
  <c r="AV25" i="117"/>
  <c r="AX25" i="117"/>
  <c r="AB32" i="104"/>
  <c r="AB29" i="104"/>
  <c r="AB27" i="118"/>
  <c r="AB24" i="104"/>
  <c r="AS39" i="117"/>
  <c r="AS41" i="117"/>
  <c r="AS38" i="117"/>
  <c r="AS34" i="117"/>
  <c r="AB48" i="104"/>
  <c r="AB48" i="118"/>
  <c r="AS32" i="117"/>
  <c r="AB46" i="104"/>
  <c r="AB45" i="104"/>
  <c r="AB61" i="118"/>
  <c r="AB43" i="118"/>
  <c r="AB64" i="118"/>
  <c r="AB39" i="118"/>
  <c r="AB38" i="118"/>
  <c r="AB35" i="118"/>
  <c r="AB31" i="104"/>
  <c r="AB49" i="104"/>
  <c r="AB57" i="118"/>
  <c r="AS31" i="117"/>
  <c r="AB62" i="117"/>
  <c r="AB26" i="117"/>
  <c r="AB25" i="117"/>
  <c r="AS24" i="117"/>
  <c r="AB72" i="118"/>
  <c r="AB26" i="104"/>
  <c r="BK85" i="118"/>
  <c r="J85" i="118"/>
  <c r="K85" i="118"/>
  <c r="L85" i="118"/>
  <c r="M85" i="118"/>
  <c r="N85" i="118"/>
  <c r="O85" i="118"/>
  <c r="P85" i="118"/>
  <c r="Q85" i="118"/>
  <c r="R85" i="118"/>
  <c r="S85" i="118"/>
  <c r="T85" i="118"/>
  <c r="U85" i="118"/>
  <c r="V85" i="118"/>
  <c r="W85" i="118"/>
  <c r="X85" i="118"/>
  <c r="Y85" i="118"/>
  <c r="Z85" i="118"/>
  <c r="AB36" i="117"/>
  <c r="AS35" i="117"/>
  <c r="AB58" i="104"/>
  <c r="AB44" i="104"/>
  <c r="W25" i="35"/>
  <c r="X25" i="35"/>
  <c r="Y25" i="35"/>
  <c r="AL24" i="35"/>
  <c r="AM24" i="35"/>
  <c r="AN24" i="35"/>
  <c r="AT24" i="35"/>
  <c r="AS24" i="35"/>
  <c r="AO24" i="35"/>
  <c r="AR24" i="35"/>
  <c r="AG24" i="35"/>
  <c r="AC52" i="104"/>
  <c r="AC42" i="117"/>
  <c r="AC53" i="104"/>
  <c r="AC46" i="118"/>
  <c r="AC41" i="104"/>
  <c r="AC47" i="104"/>
  <c r="AC39" i="118"/>
  <c r="AC49" i="118"/>
  <c r="AC55" i="117"/>
  <c r="BL55" i="117"/>
  <c r="AC38" i="104"/>
  <c r="AC34" i="117"/>
  <c r="AC33" i="118"/>
  <c r="AC39" i="104"/>
  <c r="AC56" i="104"/>
  <c r="BL56" i="104"/>
  <c r="AC83" i="118"/>
  <c r="BL83" i="118"/>
  <c r="AC68" i="118"/>
  <c r="AC31" i="118"/>
  <c r="AC58" i="117"/>
  <c r="BL58" i="117"/>
  <c r="AC61" i="104"/>
  <c r="BL61" i="104"/>
  <c r="AC60" i="118"/>
  <c r="BL60" i="118"/>
  <c r="AC33" i="104"/>
  <c r="AC42" i="104"/>
  <c r="AC67" i="117"/>
  <c r="BL67" i="117"/>
  <c r="AC55" i="118"/>
  <c r="BL55" i="118"/>
  <c r="AC53" i="118"/>
  <c r="AC66" i="117"/>
  <c r="BL66" i="117"/>
  <c r="AC64" i="117"/>
  <c r="BL64" i="117"/>
  <c r="AC66" i="118"/>
  <c r="BL66" i="118"/>
  <c r="AC33" i="117"/>
  <c r="AC53" i="117"/>
  <c r="AC57" i="117"/>
  <c r="BL57" i="117"/>
  <c r="AC38" i="118"/>
  <c r="AC29" i="118"/>
  <c r="AC81" i="118"/>
  <c r="AC61" i="117"/>
  <c r="BL61" i="117"/>
  <c r="AS22" i="104"/>
  <c r="AC28" i="117"/>
  <c r="AC47" i="118"/>
  <c r="AC32" i="104"/>
  <c r="AC40" i="104"/>
  <c r="AC82" i="118"/>
  <c r="AC52" i="117"/>
  <c r="AC39" i="117"/>
  <c r="AC29" i="117"/>
  <c r="AC35" i="104"/>
  <c r="AC62" i="104"/>
  <c r="AC48" i="117"/>
  <c r="AC30" i="117"/>
  <c r="AC54" i="118"/>
  <c r="AF54" i="118"/>
  <c r="AC62" i="117"/>
  <c r="BL62" i="117"/>
  <c r="AS22" i="118"/>
  <c r="AC61" i="118"/>
  <c r="BL61" i="118"/>
  <c r="AC37" i="104"/>
  <c r="AC36" i="104"/>
  <c r="AB85" i="118"/>
  <c r="AC84" i="118"/>
  <c r="AC65" i="117"/>
  <c r="AC34" i="104"/>
  <c r="AC49" i="104"/>
  <c r="AC78" i="118"/>
  <c r="AC49" i="117"/>
  <c r="AC40" i="117"/>
  <c r="AC60" i="104"/>
  <c r="AC37" i="117"/>
  <c r="AC32" i="118"/>
  <c r="AC25" i="118"/>
  <c r="AX26" i="118"/>
  <c r="AC59" i="118"/>
  <c r="AC26" i="104"/>
  <c r="AC25" i="104"/>
  <c r="L21" i="117"/>
  <c r="K19" i="117"/>
  <c r="AC31" i="104"/>
  <c r="AX28" i="104"/>
  <c r="AC29" i="104"/>
  <c r="AC41" i="118"/>
  <c r="AC72" i="118"/>
  <c r="AC25" i="117"/>
  <c r="AC57" i="118"/>
  <c r="AC65" i="118"/>
  <c r="AC40" i="118"/>
  <c r="AC35" i="117"/>
  <c r="AC57" i="104"/>
  <c r="AC77" i="118"/>
  <c r="AC50" i="104"/>
  <c r="AC68" i="117"/>
  <c r="AC38" i="117"/>
  <c r="BD87" i="118"/>
  <c r="I87" i="118"/>
  <c r="H87" i="118"/>
  <c r="A88" i="118"/>
  <c r="AC36" i="118"/>
  <c r="AC28" i="104"/>
  <c r="AC36" i="117"/>
  <c r="AC58" i="104"/>
  <c r="AC54" i="104"/>
  <c r="AC76" i="118"/>
  <c r="AC46" i="104"/>
  <c r="AC52" i="118"/>
  <c r="AC75" i="118"/>
  <c r="AC42" i="118"/>
  <c r="AC64" i="118"/>
  <c r="AC51" i="118"/>
  <c r="AC27" i="104"/>
  <c r="AC26" i="117"/>
  <c r="AC44" i="104"/>
  <c r="AC63" i="117"/>
  <c r="AC45" i="117"/>
  <c r="AC69" i="118"/>
  <c r="AC62" i="118"/>
  <c r="AC32" i="117"/>
  <c r="AC59" i="104"/>
  <c r="AC54" i="117"/>
  <c r="AC63" i="118"/>
  <c r="K19" i="104"/>
  <c r="L21" i="104"/>
  <c r="AC56" i="118"/>
  <c r="AC51" i="117"/>
  <c r="AC80" i="118"/>
  <c r="AC70" i="118"/>
  <c r="AC63" i="104"/>
  <c r="AC34" i="118"/>
  <c r="AC35" i="118"/>
  <c r="AX26" i="117"/>
  <c r="AC55" i="104"/>
  <c r="AC44" i="117"/>
  <c r="AC41" i="117"/>
  <c r="AC79" i="118"/>
  <c r="AC43" i="104"/>
  <c r="AC30" i="104"/>
  <c r="AS22" i="117"/>
  <c r="AC67" i="118"/>
  <c r="AC48" i="104"/>
  <c r="AC51" i="104"/>
  <c r="AC30" i="118"/>
  <c r="AC26" i="118"/>
  <c r="AC44" i="118"/>
  <c r="AC59" i="117"/>
  <c r="J19" i="118"/>
  <c r="K21" i="118"/>
  <c r="AC45" i="104"/>
  <c r="AC37" i="118"/>
  <c r="AC50" i="118"/>
  <c r="AC46" i="117"/>
  <c r="AC58" i="118"/>
  <c r="AC47" i="117"/>
  <c r="AC48" i="118"/>
  <c r="AC73" i="118"/>
  <c r="AC74" i="118"/>
  <c r="AC27" i="117"/>
  <c r="AC60" i="117"/>
  <c r="BK86" i="118"/>
  <c r="J86" i="118"/>
  <c r="K86" i="118"/>
  <c r="L86" i="118"/>
  <c r="M86" i="118"/>
  <c r="N86" i="118"/>
  <c r="O86" i="118"/>
  <c r="P86" i="118"/>
  <c r="Q86" i="118"/>
  <c r="R86" i="118"/>
  <c r="S86" i="118"/>
  <c r="T86" i="118"/>
  <c r="U86" i="118"/>
  <c r="V86" i="118"/>
  <c r="W86" i="118"/>
  <c r="X86" i="118"/>
  <c r="Y86" i="118"/>
  <c r="Z86" i="118"/>
  <c r="AC45" i="118"/>
  <c r="AC71" i="118"/>
  <c r="AC27" i="118"/>
  <c r="AC31" i="117"/>
  <c r="AC56" i="117"/>
  <c r="AC28" i="118"/>
  <c r="AC43" i="117"/>
  <c r="AC43" i="118"/>
  <c r="AA25" i="35"/>
  <c r="Z25" i="35"/>
  <c r="AB25" i="35"/>
  <c r="AC25" i="35"/>
  <c r="AF55" i="118"/>
  <c r="BL68" i="118"/>
  <c r="BL82" i="118"/>
  <c r="BL54" i="118"/>
  <c r="BL60" i="104"/>
  <c r="BL81" i="118"/>
  <c r="BL62" i="104"/>
  <c r="BL78" i="118"/>
  <c r="AB86" i="118"/>
  <c r="AC85" i="118"/>
  <c r="BL65" i="117"/>
  <c r="BL58" i="118"/>
  <c r="BL56" i="118"/>
  <c r="AF56" i="118"/>
  <c r="BL77" i="118"/>
  <c r="BL72" i="118"/>
  <c r="BL74" i="118"/>
  <c r="L21" i="118"/>
  <c r="K19" i="118"/>
  <c r="BL67" i="118"/>
  <c r="AX27" i="117"/>
  <c r="BL70" i="118"/>
  <c r="M21" i="104"/>
  <c r="L19" i="104"/>
  <c r="BL63" i="118"/>
  <c r="BL62" i="118"/>
  <c r="BL63" i="117"/>
  <c r="BL58" i="104"/>
  <c r="A89" i="118"/>
  <c r="BD88" i="118"/>
  <c r="H88" i="118"/>
  <c r="I88" i="118"/>
  <c r="BL57" i="104"/>
  <c r="BL59" i="118"/>
  <c r="BL63" i="104"/>
  <c r="AF63" i="104"/>
  <c r="AX27" i="118"/>
  <c r="BL71" i="118"/>
  <c r="BL73" i="118"/>
  <c r="BL80" i="118"/>
  <c r="BL54" i="117"/>
  <c r="AF54" i="117"/>
  <c r="BL69" i="118"/>
  <c r="BL64" i="118"/>
  <c r="BL75" i="118"/>
  <c r="BL68" i="117"/>
  <c r="BL57" i="118"/>
  <c r="L19" i="117"/>
  <c r="M21" i="117"/>
  <c r="BL55" i="104"/>
  <c r="BL54" i="104"/>
  <c r="BL65" i="118"/>
  <c r="AF56" i="117"/>
  <c r="BL56" i="117"/>
  <c r="BL60" i="117"/>
  <c r="BL59" i="117"/>
  <c r="BL79" i="118"/>
  <c r="BL59" i="104"/>
  <c r="BL84" i="118"/>
  <c r="BL76" i="118"/>
  <c r="BK87" i="118"/>
  <c r="J87" i="118"/>
  <c r="K87" i="118"/>
  <c r="L87" i="118"/>
  <c r="M87" i="118"/>
  <c r="N87" i="118"/>
  <c r="O87" i="118"/>
  <c r="P87" i="118"/>
  <c r="Q87" i="118"/>
  <c r="R87" i="118"/>
  <c r="S87" i="118"/>
  <c r="T87" i="118"/>
  <c r="U87" i="118"/>
  <c r="V87" i="118"/>
  <c r="W87" i="118"/>
  <c r="X87" i="118"/>
  <c r="Y87" i="118"/>
  <c r="Z87" i="118"/>
  <c r="AX29" i="104"/>
  <c r="AE25" i="35"/>
  <c r="V25" i="35"/>
  <c r="AD26" i="35"/>
  <c r="AH26" i="35"/>
  <c r="AB87" i="118"/>
  <c r="AC86" i="118"/>
  <c r="BL85" i="118"/>
  <c r="AX30" i="104"/>
  <c r="BD89" i="118"/>
  <c r="I89" i="118"/>
  <c r="H89" i="118"/>
  <c r="A90" i="118"/>
  <c r="M21" i="118"/>
  <c r="L19" i="118"/>
  <c r="AX28" i="118"/>
  <c r="M19" i="117"/>
  <c r="N21" i="117"/>
  <c r="BK88" i="118"/>
  <c r="J88" i="118"/>
  <c r="K88" i="118"/>
  <c r="L88" i="118"/>
  <c r="M88" i="118"/>
  <c r="N88" i="118"/>
  <c r="O88" i="118"/>
  <c r="P88" i="118"/>
  <c r="Q88" i="118"/>
  <c r="R88" i="118"/>
  <c r="S88" i="118"/>
  <c r="T88" i="118"/>
  <c r="U88" i="118"/>
  <c r="V88" i="118"/>
  <c r="W88" i="118"/>
  <c r="X88" i="118"/>
  <c r="Y88" i="118"/>
  <c r="Z88" i="118"/>
  <c r="AX28" i="117"/>
  <c r="N21" i="104"/>
  <c r="M19" i="104"/>
  <c r="W26" i="35"/>
  <c r="X26" i="35"/>
  <c r="Y26" i="35"/>
  <c r="AM25" i="35"/>
  <c r="AN25" i="35"/>
  <c r="AO25" i="35"/>
  <c r="AR25" i="35"/>
  <c r="AL25" i="35"/>
  <c r="AS25" i="35"/>
  <c r="AT25" i="35"/>
  <c r="AG25" i="35"/>
  <c r="BK89" i="118"/>
  <c r="J89" i="118"/>
  <c r="K89" i="118"/>
  <c r="L89" i="118"/>
  <c r="M89" i="118"/>
  <c r="N89" i="118"/>
  <c r="O89" i="118"/>
  <c r="P89" i="118"/>
  <c r="Q89" i="118"/>
  <c r="R89" i="118"/>
  <c r="S89" i="118"/>
  <c r="T89" i="118"/>
  <c r="U89" i="118"/>
  <c r="V89" i="118"/>
  <c r="W89" i="118"/>
  <c r="X89" i="118"/>
  <c r="Y89" i="118"/>
  <c r="Z89" i="118"/>
  <c r="AX29" i="117"/>
  <c r="M19" i="118"/>
  <c r="N21" i="118"/>
  <c r="O21" i="117"/>
  <c r="N19" i="117"/>
  <c r="AX31" i="104"/>
  <c r="O21" i="104"/>
  <c r="N19" i="104"/>
  <c r="AX29" i="118"/>
  <c r="BD90" i="118"/>
  <c r="I90" i="118"/>
  <c r="H90" i="118"/>
  <c r="A91" i="118"/>
  <c r="BL86" i="118"/>
  <c r="AB88" i="118"/>
  <c r="AA26" i="35"/>
  <c r="Z26" i="35"/>
  <c r="AB26" i="35"/>
  <c r="AC26" i="35"/>
  <c r="AB89" i="118"/>
  <c r="AC88" i="118"/>
  <c r="O21" i="118"/>
  <c r="N19" i="118"/>
  <c r="BD91" i="118"/>
  <c r="I91" i="118"/>
  <c r="H91" i="118"/>
  <c r="A92" i="118"/>
  <c r="O19" i="104"/>
  <c r="P21" i="104"/>
  <c r="J90" i="118"/>
  <c r="K90" i="118"/>
  <c r="L90" i="118"/>
  <c r="M90" i="118"/>
  <c r="N90" i="118"/>
  <c r="O90" i="118"/>
  <c r="P90" i="118"/>
  <c r="Q90" i="118"/>
  <c r="R90" i="118"/>
  <c r="S90" i="118"/>
  <c r="T90" i="118"/>
  <c r="U90" i="118"/>
  <c r="V90" i="118"/>
  <c r="W90" i="118"/>
  <c r="X90" i="118"/>
  <c r="Y90" i="118"/>
  <c r="Z90" i="118"/>
  <c r="BK90" i="118"/>
  <c r="AX32" i="104"/>
  <c r="AC87" i="118"/>
  <c r="AX30" i="118"/>
  <c r="P21" i="117"/>
  <c r="O19" i="117"/>
  <c r="AX30" i="117"/>
  <c r="AB90" i="118"/>
  <c r="AC89" i="118"/>
  <c r="AD27" i="35"/>
  <c r="AH27" i="35"/>
  <c r="AE26" i="35"/>
  <c r="V26" i="35"/>
  <c r="P19" i="117"/>
  <c r="Q21" i="117"/>
  <c r="BL88" i="118"/>
  <c r="A93" i="118"/>
  <c r="BD92" i="118"/>
  <c r="I92" i="118"/>
  <c r="H92" i="118"/>
  <c r="AX31" i="117"/>
  <c r="AX33" i="104"/>
  <c r="AX31" i="118"/>
  <c r="BL87" i="118"/>
  <c r="P19" i="104"/>
  <c r="Q21" i="104"/>
  <c r="J91" i="118"/>
  <c r="K91" i="118"/>
  <c r="L91" i="118"/>
  <c r="M91" i="118"/>
  <c r="N91" i="118"/>
  <c r="O91" i="118"/>
  <c r="P91" i="118"/>
  <c r="Q91" i="118"/>
  <c r="R91" i="118"/>
  <c r="S91" i="118"/>
  <c r="T91" i="118"/>
  <c r="U91" i="118"/>
  <c r="V91" i="118"/>
  <c r="W91" i="118"/>
  <c r="X91" i="118"/>
  <c r="Y91" i="118"/>
  <c r="Z91" i="118"/>
  <c r="BK91" i="118"/>
  <c r="P21" i="118"/>
  <c r="O19" i="118"/>
  <c r="W27" i="35"/>
  <c r="X27" i="35"/>
  <c r="Y27" i="35"/>
  <c r="AS26" i="35"/>
  <c r="AT26" i="35"/>
  <c r="AL26" i="35"/>
  <c r="AG26" i="35"/>
  <c r="AM26" i="35"/>
  <c r="AN26" i="35"/>
  <c r="AO26" i="35"/>
  <c r="AR26" i="35"/>
  <c r="AB91" i="118"/>
  <c r="AC90" i="118"/>
  <c r="BL89" i="118"/>
  <c r="BD93" i="118"/>
  <c r="A94" i="118"/>
  <c r="I93" i="118"/>
  <c r="H93" i="118"/>
  <c r="AX34" i="104"/>
  <c r="BK92" i="118"/>
  <c r="J92" i="118"/>
  <c r="K92" i="118"/>
  <c r="L92" i="118"/>
  <c r="M92" i="118"/>
  <c r="N92" i="118"/>
  <c r="O92" i="118"/>
  <c r="P92" i="118"/>
  <c r="Q92" i="118"/>
  <c r="R92" i="118"/>
  <c r="S92" i="118"/>
  <c r="T92" i="118"/>
  <c r="U92" i="118"/>
  <c r="V92" i="118"/>
  <c r="W92" i="118"/>
  <c r="X92" i="118"/>
  <c r="Y92" i="118"/>
  <c r="Z92" i="118"/>
  <c r="AX32" i="118"/>
  <c r="AX32" i="117"/>
  <c r="Q19" i="117"/>
  <c r="R21" i="117"/>
  <c r="Q21" i="118"/>
  <c r="P19" i="118"/>
  <c r="Q19" i="104"/>
  <c r="R21" i="104"/>
  <c r="AA27" i="35"/>
  <c r="Z27" i="35"/>
  <c r="AB27" i="35"/>
  <c r="AC27" i="35"/>
  <c r="AB92" i="118"/>
  <c r="AC91" i="118"/>
  <c r="AX33" i="118"/>
  <c r="AX35" i="104"/>
  <c r="BD94" i="118"/>
  <c r="A95" i="118"/>
  <c r="I94" i="118"/>
  <c r="H94" i="118"/>
  <c r="BL90" i="118"/>
  <c r="Q19" i="118"/>
  <c r="R21" i="118"/>
  <c r="AX33" i="117"/>
  <c r="S21" i="104"/>
  <c r="R19" i="104"/>
  <c r="S21" i="117"/>
  <c r="R19" i="117"/>
  <c r="BK93" i="118"/>
  <c r="J93" i="118"/>
  <c r="K93" i="118"/>
  <c r="L93" i="118"/>
  <c r="M93" i="118"/>
  <c r="N93" i="118"/>
  <c r="O93" i="118"/>
  <c r="P93" i="118"/>
  <c r="Q93" i="118"/>
  <c r="R93" i="118"/>
  <c r="S93" i="118"/>
  <c r="T93" i="118"/>
  <c r="U93" i="118"/>
  <c r="V93" i="118"/>
  <c r="W93" i="118"/>
  <c r="X93" i="118"/>
  <c r="Y93" i="118"/>
  <c r="Z93" i="118"/>
  <c r="AD28" i="35"/>
  <c r="AH28" i="35"/>
  <c r="AE27" i="35"/>
  <c r="V27" i="35"/>
  <c r="AB93" i="118"/>
  <c r="AC92" i="118"/>
  <c r="T21" i="104"/>
  <c r="S19" i="104"/>
  <c r="BK94" i="118"/>
  <c r="J94" i="118"/>
  <c r="K94" i="118"/>
  <c r="L94" i="118"/>
  <c r="M94" i="118"/>
  <c r="N94" i="118"/>
  <c r="O94" i="118"/>
  <c r="P94" i="118"/>
  <c r="Q94" i="118"/>
  <c r="R94" i="118"/>
  <c r="S94" i="118"/>
  <c r="T94" i="118"/>
  <c r="U94" i="118"/>
  <c r="V94" i="118"/>
  <c r="W94" i="118"/>
  <c r="X94" i="118"/>
  <c r="Y94" i="118"/>
  <c r="Z94" i="118"/>
  <c r="BL91" i="118"/>
  <c r="S21" i="118"/>
  <c r="R19" i="118"/>
  <c r="AX36" i="104"/>
  <c r="AX34" i="117"/>
  <c r="BD95" i="118"/>
  <c r="A96" i="118"/>
  <c r="I95" i="118"/>
  <c r="H95" i="118"/>
  <c r="T21" i="117"/>
  <c r="S19" i="117"/>
  <c r="AX34" i="118"/>
  <c r="W28" i="35"/>
  <c r="X28" i="35"/>
  <c r="Y28" i="35"/>
  <c r="AS27" i="35"/>
  <c r="AL27" i="35"/>
  <c r="AT27" i="35"/>
  <c r="AG27" i="35"/>
  <c r="AM27" i="35"/>
  <c r="AN27" i="35"/>
  <c r="AO27" i="35"/>
  <c r="AR27" i="35"/>
  <c r="U21" i="117"/>
  <c r="T19" i="117"/>
  <c r="BL92" i="118"/>
  <c r="AX37" i="104"/>
  <c r="AX35" i="118"/>
  <c r="BD96" i="118"/>
  <c r="H96" i="118"/>
  <c r="I96" i="118"/>
  <c r="A97" i="118"/>
  <c r="T21" i="118"/>
  <c r="S19" i="118"/>
  <c r="AX35" i="117"/>
  <c r="J95" i="118"/>
  <c r="K95" i="118"/>
  <c r="L95" i="118"/>
  <c r="M95" i="118"/>
  <c r="N95" i="118"/>
  <c r="O95" i="118"/>
  <c r="P95" i="118"/>
  <c r="Q95" i="118"/>
  <c r="R95" i="118"/>
  <c r="S95" i="118"/>
  <c r="T95" i="118"/>
  <c r="U95" i="118"/>
  <c r="V95" i="118"/>
  <c r="W95" i="118"/>
  <c r="X95" i="118"/>
  <c r="Y95" i="118"/>
  <c r="Z95" i="118"/>
  <c r="BK95" i="118"/>
  <c r="AB94" i="118"/>
  <c r="U21" i="104"/>
  <c r="T19" i="104"/>
  <c r="AA28" i="35"/>
  <c r="Z28" i="35"/>
  <c r="AB28" i="35"/>
  <c r="AC28" i="35"/>
  <c r="AB95" i="118"/>
  <c r="AC94" i="118"/>
  <c r="BK96" i="118"/>
  <c r="J96" i="118"/>
  <c r="K96" i="118"/>
  <c r="L96" i="118"/>
  <c r="M96" i="118"/>
  <c r="N96" i="118"/>
  <c r="O96" i="118"/>
  <c r="P96" i="118"/>
  <c r="Q96" i="118"/>
  <c r="R96" i="118"/>
  <c r="S96" i="118"/>
  <c r="T96" i="118"/>
  <c r="U96" i="118"/>
  <c r="V96" i="118"/>
  <c r="W96" i="118"/>
  <c r="X96" i="118"/>
  <c r="Y96" i="118"/>
  <c r="Z96" i="118"/>
  <c r="AX36" i="117"/>
  <c r="AX36" i="118"/>
  <c r="AX38" i="104"/>
  <c r="AC93" i="118"/>
  <c r="H97" i="118"/>
  <c r="A98" i="118"/>
  <c r="BD97" i="118"/>
  <c r="I97" i="118"/>
  <c r="V21" i="104"/>
  <c r="U19" i="104"/>
  <c r="T19" i="118"/>
  <c r="U21" i="118"/>
  <c r="U19" i="117"/>
  <c r="V21" i="117"/>
  <c r="AD29" i="35"/>
  <c r="AH29" i="35"/>
  <c r="AE28" i="35"/>
  <c r="V28" i="35"/>
  <c r="AB96" i="118"/>
  <c r="AC95" i="118"/>
  <c r="W21" i="104"/>
  <c r="V19" i="104"/>
  <c r="BK97" i="118"/>
  <c r="J97" i="118"/>
  <c r="K97" i="118"/>
  <c r="L97" i="118"/>
  <c r="M97" i="118"/>
  <c r="N97" i="118"/>
  <c r="O97" i="118"/>
  <c r="P97" i="118"/>
  <c r="Q97" i="118"/>
  <c r="R97" i="118"/>
  <c r="S97" i="118"/>
  <c r="T97" i="118"/>
  <c r="U97" i="118"/>
  <c r="V97" i="118"/>
  <c r="W97" i="118"/>
  <c r="X97" i="118"/>
  <c r="Y97" i="118"/>
  <c r="Z97" i="118"/>
  <c r="BL94" i="118"/>
  <c r="AX37" i="118"/>
  <c r="U19" i="118"/>
  <c r="V21" i="118"/>
  <c r="BL93" i="118"/>
  <c r="AX39" i="104"/>
  <c r="AX37" i="117"/>
  <c r="W21" i="117"/>
  <c r="V19" i="117"/>
  <c r="I98" i="118"/>
  <c r="BD98" i="118"/>
  <c r="H98" i="118"/>
  <c r="A99" i="118"/>
  <c r="W29" i="35"/>
  <c r="X29" i="35"/>
  <c r="Y29" i="35"/>
  <c r="AM28" i="35"/>
  <c r="AN28" i="35"/>
  <c r="AO28" i="35"/>
  <c r="AR28" i="35"/>
  <c r="AS28" i="35"/>
  <c r="AL28" i="35"/>
  <c r="AT28" i="35"/>
  <c r="AG28" i="35"/>
  <c r="BK98" i="118"/>
  <c r="J98" i="118"/>
  <c r="K98" i="118"/>
  <c r="L98" i="118"/>
  <c r="M98" i="118"/>
  <c r="N98" i="118"/>
  <c r="O98" i="118"/>
  <c r="P98" i="118"/>
  <c r="Q98" i="118"/>
  <c r="R98" i="118"/>
  <c r="S98" i="118"/>
  <c r="T98" i="118"/>
  <c r="U98" i="118"/>
  <c r="V98" i="118"/>
  <c r="W98" i="118"/>
  <c r="X98" i="118"/>
  <c r="Y98" i="118"/>
  <c r="Z98" i="118"/>
  <c r="AX38" i="117"/>
  <c r="AX38" i="118"/>
  <c r="BL95" i="118"/>
  <c r="I99" i="118"/>
  <c r="A100" i="118"/>
  <c r="BD99" i="118"/>
  <c r="H99" i="118"/>
  <c r="AB97" i="118"/>
  <c r="W19" i="104"/>
  <c r="X21" i="104"/>
  <c r="X21" i="117"/>
  <c r="W19" i="117"/>
  <c r="AX40" i="104"/>
  <c r="W21" i="118"/>
  <c r="V19" i="118"/>
  <c r="AA29" i="35"/>
  <c r="Z29" i="35"/>
  <c r="AB29" i="35"/>
  <c r="AC29" i="35"/>
  <c r="AB98" i="118"/>
  <c r="AC97" i="118"/>
  <c r="AX41" i="104"/>
  <c r="H100" i="118"/>
  <c r="A101" i="118"/>
  <c r="I100" i="118"/>
  <c r="BD100" i="118"/>
  <c r="AX39" i="118"/>
  <c r="Y21" i="104"/>
  <c r="X19" i="104"/>
  <c r="AC96" i="118"/>
  <c r="BK99" i="118"/>
  <c r="J99" i="118"/>
  <c r="K99" i="118"/>
  <c r="L99" i="118"/>
  <c r="M99" i="118"/>
  <c r="N99" i="118"/>
  <c r="O99" i="118"/>
  <c r="P99" i="118"/>
  <c r="Q99" i="118"/>
  <c r="R99" i="118"/>
  <c r="S99" i="118"/>
  <c r="T99" i="118"/>
  <c r="U99" i="118"/>
  <c r="V99" i="118"/>
  <c r="W99" i="118"/>
  <c r="X99" i="118"/>
  <c r="Y99" i="118"/>
  <c r="Z99" i="118"/>
  <c r="W19" i="118"/>
  <c r="X21" i="118"/>
  <c r="X19" i="117"/>
  <c r="Y21" i="117"/>
  <c r="AX39" i="117"/>
  <c r="AD30" i="35"/>
  <c r="AH30" i="35"/>
  <c r="AE29" i="35"/>
  <c r="V29" i="35"/>
  <c r="AB99" i="118"/>
  <c r="AC98" i="118"/>
  <c r="H101" i="118"/>
  <c r="I101" i="118"/>
  <c r="A102" i="118"/>
  <c r="BD101" i="118"/>
  <c r="Z21" i="117"/>
  <c r="Y19" i="117"/>
  <c r="BL96" i="118"/>
  <c r="AX40" i="118"/>
  <c r="Z21" i="104"/>
  <c r="Y19" i="104"/>
  <c r="AX42" i="104"/>
  <c r="AX40" i="117"/>
  <c r="Y21" i="118"/>
  <c r="X19" i="118"/>
  <c r="BL97" i="118"/>
  <c r="J100" i="118"/>
  <c r="K100" i="118"/>
  <c r="L100" i="118"/>
  <c r="M100" i="118"/>
  <c r="N100" i="118"/>
  <c r="O100" i="118"/>
  <c r="P100" i="118"/>
  <c r="Q100" i="118"/>
  <c r="R100" i="118"/>
  <c r="S100" i="118"/>
  <c r="T100" i="118"/>
  <c r="U100" i="118"/>
  <c r="V100" i="118"/>
  <c r="W100" i="118"/>
  <c r="X100" i="118"/>
  <c r="Y100" i="118"/>
  <c r="Z100" i="118"/>
  <c r="BK100" i="118"/>
  <c r="W30" i="35"/>
  <c r="X30" i="35"/>
  <c r="Y30" i="35"/>
  <c r="AM29" i="35"/>
  <c r="AN29" i="35"/>
  <c r="AO29" i="35"/>
  <c r="AR29" i="35"/>
  <c r="AL29" i="35"/>
  <c r="AS29" i="35"/>
  <c r="AG29" i="35"/>
  <c r="AT29" i="35"/>
  <c r="AB100" i="118"/>
  <c r="AC99" i="118"/>
  <c r="BL98" i="118"/>
  <c r="Z19" i="104"/>
  <c r="AB21" i="104"/>
  <c r="Z19" i="117"/>
  <c r="AB21" i="117"/>
  <c r="AX41" i="117"/>
  <c r="AX43" i="104"/>
  <c r="BK101" i="118"/>
  <c r="J101" i="118"/>
  <c r="K101" i="118"/>
  <c r="L101" i="118"/>
  <c r="M101" i="118"/>
  <c r="N101" i="118"/>
  <c r="O101" i="118"/>
  <c r="P101" i="118"/>
  <c r="Q101" i="118"/>
  <c r="R101" i="118"/>
  <c r="S101" i="118"/>
  <c r="T101" i="118"/>
  <c r="U101" i="118"/>
  <c r="V101" i="118"/>
  <c r="W101" i="118"/>
  <c r="X101" i="118"/>
  <c r="Y101" i="118"/>
  <c r="Z101" i="118"/>
  <c r="Z21" i="118"/>
  <c r="Y19" i="118"/>
  <c r="AX41" i="118"/>
  <c r="BD102" i="118"/>
  <c r="H102" i="118"/>
  <c r="I102" i="118"/>
  <c r="A103" i="118"/>
  <c r="AA30" i="35"/>
  <c r="Z30" i="35"/>
  <c r="AB30" i="35"/>
  <c r="AC30" i="35"/>
  <c r="AB101" i="118"/>
  <c r="AC100" i="118"/>
  <c r="A104" i="118"/>
  <c r="I103" i="118"/>
  <c r="BD103" i="118"/>
  <c r="H103" i="118"/>
  <c r="AX42" i="117"/>
  <c r="BK102" i="118"/>
  <c r="J102" i="118"/>
  <c r="K102" i="118"/>
  <c r="L102" i="118"/>
  <c r="M102" i="118"/>
  <c r="N102" i="118"/>
  <c r="O102" i="118"/>
  <c r="P102" i="118"/>
  <c r="Q102" i="118"/>
  <c r="R102" i="118"/>
  <c r="S102" i="118"/>
  <c r="T102" i="118"/>
  <c r="U102" i="118"/>
  <c r="V102" i="118"/>
  <c r="W102" i="118"/>
  <c r="X102" i="118"/>
  <c r="Y102" i="118"/>
  <c r="Z102" i="118"/>
  <c r="AX42" i="118"/>
  <c r="BL99" i="118"/>
  <c r="Z19" i="118"/>
  <c r="AB21" i="118"/>
  <c r="AX44" i="104"/>
  <c r="AB19" i="104"/>
  <c r="AC24" i="104"/>
  <c r="AB19" i="117"/>
  <c r="AC24" i="117"/>
  <c r="AD31" i="35"/>
  <c r="AH31" i="35"/>
  <c r="AE30" i="35"/>
  <c r="V30" i="35"/>
  <c r="AF24" i="117"/>
  <c r="AX43" i="118"/>
  <c r="AX45" i="104"/>
  <c r="AX43" i="117"/>
  <c r="J103" i="118"/>
  <c r="K103" i="118"/>
  <c r="L103" i="118"/>
  <c r="M103" i="118"/>
  <c r="N103" i="118"/>
  <c r="O103" i="118"/>
  <c r="P103" i="118"/>
  <c r="Q103" i="118"/>
  <c r="R103" i="118"/>
  <c r="S103" i="118"/>
  <c r="T103" i="118"/>
  <c r="U103" i="118"/>
  <c r="V103" i="118"/>
  <c r="W103" i="118"/>
  <c r="X103" i="118"/>
  <c r="Y103" i="118"/>
  <c r="Z103" i="118"/>
  <c r="BK103" i="118"/>
  <c r="AB19" i="118"/>
  <c r="AC24" i="118"/>
  <c r="AF24" i="118"/>
  <c r="AF24" i="104"/>
  <c r="AG24" i="104"/>
  <c r="AB102" i="118"/>
  <c r="H104" i="118"/>
  <c r="I104" i="118"/>
  <c r="A105" i="118"/>
  <c r="BD104" i="118"/>
  <c r="BL100" i="118"/>
  <c r="AM30" i="35"/>
  <c r="AN30" i="35"/>
  <c r="AT30" i="35"/>
  <c r="AL30" i="35"/>
  <c r="AO30" i="35"/>
  <c r="AR30" i="35"/>
  <c r="AG30" i="35"/>
  <c r="AS30" i="35"/>
  <c r="W31" i="35"/>
  <c r="X31" i="35"/>
  <c r="Y31" i="35"/>
  <c r="AD24" i="104"/>
  <c r="AE25" i="104"/>
  <c r="I105" i="118"/>
  <c r="BD105" i="118"/>
  <c r="A106" i="118"/>
  <c r="H105" i="118"/>
  <c r="AX44" i="118"/>
  <c r="J104" i="118"/>
  <c r="K104" i="118"/>
  <c r="L104" i="118"/>
  <c r="M104" i="118"/>
  <c r="N104" i="118"/>
  <c r="O104" i="118"/>
  <c r="P104" i="118"/>
  <c r="Q104" i="118"/>
  <c r="R104" i="118"/>
  <c r="S104" i="118"/>
  <c r="T104" i="118"/>
  <c r="U104" i="118"/>
  <c r="V104" i="118"/>
  <c r="W104" i="118"/>
  <c r="X104" i="118"/>
  <c r="Y104" i="118"/>
  <c r="Z104" i="118"/>
  <c r="BK104" i="118"/>
  <c r="AX44" i="117"/>
  <c r="AJ24" i="104"/>
  <c r="AB103" i="118"/>
  <c r="AC102" i="118"/>
  <c r="AX46" i="104"/>
  <c r="AC101" i="118"/>
  <c r="AG24" i="118"/>
  <c r="AD24" i="118"/>
  <c r="AJ24" i="118"/>
  <c r="AG24" i="117"/>
  <c r="AD24" i="117"/>
  <c r="AJ24" i="117"/>
  <c r="AF25" i="104"/>
  <c r="AG25" i="104"/>
  <c r="AA31" i="35"/>
  <c r="Z31" i="35"/>
  <c r="AB31" i="35"/>
  <c r="AC31" i="35"/>
  <c r="AH25" i="104"/>
  <c r="AK25" i="104"/>
  <c r="AL26" i="104"/>
  <c r="F26" i="104"/>
  <c r="AE25" i="117"/>
  <c r="AH25" i="117"/>
  <c r="AK25" i="117"/>
  <c r="AL26" i="117"/>
  <c r="F26" i="117"/>
  <c r="AF25" i="117"/>
  <c r="AE25" i="118"/>
  <c r="AH25" i="118"/>
  <c r="AK25" i="118"/>
  <c r="AL26" i="118"/>
  <c r="AF25" i="118"/>
  <c r="BL102" i="118"/>
  <c r="AX45" i="118"/>
  <c r="BL101" i="118"/>
  <c r="AX45" i="117"/>
  <c r="H106" i="118"/>
  <c r="I106" i="118"/>
  <c r="A107" i="118"/>
  <c r="BD106" i="118"/>
  <c r="AB104" i="118"/>
  <c r="BK105" i="118"/>
  <c r="J105" i="118"/>
  <c r="K105" i="118"/>
  <c r="L105" i="118"/>
  <c r="M105" i="118"/>
  <c r="N105" i="118"/>
  <c r="O105" i="118"/>
  <c r="P105" i="118"/>
  <c r="Q105" i="118"/>
  <c r="R105" i="118"/>
  <c r="S105" i="118"/>
  <c r="T105" i="118"/>
  <c r="U105" i="118"/>
  <c r="V105" i="118"/>
  <c r="W105" i="118"/>
  <c r="X105" i="118"/>
  <c r="Y105" i="118"/>
  <c r="Z105" i="118"/>
  <c r="AX47" i="104"/>
  <c r="AE31" i="35"/>
  <c r="V31" i="35"/>
  <c r="AD32" i="35"/>
  <c r="AH32" i="35"/>
  <c r="AD25" i="104"/>
  <c r="AE26" i="104"/>
  <c r="AH26" i="104"/>
  <c r="AK26" i="104"/>
  <c r="AL27" i="104"/>
  <c r="F27" i="104"/>
  <c r="AG25" i="118"/>
  <c r="AD25" i="118"/>
  <c r="F26" i="118"/>
  <c r="AX48" i="104"/>
  <c r="J106" i="118"/>
  <c r="K106" i="118"/>
  <c r="L106" i="118"/>
  <c r="M106" i="118"/>
  <c r="N106" i="118"/>
  <c r="O106" i="118"/>
  <c r="P106" i="118"/>
  <c r="Q106" i="118"/>
  <c r="R106" i="118"/>
  <c r="S106" i="118"/>
  <c r="T106" i="118"/>
  <c r="U106" i="118"/>
  <c r="V106" i="118"/>
  <c r="W106" i="118"/>
  <c r="X106" i="118"/>
  <c r="Y106" i="118"/>
  <c r="Z106" i="118"/>
  <c r="BK106" i="118"/>
  <c r="AC103" i="118"/>
  <c r="AX46" i="117"/>
  <c r="AG25" i="117"/>
  <c r="AD25" i="117"/>
  <c r="AB105" i="118"/>
  <c r="BD107" i="118"/>
  <c r="H107" i="118"/>
  <c r="A108" i="118"/>
  <c r="I107" i="118"/>
  <c r="AX46" i="118"/>
  <c r="BB26" i="117"/>
  <c r="AU26" i="117"/>
  <c r="AV26" i="117"/>
  <c r="BA26" i="117"/>
  <c r="AT26" i="117"/>
  <c r="AF26" i="104"/>
  <c r="W32" i="35"/>
  <c r="X32" i="35"/>
  <c r="Y32" i="35"/>
  <c r="AS31" i="35"/>
  <c r="AO31" i="35"/>
  <c r="AR31" i="35"/>
  <c r="AT31" i="35"/>
  <c r="AM31" i="35"/>
  <c r="AN31" i="35"/>
  <c r="AG31" i="35"/>
  <c r="AL31" i="35"/>
  <c r="AB106" i="118"/>
  <c r="AC105" i="118"/>
  <c r="AC104" i="118"/>
  <c r="AE26" i="118"/>
  <c r="AH26" i="118"/>
  <c r="AK26" i="118"/>
  <c r="AF26" i="118"/>
  <c r="BA26" i="118"/>
  <c r="AU26" i="118"/>
  <c r="AV26" i="118"/>
  <c r="BB26" i="118"/>
  <c r="AT26" i="118"/>
  <c r="AX47" i="118"/>
  <c r="AX47" i="117"/>
  <c r="AX49" i="104"/>
  <c r="BK107" i="118"/>
  <c r="J107" i="118"/>
  <c r="K107" i="118"/>
  <c r="L107" i="118"/>
  <c r="M107" i="118"/>
  <c r="N107" i="118"/>
  <c r="O107" i="118"/>
  <c r="P107" i="118"/>
  <c r="Q107" i="118"/>
  <c r="R107" i="118"/>
  <c r="S107" i="118"/>
  <c r="T107" i="118"/>
  <c r="U107" i="118"/>
  <c r="V107" i="118"/>
  <c r="W107" i="118"/>
  <c r="X107" i="118"/>
  <c r="Y107" i="118"/>
  <c r="Z107" i="118"/>
  <c r="AE26" i="117"/>
  <c r="AH26" i="117"/>
  <c r="AK26" i="117"/>
  <c r="AL27" i="117"/>
  <c r="F27" i="117"/>
  <c r="AF26" i="117"/>
  <c r="BL103" i="118"/>
  <c r="BD108" i="118"/>
  <c r="I108" i="118"/>
  <c r="H108" i="118"/>
  <c r="A109" i="118"/>
  <c r="AG26" i="104"/>
  <c r="AD26" i="104"/>
  <c r="AE27" i="104"/>
  <c r="AH27" i="104"/>
  <c r="AK27" i="104"/>
  <c r="AL28" i="104"/>
  <c r="F28" i="104"/>
  <c r="AA32" i="35"/>
  <c r="Z32" i="35"/>
  <c r="AB32" i="35"/>
  <c r="AC32" i="35"/>
  <c r="AG26" i="118"/>
  <c r="AD26" i="118"/>
  <c r="AX50" i="104"/>
  <c r="AX48" i="118"/>
  <c r="BL105" i="118"/>
  <c r="AU27" i="117"/>
  <c r="AV27" i="117"/>
  <c r="BB27" i="117"/>
  <c r="BA27" i="117"/>
  <c r="AT27" i="117"/>
  <c r="AB107" i="118"/>
  <c r="BD109" i="118"/>
  <c r="I109" i="118"/>
  <c r="H109" i="118"/>
  <c r="A110" i="118"/>
  <c r="AX48" i="117"/>
  <c r="BL104" i="118"/>
  <c r="BK108" i="118"/>
  <c r="J108" i="118"/>
  <c r="K108" i="118"/>
  <c r="L108" i="118"/>
  <c r="M108" i="118"/>
  <c r="N108" i="118"/>
  <c r="O108" i="118"/>
  <c r="P108" i="118"/>
  <c r="Q108" i="118"/>
  <c r="R108" i="118"/>
  <c r="S108" i="118"/>
  <c r="T108" i="118"/>
  <c r="U108" i="118"/>
  <c r="V108" i="118"/>
  <c r="W108" i="118"/>
  <c r="X108" i="118"/>
  <c r="Y108" i="118"/>
  <c r="Z108" i="118"/>
  <c r="AL27" i="118"/>
  <c r="F27" i="118"/>
  <c r="AG26" i="117"/>
  <c r="AD26" i="117"/>
  <c r="AF27" i="104"/>
  <c r="AG27" i="104"/>
  <c r="AD27" i="104"/>
  <c r="AD33" i="35"/>
  <c r="AH33" i="35"/>
  <c r="AE32" i="35"/>
  <c r="V32" i="35"/>
  <c r="AE27" i="117"/>
  <c r="AH27" i="117"/>
  <c r="AK27" i="117"/>
  <c r="AF27" i="117"/>
  <c r="J109" i="118"/>
  <c r="K109" i="118"/>
  <c r="L109" i="118"/>
  <c r="M109" i="118"/>
  <c r="N109" i="118"/>
  <c r="O109" i="118"/>
  <c r="P109" i="118"/>
  <c r="Q109" i="118"/>
  <c r="R109" i="118"/>
  <c r="S109" i="118"/>
  <c r="T109" i="118"/>
  <c r="U109" i="118"/>
  <c r="V109" i="118"/>
  <c r="W109" i="118"/>
  <c r="X109" i="118"/>
  <c r="Y109" i="118"/>
  <c r="Z109" i="118"/>
  <c r="BK109" i="118"/>
  <c r="AC106" i="118"/>
  <c r="AX49" i="117"/>
  <c r="AX49" i="118"/>
  <c r="AU27" i="118"/>
  <c r="AV27" i="118"/>
  <c r="BB27" i="118"/>
  <c r="BA27" i="118"/>
  <c r="AT27" i="118"/>
  <c r="AX51" i="104"/>
  <c r="AE27" i="118"/>
  <c r="AH27" i="118"/>
  <c r="AK27" i="118"/>
  <c r="AF27" i="118"/>
  <c r="AB108" i="118"/>
  <c r="BD110" i="118"/>
  <c r="H110" i="118"/>
  <c r="A111" i="118"/>
  <c r="I110" i="118"/>
  <c r="W33" i="35"/>
  <c r="X33" i="35"/>
  <c r="Y33" i="35"/>
  <c r="AS32" i="35"/>
  <c r="AG32" i="35"/>
  <c r="AT32" i="35"/>
  <c r="AM32" i="35"/>
  <c r="AN32" i="35"/>
  <c r="AO32" i="35"/>
  <c r="AR32" i="35"/>
  <c r="AL32" i="35"/>
  <c r="AB109" i="118"/>
  <c r="AC108" i="118"/>
  <c r="AL28" i="118"/>
  <c r="F28" i="118"/>
  <c r="AX50" i="117"/>
  <c r="I111" i="118"/>
  <c r="H111" i="118"/>
  <c r="A112" i="118"/>
  <c r="BD111" i="118"/>
  <c r="AF28" i="104"/>
  <c r="AE28" i="104"/>
  <c r="AH28" i="104"/>
  <c r="AK28" i="104"/>
  <c r="AX52" i="104"/>
  <c r="AX50" i="118"/>
  <c r="BL106" i="118"/>
  <c r="AG27" i="117"/>
  <c r="AD27" i="117"/>
  <c r="BK110" i="118"/>
  <c r="J110" i="118"/>
  <c r="K110" i="118"/>
  <c r="L110" i="118"/>
  <c r="M110" i="118"/>
  <c r="N110" i="118"/>
  <c r="O110" i="118"/>
  <c r="P110" i="118"/>
  <c r="Q110" i="118"/>
  <c r="R110" i="118"/>
  <c r="S110" i="118"/>
  <c r="T110" i="118"/>
  <c r="U110" i="118"/>
  <c r="V110" i="118"/>
  <c r="W110" i="118"/>
  <c r="X110" i="118"/>
  <c r="Y110" i="118"/>
  <c r="Z110" i="118"/>
  <c r="AC107" i="118"/>
  <c r="AG27" i="118"/>
  <c r="AD27" i="118"/>
  <c r="AL28" i="117"/>
  <c r="F28" i="117"/>
  <c r="AA33" i="35"/>
  <c r="Z33" i="35"/>
  <c r="AB33" i="35"/>
  <c r="AC33" i="35"/>
  <c r="AB110" i="118"/>
  <c r="AC109" i="118"/>
  <c r="AG28" i="104"/>
  <c r="AD28" i="104"/>
  <c r="AE29" i="104"/>
  <c r="AH29" i="104"/>
  <c r="AX51" i="118"/>
  <c r="BL107" i="118"/>
  <c r="AX51" i="117"/>
  <c r="BA28" i="118"/>
  <c r="AU28" i="118"/>
  <c r="AV28" i="118"/>
  <c r="BB28" i="118"/>
  <c r="AT28" i="118"/>
  <c r="BK111" i="118"/>
  <c r="J111" i="118"/>
  <c r="K111" i="118"/>
  <c r="L111" i="118"/>
  <c r="M111" i="118"/>
  <c r="N111" i="118"/>
  <c r="O111" i="118"/>
  <c r="P111" i="118"/>
  <c r="Q111" i="118"/>
  <c r="R111" i="118"/>
  <c r="S111" i="118"/>
  <c r="T111" i="118"/>
  <c r="U111" i="118"/>
  <c r="V111" i="118"/>
  <c r="W111" i="118"/>
  <c r="X111" i="118"/>
  <c r="Y111" i="118"/>
  <c r="Z111" i="118"/>
  <c r="AX22" i="104"/>
  <c r="BL108" i="118"/>
  <c r="A113" i="118"/>
  <c r="BD112" i="118"/>
  <c r="I112" i="118"/>
  <c r="H112" i="118"/>
  <c r="AF28" i="117"/>
  <c r="AE28" i="117"/>
  <c r="AH28" i="117"/>
  <c r="AL29" i="104"/>
  <c r="F29" i="104"/>
  <c r="AU28" i="117"/>
  <c r="AV28" i="117"/>
  <c r="BB28" i="117"/>
  <c r="BA28" i="117"/>
  <c r="AT28" i="117"/>
  <c r="AF28" i="118"/>
  <c r="AE28" i="118"/>
  <c r="AH28" i="118"/>
  <c r="AD34" i="35"/>
  <c r="AH34" i="35"/>
  <c r="AE33" i="35"/>
  <c r="V33" i="35"/>
  <c r="AF29" i="104"/>
  <c r="AG29" i="104"/>
  <c r="AD29" i="104"/>
  <c r="AF30" i="104"/>
  <c r="AK29" i="104"/>
  <c r="AL30" i="104"/>
  <c r="F30" i="104"/>
  <c r="AK28" i="118"/>
  <c r="AK28" i="117"/>
  <c r="J112" i="118"/>
  <c r="K112" i="118"/>
  <c r="L112" i="118"/>
  <c r="M112" i="118"/>
  <c r="N112" i="118"/>
  <c r="O112" i="118"/>
  <c r="P112" i="118"/>
  <c r="Q112" i="118"/>
  <c r="R112" i="118"/>
  <c r="S112" i="118"/>
  <c r="T112" i="118"/>
  <c r="U112" i="118"/>
  <c r="V112" i="118"/>
  <c r="W112" i="118"/>
  <c r="X112" i="118"/>
  <c r="Y112" i="118"/>
  <c r="Z112" i="118"/>
  <c r="BK112" i="118"/>
  <c r="AX52" i="118"/>
  <c r="A114" i="118"/>
  <c r="BD113" i="118"/>
  <c r="I113" i="118"/>
  <c r="H113" i="118"/>
  <c r="AY24" i="104"/>
  <c r="AY25" i="104"/>
  <c r="AY26" i="104"/>
  <c r="AY27" i="104"/>
  <c r="AY28" i="104"/>
  <c r="AY29" i="104"/>
  <c r="AY30" i="104"/>
  <c r="AY31" i="104"/>
  <c r="AY32" i="104"/>
  <c r="AY33" i="104"/>
  <c r="AY34" i="104"/>
  <c r="AY35" i="104"/>
  <c r="AY36" i="104"/>
  <c r="AY37" i="104"/>
  <c r="AY38" i="104"/>
  <c r="AY39" i="104"/>
  <c r="AY40" i="104"/>
  <c r="AY41" i="104"/>
  <c r="AY42" i="104"/>
  <c r="AY43" i="104"/>
  <c r="AY44" i="104"/>
  <c r="AY45" i="104"/>
  <c r="AY46" i="104"/>
  <c r="AY47" i="104"/>
  <c r="AY48" i="104"/>
  <c r="AY49" i="104"/>
  <c r="AY50" i="104"/>
  <c r="AY51" i="104"/>
  <c r="BL109" i="118"/>
  <c r="AG28" i="118"/>
  <c r="AD28" i="118"/>
  <c r="AG28" i="117"/>
  <c r="AD28" i="117"/>
  <c r="AY52" i="104"/>
  <c r="AB111" i="118"/>
  <c r="AX52" i="117"/>
  <c r="W34" i="35"/>
  <c r="X34" i="35"/>
  <c r="Y34" i="35"/>
  <c r="AM33" i="35"/>
  <c r="AN33" i="35"/>
  <c r="AS33" i="35"/>
  <c r="AT33" i="35"/>
  <c r="AL33" i="35"/>
  <c r="AG33" i="35"/>
  <c r="AO33" i="35"/>
  <c r="AR33" i="35"/>
  <c r="AE30" i="104"/>
  <c r="AG30" i="104"/>
  <c r="AF29" i="117"/>
  <c r="AE29" i="117"/>
  <c r="AH29" i="117"/>
  <c r="AE29" i="118"/>
  <c r="AH29" i="118"/>
  <c r="AF29" i="118"/>
  <c r="AX22" i="117"/>
  <c r="AL29" i="117"/>
  <c r="F29" i="117"/>
  <c r="AY22" i="104"/>
  <c r="BD114" i="118"/>
  <c r="I114" i="118"/>
  <c r="H114" i="118"/>
  <c r="A115" i="118"/>
  <c r="AX22" i="118"/>
  <c r="AY52" i="118"/>
  <c r="AL29" i="118"/>
  <c r="F29" i="118"/>
  <c r="J113" i="118"/>
  <c r="K113" i="118"/>
  <c r="L113" i="118"/>
  <c r="M113" i="118"/>
  <c r="N113" i="118"/>
  <c r="O113" i="118"/>
  <c r="P113" i="118"/>
  <c r="Q113" i="118"/>
  <c r="R113" i="118"/>
  <c r="S113" i="118"/>
  <c r="T113" i="118"/>
  <c r="U113" i="118"/>
  <c r="V113" i="118"/>
  <c r="W113" i="118"/>
  <c r="X113" i="118"/>
  <c r="Y113" i="118"/>
  <c r="Z113" i="118"/>
  <c r="BK113" i="118"/>
  <c r="AC110" i="118"/>
  <c r="AB112" i="118"/>
  <c r="AH30" i="104"/>
  <c r="AK30" i="104"/>
  <c r="AL31" i="104"/>
  <c r="F31" i="104"/>
  <c r="AA34" i="35"/>
  <c r="Z34" i="35"/>
  <c r="AB34" i="35"/>
  <c r="AC34" i="35"/>
  <c r="AY25" i="117"/>
  <c r="AY24" i="117"/>
  <c r="AY26" i="117"/>
  <c r="AY27" i="117"/>
  <c r="AY28" i="117"/>
  <c r="AY29" i="117"/>
  <c r="AY30" i="117"/>
  <c r="AY31" i="117"/>
  <c r="AY32" i="117"/>
  <c r="AY33" i="117"/>
  <c r="AY34" i="117"/>
  <c r="AY35" i="117"/>
  <c r="AY36" i="117"/>
  <c r="AY37" i="117"/>
  <c r="AY38" i="117"/>
  <c r="AY39" i="117"/>
  <c r="AY40" i="117"/>
  <c r="AY41" i="117"/>
  <c r="AY42" i="117"/>
  <c r="AY43" i="117"/>
  <c r="AY44" i="117"/>
  <c r="AY45" i="117"/>
  <c r="AY46" i="117"/>
  <c r="AY47" i="117"/>
  <c r="AY48" i="117"/>
  <c r="AY49" i="117"/>
  <c r="AY50" i="117"/>
  <c r="AY51" i="117"/>
  <c r="AC111" i="118"/>
  <c r="AK29" i="118"/>
  <c r="AL30" i="118"/>
  <c r="F30" i="118"/>
  <c r="AK29" i="117"/>
  <c r="AY52" i="117"/>
  <c r="AY24" i="118"/>
  <c r="AY25" i="118"/>
  <c r="AY26" i="118"/>
  <c r="AY27" i="118"/>
  <c r="AY28" i="118"/>
  <c r="AY29" i="118"/>
  <c r="AY30" i="118"/>
  <c r="AY31" i="118"/>
  <c r="AY32" i="118"/>
  <c r="AY33" i="118"/>
  <c r="AY34" i="118"/>
  <c r="AY35" i="118"/>
  <c r="AY36" i="118"/>
  <c r="AY37" i="118"/>
  <c r="AY38" i="118"/>
  <c r="AY39" i="118"/>
  <c r="AY40" i="118"/>
  <c r="AY41" i="118"/>
  <c r="AY42" i="118"/>
  <c r="AY43" i="118"/>
  <c r="AY44" i="118"/>
  <c r="AY45" i="118"/>
  <c r="AY46" i="118"/>
  <c r="AY47" i="118"/>
  <c r="AY48" i="118"/>
  <c r="AY49" i="118"/>
  <c r="AY50" i="118"/>
  <c r="AY51" i="118"/>
  <c r="AB113" i="118"/>
  <c r="AC112" i="118"/>
  <c r="AU29" i="118"/>
  <c r="AV29" i="118"/>
  <c r="BB29" i="118"/>
  <c r="BA29" i="118"/>
  <c r="AT29" i="118"/>
  <c r="BD115" i="118"/>
  <c r="I115" i="118"/>
  <c r="H115" i="118"/>
  <c r="A116" i="118"/>
  <c r="BA29" i="117"/>
  <c r="BB29" i="117"/>
  <c r="AU29" i="117"/>
  <c r="AV29" i="117"/>
  <c r="AT29" i="117"/>
  <c r="AG29" i="118"/>
  <c r="AD29" i="118"/>
  <c r="AF30" i="118"/>
  <c r="J114" i="118"/>
  <c r="K114" i="118"/>
  <c r="L114" i="118"/>
  <c r="M114" i="118"/>
  <c r="N114" i="118"/>
  <c r="O114" i="118"/>
  <c r="P114" i="118"/>
  <c r="Q114" i="118"/>
  <c r="R114" i="118"/>
  <c r="S114" i="118"/>
  <c r="T114" i="118"/>
  <c r="U114" i="118"/>
  <c r="V114" i="118"/>
  <c r="W114" i="118"/>
  <c r="X114" i="118"/>
  <c r="Y114" i="118"/>
  <c r="Z114" i="118"/>
  <c r="BK114" i="118"/>
  <c r="BL110" i="118"/>
  <c r="AG29" i="117"/>
  <c r="AD29" i="117"/>
  <c r="AF30" i="117"/>
  <c r="AD30" i="104"/>
  <c r="AF31" i="104"/>
  <c r="AD35" i="35"/>
  <c r="AH35" i="35"/>
  <c r="AE34" i="35"/>
  <c r="V34" i="35"/>
  <c r="AB114" i="118"/>
  <c r="AC113" i="118"/>
  <c r="AY22" i="117"/>
  <c r="AE30" i="117"/>
  <c r="AG30" i="117"/>
  <c r="AU30" i="118"/>
  <c r="AV30" i="118"/>
  <c r="BA30" i="118"/>
  <c r="BB30" i="118"/>
  <c r="AT30" i="118"/>
  <c r="AE30" i="118"/>
  <c r="AG30" i="118"/>
  <c r="BL112" i="118"/>
  <c r="BD116" i="118"/>
  <c r="H116" i="118"/>
  <c r="I116" i="118"/>
  <c r="A117" i="118"/>
  <c r="AY22" i="118"/>
  <c r="BL111" i="118"/>
  <c r="J115" i="118"/>
  <c r="K115" i="118"/>
  <c r="L115" i="118"/>
  <c r="M115" i="118"/>
  <c r="N115" i="118"/>
  <c r="O115" i="118"/>
  <c r="P115" i="118"/>
  <c r="Q115" i="118"/>
  <c r="R115" i="118"/>
  <c r="S115" i="118"/>
  <c r="T115" i="118"/>
  <c r="U115" i="118"/>
  <c r="V115" i="118"/>
  <c r="W115" i="118"/>
  <c r="X115" i="118"/>
  <c r="Y115" i="118"/>
  <c r="Z115" i="118"/>
  <c r="AB115" i="118"/>
  <c r="BK115" i="118"/>
  <c r="AL30" i="117"/>
  <c r="F30" i="117"/>
  <c r="AE31" i="104"/>
  <c r="AG31" i="104"/>
  <c r="AH30" i="117"/>
  <c r="AK30" i="117"/>
  <c r="W35" i="35"/>
  <c r="X35" i="35"/>
  <c r="Y35" i="35"/>
  <c r="AO34" i="35"/>
  <c r="AR34" i="35"/>
  <c r="AT34" i="35"/>
  <c r="AG34" i="35"/>
  <c r="AM34" i="35"/>
  <c r="AN34" i="35"/>
  <c r="AS34" i="35"/>
  <c r="AL34" i="35"/>
  <c r="AC114" i="118"/>
  <c r="BD117" i="118"/>
  <c r="I117" i="118"/>
  <c r="H117" i="118"/>
  <c r="A118" i="118"/>
  <c r="BB30" i="117"/>
  <c r="AU30" i="117"/>
  <c r="AV30" i="117"/>
  <c r="BA30" i="117"/>
  <c r="AT30" i="117"/>
  <c r="J116" i="118"/>
  <c r="K116" i="118"/>
  <c r="L116" i="118"/>
  <c r="M116" i="118"/>
  <c r="N116" i="118"/>
  <c r="O116" i="118"/>
  <c r="P116" i="118"/>
  <c r="Q116" i="118"/>
  <c r="R116" i="118"/>
  <c r="S116" i="118"/>
  <c r="T116" i="118"/>
  <c r="U116" i="118"/>
  <c r="V116" i="118"/>
  <c r="W116" i="118"/>
  <c r="X116" i="118"/>
  <c r="Y116" i="118"/>
  <c r="Z116" i="118"/>
  <c r="BK116" i="118"/>
  <c r="AH30" i="118"/>
  <c r="BL113" i="118"/>
  <c r="AH31" i="104"/>
  <c r="AK31" i="104"/>
  <c r="AL32" i="104"/>
  <c r="F32" i="104"/>
  <c r="AD30" i="117"/>
  <c r="AF31" i="117"/>
  <c r="AA35" i="35"/>
  <c r="Z35" i="35"/>
  <c r="AB35" i="35"/>
  <c r="AC35" i="35"/>
  <c r="AB116" i="118"/>
  <c r="AC115" i="118"/>
  <c r="BK117" i="118"/>
  <c r="J117" i="118"/>
  <c r="K117" i="118"/>
  <c r="L117" i="118"/>
  <c r="M117" i="118"/>
  <c r="N117" i="118"/>
  <c r="O117" i="118"/>
  <c r="P117" i="118"/>
  <c r="Q117" i="118"/>
  <c r="R117" i="118"/>
  <c r="S117" i="118"/>
  <c r="T117" i="118"/>
  <c r="U117" i="118"/>
  <c r="V117" i="118"/>
  <c r="W117" i="118"/>
  <c r="X117" i="118"/>
  <c r="Y117" i="118"/>
  <c r="Z117" i="118"/>
  <c r="AL31" i="117"/>
  <c r="F31" i="117"/>
  <c r="BD118" i="118"/>
  <c r="H118" i="118"/>
  <c r="I118" i="118"/>
  <c r="A119" i="118"/>
  <c r="BL114" i="118"/>
  <c r="AE31" i="117"/>
  <c r="AG31" i="117"/>
  <c r="AK30" i="118"/>
  <c r="AL31" i="118"/>
  <c r="F31" i="118"/>
  <c r="AD30" i="118"/>
  <c r="AF31" i="118"/>
  <c r="AD31" i="104"/>
  <c r="AF32" i="104"/>
  <c r="AD36" i="35"/>
  <c r="AH36" i="35"/>
  <c r="AE35" i="35"/>
  <c r="V35" i="35"/>
  <c r="AB117" i="118"/>
  <c r="AC116" i="118"/>
  <c r="AE31" i="118"/>
  <c r="AG31" i="118"/>
  <c r="AU31" i="118"/>
  <c r="AV31" i="118"/>
  <c r="BB31" i="118"/>
  <c r="BA31" i="118"/>
  <c r="AT31" i="118"/>
  <c r="BD119" i="118"/>
  <c r="H119" i="118"/>
  <c r="I119" i="118"/>
  <c r="A120" i="118"/>
  <c r="AU31" i="117"/>
  <c r="AV31" i="117"/>
  <c r="BB31" i="117"/>
  <c r="BA31" i="117"/>
  <c r="AT31" i="117"/>
  <c r="AH31" i="117"/>
  <c r="BK118" i="118"/>
  <c r="J118" i="118"/>
  <c r="K118" i="118"/>
  <c r="L118" i="118"/>
  <c r="M118" i="118"/>
  <c r="N118" i="118"/>
  <c r="O118" i="118"/>
  <c r="P118" i="118"/>
  <c r="Q118" i="118"/>
  <c r="R118" i="118"/>
  <c r="S118" i="118"/>
  <c r="T118" i="118"/>
  <c r="U118" i="118"/>
  <c r="V118" i="118"/>
  <c r="W118" i="118"/>
  <c r="X118" i="118"/>
  <c r="Y118" i="118"/>
  <c r="Z118" i="118"/>
  <c r="BL115" i="118"/>
  <c r="AE32" i="104"/>
  <c r="AH32" i="104"/>
  <c r="AK32" i="104"/>
  <c r="AL33" i="104"/>
  <c r="F33" i="104"/>
  <c r="W36" i="35"/>
  <c r="X36" i="35"/>
  <c r="Y36" i="35"/>
  <c r="AG35" i="35"/>
  <c r="AL35" i="35"/>
  <c r="AM35" i="35"/>
  <c r="AN35" i="35"/>
  <c r="AO35" i="35"/>
  <c r="AR35" i="35"/>
  <c r="AT35" i="35"/>
  <c r="AS35" i="35"/>
  <c r="AB118" i="118"/>
  <c r="AC117" i="118"/>
  <c r="J119" i="118"/>
  <c r="K119" i="118"/>
  <c r="L119" i="118"/>
  <c r="M119" i="118"/>
  <c r="N119" i="118"/>
  <c r="O119" i="118"/>
  <c r="P119" i="118"/>
  <c r="Q119" i="118"/>
  <c r="R119" i="118"/>
  <c r="S119" i="118"/>
  <c r="T119" i="118"/>
  <c r="U119" i="118"/>
  <c r="V119" i="118"/>
  <c r="W119" i="118"/>
  <c r="X119" i="118"/>
  <c r="Y119" i="118"/>
  <c r="Z119" i="118"/>
  <c r="BK119" i="118"/>
  <c r="AH31" i="118"/>
  <c r="AK31" i="118"/>
  <c r="AL32" i="118"/>
  <c r="F32" i="118"/>
  <c r="AD31" i="117"/>
  <c r="AF32" i="117"/>
  <c r="AK31" i="117"/>
  <c r="I120" i="118"/>
  <c r="A121" i="118"/>
  <c r="BD120" i="118"/>
  <c r="H120" i="118"/>
  <c r="BL116" i="118"/>
  <c r="AG32" i="104"/>
  <c r="AD32" i="104"/>
  <c r="AA36" i="35"/>
  <c r="Z36" i="35"/>
  <c r="AB36" i="35"/>
  <c r="AC36" i="35"/>
  <c r="AB119" i="118"/>
  <c r="AC118" i="118"/>
  <c r="H121" i="118"/>
  <c r="I121" i="118"/>
  <c r="A122" i="118"/>
  <c r="BD121" i="118"/>
  <c r="AL32" i="117"/>
  <c r="F32" i="117"/>
  <c r="BL117" i="118"/>
  <c r="BB32" i="118"/>
  <c r="AU32" i="118"/>
  <c r="AV32" i="118"/>
  <c r="BA32" i="118"/>
  <c r="AT32" i="118"/>
  <c r="AD31" i="118"/>
  <c r="AF32" i="118"/>
  <c r="J120" i="118"/>
  <c r="K120" i="118"/>
  <c r="L120" i="118"/>
  <c r="M120" i="118"/>
  <c r="N120" i="118"/>
  <c r="O120" i="118"/>
  <c r="P120" i="118"/>
  <c r="Q120" i="118"/>
  <c r="R120" i="118"/>
  <c r="S120" i="118"/>
  <c r="T120" i="118"/>
  <c r="U120" i="118"/>
  <c r="V120" i="118"/>
  <c r="W120" i="118"/>
  <c r="X120" i="118"/>
  <c r="Y120" i="118"/>
  <c r="Z120" i="118"/>
  <c r="BK120" i="118"/>
  <c r="AE32" i="117"/>
  <c r="AG32" i="117"/>
  <c r="AF33" i="104"/>
  <c r="AE33" i="104"/>
  <c r="AH33" i="104"/>
  <c r="AK33" i="104"/>
  <c r="AL34" i="104"/>
  <c r="F34" i="104"/>
  <c r="AD37" i="35"/>
  <c r="AE36" i="35"/>
  <c r="V36" i="35"/>
  <c r="AB120" i="118"/>
  <c r="AC119" i="118"/>
  <c r="AH32" i="117"/>
  <c r="AD32" i="117"/>
  <c r="AF33" i="117"/>
  <c r="BL118" i="118"/>
  <c r="BK121" i="118"/>
  <c r="J121" i="118"/>
  <c r="K121" i="118"/>
  <c r="L121" i="118"/>
  <c r="M121" i="118"/>
  <c r="N121" i="118"/>
  <c r="O121" i="118"/>
  <c r="P121" i="118"/>
  <c r="Q121" i="118"/>
  <c r="R121" i="118"/>
  <c r="S121" i="118"/>
  <c r="T121" i="118"/>
  <c r="U121" i="118"/>
  <c r="V121" i="118"/>
  <c r="W121" i="118"/>
  <c r="X121" i="118"/>
  <c r="Y121" i="118"/>
  <c r="Z121" i="118"/>
  <c r="BB32" i="117"/>
  <c r="AU32" i="117"/>
  <c r="AV32" i="117"/>
  <c r="BA32" i="117"/>
  <c r="AT32" i="117"/>
  <c r="AE32" i="118"/>
  <c r="AG32" i="118"/>
  <c r="BD122" i="118"/>
  <c r="H122" i="118"/>
  <c r="I122" i="118"/>
  <c r="A123" i="118"/>
  <c r="AG33" i="104"/>
  <c r="AD33" i="104"/>
  <c r="W37" i="35"/>
  <c r="X37" i="35"/>
  <c r="Y37" i="35"/>
  <c r="AT36" i="35"/>
  <c r="AM36" i="35"/>
  <c r="AN36" i="35"/>
  <c r="AO36" i="35"/>
  <c r="AR36" i="35"/>
  <c r="AS36" i="35"/>
  <c r="AG36" i="35"/>
  <c r="AL36" i="35"/>
  <c r="AE33" i="117"/>
  <c r="AG33" i="117"/>
  <c r="AH32" i="118"/>
  <c r="AK32" i="118"/>
  <c r="AL33" i="118"/>
  <c r="F33" i="118"/>
  <c r="BB33" i="118"/>
  <c r="AB121" i="118"/>
  <c r="AC120" i="118"/>
  <c r="AK32" i="117"/>
  <c r="AL33" i="117"/>
  <c r="F33" i="117"/>
  <c r="BA33" i="117"/>
  <c r="H123" i="118"/>
  <c r="I123" i="118"/>
  <c r="A124" i="118"/>
  <c r="BD123" i="118"/>
  <c r="BK122" i="118"/>
  <c r="J122" i="118"/>
  <c r="K122" i="118"/>
  <c r="L122" i="118"/>
  <c r="M122" i="118"/>
  <c r="N122" i="118"/>
  <c r="O122" i="118"/>
  <c r="P122" i="118"/>
  <c r="Q122" i="118"/>
  <c r="R122" i="118"/>
  <c r="S122" i="118"/>
  <c r="T122" i="118"/>
  <c r="U122" i="118"/>
  <c r="V122" i="118"/>
  <c r="W122" i="118"/>
  <c r="X122" i="118"/>
  <c r="Y122" i="118"/>
  <c r="Z122" i="118"/>
  <c r="BL119" i="118"/>
  <c r="AF34" i="104"/>
  <c r="AE34" i="104"/>
  <c r="AH33" i="117"/>
  <c r="AK33" i="117"/>
  <c r="AL34" i="117"/>
  <c r="F34" i="117"/>
  <c r="AA37" i="35"/>
  <c r="Z37" i="35"/>
  <c r="AB37" i="35"/>
  <c r="AC37" i="35"/>
  <c r="AT33" i="117"/>
  <c r="AU33" i="117"/>
  <c r="AV33" i="117"/>
  <c r="AT33" i="118"/>
  <c r="BB33" i="117"/>
  <c r="AU33" i="118"/>
  <c r="AV33" i="118"/>
  <c r="BA33" i="118"/>
  <c r="AD32" i="118"/>
  <c r="AF33" i="118"/>
  <c r="AB122" i="118"/>
  <c r="AC121" i="118"/>
  <c r="BL120" i="118"/>
  <c r="J123" i="118"/>
  <c r="K123" i="118"/>
  <c r="L123" i="118"/>
  <c r="M123" i="118"/>
  <c r="N123" i="118"/>
  <c r="O123" i="118"/>
  <c r="P123" i="118"/>
  <c r="Q123" i="118"/>
  <c r="R123" i="118"/>
  <c r="S123" i="118"/>
  <c r="T123" i="118"/>
  <c r="U123" i="118"/>
  <c r="V123" i="118"/>
  <c r="W123" i="118"/>
  <c r="X123" i="118"/>
  <c r="Y123" i="118"/>
  <c r="Z123" i="118"/>
  <c r="BK123" i="118"/>
  <c r="BD124" i="118"/>
  <c r="H124" i="118"/>
  <c r="I124" i="118"/>
  <c r="A125" i="118"/>
  <c r="AG34" i="104"/>
  <c r="AH34" i="104"/>
  <c r="AK34" i="104"/>
  <c r="AL35" i="104"/>
  <c r="F35" i="104"/>
  <c r="AD33" i="117"/>
  <c r="AF34" i="117"/>
  <c r="AD38" i="35"/>
  <c r="AE37" i="35"/>
  <c r="V37" i="35"/>
  <c r="AE33" i="118"/>
  <c r="AG33" i="118"/>
  <c r="BL121" i="118"/>
  <c r="J124" i="118"/>
  <c r="K124" i="118"/>
  <c r="L124" i="118"/>
  <c r="M124" i="118"/>
  <c r="N124" i="118"/>
  <c r="O124" i="118"/>
  <c r="P124" i="118"/>
  <c r="Q124" i="118"/>
  <c r="R124" i="118"/>
  <c r="S124" i="118"/>
  <c r="T124" i="118"/>
  <c r="U124" i="118"/>
  <c r="V124" i="118"/>
  <c r="W124" i="118"/>
  <c r="X124" i="118"/>
  <c r="Y124" i="118"/>
  <c r="Z124" i="118"/>
  <c r="BK124" i="118"/>
  <c r="BD125" i="118"/>
  <c r="H125" i="118"/>
  <c r="I125" i="118"/>
  <c r="A126" i="118"/>
  <c r="AB123" i="118"/>
  <c r="AU34" i="117"/>
  <c r="AV34" i="117"/>
  <c r="BB34" i="117"/>
  <c r="BA34" i="117"/>
  <c r="AT34" i="117"/>
  <c r="AE34" i="117"/>
  <c r="AH34" i="117"/>
  <c r="AD34" i="104"/>
  <c r="AF35" i="104"/>
  <c r="AG35" i="104"/>
  <c r="AG34" i="117"/>
  <c r="AH33" i="118"/>
  <c r="AK33" i="118"/>
  <c r="AL34" i="118"/>
  <c r="F34" i="118"/>
  <c r="AU34" i="118"/>
  <c r="AV34" i="118"/>
  <c r="W38" i="35"/>
  <c r="X38" i="35"/>
  <c r="Y38" i="35"/>
  <c r="AB124" i="118"/>
  <c r="AC123" i="118"/>
  <c r="AC122" i="118"/>
  <c r="BK125" i="118"/>
  <c r="J125" i="118"/>
  <c r="K125" i="118"/>
  <c r="L125" i="118"/>
  <c r="M125" i="118"/>
  <c r="N125" i="118"/>
  <c r="O125" i="118"/>
  <c r="P125" i="118"/>
  <c r="Q125" i="118"/>
  <c r="R125" i="118"/>
  <c r="S125" i="118"/>
  <c r="T125" i="118"/>
  <c r="U125" i="118"/>
  <c r="V125" i="118"/>
  <c r="W125" i="118"/>
  <c r="X125" i="118"/>
  <c r="Y125" i="118"/>
  <c r="Z125" i="118"/>
  <c r="I126" i="118"/>
  <c r="H126" i="118"/>
  <c r="A127" i="118"/>
  <c r="BD126" i="118"/>
  <c r="AE35" i="104"/>
  <c r="AH35" i="104"/>
  <c r="AK35" i="104"/>
  <c r="AL36" i="104"/>
  <c r="F36" i="104"/>
  <c r="AD33" i="118"/>
  <c r="AF34" i="118"/>
  <c r="AD34" i="117"/>
  <c r="AF35" i="117"/>
  <c r="BA34" i="118"/>
  <c r="AT34" i="118"/>
  <c r="BB34" i="118"/>
  <c r="AA38" i="35"/>
  <c r="Z38" i="35"/>
  <c r="AB38" i="35"/>
  <c r="AC38" i="35"/>
  <c r="AK34" i="117"/>
  <c r="AL35" i="117"/>
  <c r="F35" i="117"/>
  <c r="AU35" i="117"/>
  <c r="AV35" i="117"/>
  <c r="AB125" i="118"/>
  <c r="AC124" i="118"/>
  <c r="BK126" i="118"/>
  <c r="J126" i="118"/>
  <c r="K126" i="118"/>
  <c r="L126" i="118"/>
  <c r="M126" i="118"/>
  <c r="N126" i="118"/>
  <c r="O126" i="118"/>
  <c r="P126" i="118"/>
  <c r="Q126" i="118"/>
  <c r="R126" i="118"/>
  <c r="S126" i="118"/>
  <c r="T126" i="118"/>
  <c r="U126" i="118"/>
  <c r="V126" i="118"/>
  <c r="W126" i="118"/>
  <c r="X126" i="118"/>
  <c r="Y126" i="118"/>
  <c r="Z126" i="118"/>
  <c r="H127" i="118"/>
  <c r="A128" i="118"/>
  <c r="I127" i="118"/>
  <c r="BD127" i="118"/>
  <c r="BL122" i="118"/>
  <c r="BL123" i="118"/>
  <c r="AD35" i="104"/>
  <c r="AG34" i="118"/>
  <c r="AE34" i="118"/>
  <c r="AH34" i="118"/>
  <c r="AK34" i="118"/>
  <c r="AL35" i="118"/>
  <c r="F35" i="118"/>
  <c r="AT35" i="118"/>
  <c r="AE35" i="117"/>
  <c r="AH35" i="117"/>
  <c r="AK35" i="117"/>
  <c r="AL36" i="117"/>
  <c r="F36" i="117"/>
  <c r="BB36" i="117"/>
  <c r="AG35" i="117"/>
  <c r="AT35" i="117"/>
  <c r="AD39" i="35"/>
  <c r="AE38" i="35"/>
  <c r="V38" i="35"/>
  <c r="BA35" i="117"/>
  <c r="BB35" i="117"/>
  <c r="AB126" i="118"/>
  <c r="AC125" i="118"/>
  <c r="BL124" i="118"/>
  <c r="J127" i="118"/>
  <c r="K127" i="118"/>
  <c r="L127" i="118"/>
  <c r="M127" i="118"/>
  <c r="N127" i="118"/>
  <c r="O127" i="118"/>
  <c r="P127" i="118"/>
  <c r="Q127" i="118"/>
  <c r="R127" i="118"/>
  <c r="S127" i="118"/>
  <c r="T127" i="118"/>
  <c r="U127" i="118"/>
  <c r="V127" i="118"/>
  <c r="W127" i="118"/>
  <c r="X127" i="118"/>
  <c r="Y127" i="118"/>
  <c r="Z127" i="118"/>
  <c r="BK127" i="118"/>
  <c r="H128" i="118"/>
  <c r="BD128" i="118"/>
  <c r="A129" i="118"/>
  <c r="I128" i="118"/>
  <c r="AE36" i="104"/>
  <c r="AH36" i="104"/>
  <c r="AK36" i="104"/>
  <c r="AL37" i="104"/>
  <c r="F37" i="104"/>
  <c r="AF36" i="104"/>
  <c r="AU35" i="118"/>
  <c r="AV35" i="118"/>
  <c r="AD34" i="118"/>
  <c r="AF35" i="118"/>
  <c r="BB35" i="118"/>
  <c r="BA35" i="118"/>
  <c r="AD35" i="117"/>
  <c r="AF36" i="117"/>
  <c r="W39" i="35"/>
  <c r="X39" i="35"/>
  <c r="Y39" i="35"/>
  <c r="AB39" i="35"/>
  <c r="AC39" i="35"/>
  <c r="AT36" i="117"/>
  <c r="BA36" i="117"/>
  <c r="AU36" i="117"/>
  <c r="AV36" i="117"/>
  <c r="AB127" i="118"/>
  <c r="AC126" i="118"/>
  <c r="BL125" i="118"/>
  <c r="BK128" i="118"/>
  <c r="J128" i="118"/>
  <c r="K128" i="118"/>
  <c r="L128" i="118"/>
  <c r="M128" i="118"/>
  <c r="N128" i="118"/>
  <c r="O128" i="118"/>
  <c r="P128" i="118"/>
  <c r="Q128" i="118"/>
  <c r="R128" i="118"/>
  <c r="S128" i="118"/>
  <c r="T128" i="118"/>
  <c r="U128" i="118"/>
  <c r="V128" i="118"/>
  <c r="W128" i="118"/>
  <c r="X128" i="118"/>
  <c r="Y128" i="118"/>
  <c r="Z128" i="118"/>
  <c r="I129" i="118"/>
  <c r="A130" i="118"/>
  <c r="BD129" i="118"/>
  <c r="H129" i="118"/>
  <c r="AG36" i="104"/>
  <c r="AD36" i="104"/>
  <c r="AE35" i="118"/>
  <c r="AH35" i="118"/>
  <c r="AK35" i="118"/>
  <c r="AL36" i="118"/>
  <c r="F36" i="118"/>
  <c r="AE36" i="117"/>
  <c r="AH36" i="117"/>
  <c r="AK36" i="117"/>
  <c r="AL37" i="117"/>
  <c r="F37" i="117"/>
  <c r="AU37" i="117"/>
  <c r="AV37" i="117"/>
  <c r="AG35" i="118"/>
  <c r="AD40" i="35"/>
  <c r="AA39" i="35"/>
  <c r="Z39" i="35"/>
  <c r="BL126" i="118"/>
  <c r="H130" i="118"/>
  <c r="BD130" i="118"/>
  <c r="I130" i="118"/>
  <c r="A131" i="118"/>
  <c r="BK129" i="118"/>
  <c r="J129" i="118"/>
  <c r="K129" i="118"/>
  <c r="L129" i="118"/>
  <c r="M129" i="118"/>
  <c r="N129" i="118"/>
  <c r="O129" i="118"/>
  <c r="P129" i="118"/>
  <c r="Q129" i="118"/>
  <c r="R129" i="118"/>
  <c r="S129" i="118"/>
  <c r="T129" i="118"/>
  <c r="U129" i="118"/>
  <c r="V129" i="118"/>
  <c r="W129" i="118"/>
  <c r="X129" i="118"/>
  <c r="Y129" i="118"/>
  <c r="Z129" i="118"/>
  <c r="AB128" i="118"/>
  <c r="AE37" i="104"/>
  <c r="AH37" i="104"/>
  <c r="AK37" i="104"/>
  <c r="AL38" i="104"/>
  <c r="F38" i="104"/>
  <c r="AF37" i="104"/>
  <c r="AD35" i="118"/>
  <c r="AE36" i="118"/>
  <c r="AH36" i="118"/>
  <c r="AK36" i="118"/>
  <c r="AL37" i="118"/>
  <c r="F37" i="118"/>
  <c r="BA37" i="118"/>
  <c r="AG36" i="117"/>
  <c r="AD36" i="117"/>
  <c r="AT37" i="117"/>
  <c r="BB37" i="117"/>
  <c r="BA37" i="117"/>
  <c r="AE39" i="35"/>
  <c r="V39" i="35"/>
  <c r="BB36" i="118"/>
  <c r="BA36" i="118"/>
  <c r="AU36" i="118"/>
  <c r="AV36" i="118"/>
  <c r="AT36" i="118"/>
  <c r="AB129" i="118"/>
  <c r="AC128" i="118"/>
  <c r="AC127" i="118"/>
  <c r="BD131" i="118"/>
  <c r="A132" i="118"/>
  <c r="I131" i="118"/>
  <c r="H131" i="118"/>
  <c r="J130" i="118"/>
  <c r="K130" i="118"/>
  <c r="L130" i="118"/>
  <c r="M130" i="118"/>
  <c r="N130" i="118"/>
  <c r="O130" i="118"/>
  <c r="P130" i="118"/>
  <c r="Q130" i="118"/>
  <c r="R130" i="118"/>
  <c r="S130" i="118"/>
  <c r="T130" i="118"/>
  <c r="U130" i="118"/>
  <c r="V130" i="118"/>
  <c r="W130" i="118"/>
  <c r="X130" i="118"/>
  <c r="Y130" i="118"/>
  <c r="Z130" i="118"/>
  <c r="BK130" i="118"/>
  <c r="AF36" i="118"/>
  <c r="AG37" i="104"/>
  <c r="AD37" i="104"/>
  <c r="AE37" i="117"/>
  <c r="AH37" i="117"/>
  <c r="AK37" i="117"/>
  <c r="AF37" i="117"/>
  <c r="W40" i="35"/>
  <c r="X40" i="35"/>
  <c r="Y40" i="35"/>
  <c r="BB37" i="118"/>
  <c r="AU37" i="118"/>
  <c r="AV37" i="118"/>
  <c r="AT37" i="118"/>
  <c r="AB130" i="118"/>
  <c r="AC129" i="118"/>
  <c r="BL127" i="118"/>
  <c r="BK131" i="118"/>
  <c r="J131" i="118"/>
  <c r="K131" i="118"/>
  <c r="L131" i="118"/>
  <c r="M131" i="118"/>
  <c r="N131" i="118"/>
  <c r="O131" i="118"/>
  <c r="P131" i="118"/>
  <c r="Q131" i="118"/>
  <c r="R131" i="118"/>
  <c r="S131" i="118"/>
  <c r="T131" i="118"/>
  <c r="U131" i="118"/>
  <c r="V131" i="118"/>
  <c r="W131" i="118"/>
  <c r="X131" i="118"/>
  <c r="Y131" i="118"/>
  <c r="Z131" i="118"/>
  <c r="BL128" i="118"/>
  <c r="I132" i="118"/>
  <c r="BD132" i="118"/>
  <c r="A133" i="118"/>
  <c r="H132" i="118"/>
  <c r="AG36" i="118"/>
  <c r="AD36" i="118"/>
  <c r="AE37" i="118"/>
  <c r="AH37" i="118"/>
  <c r="AK37" i="118"/>
  <c r="AL38" i="118"/>
  <c r="F38" i="118"/>
  <c r="BB38" i="118"/>
  <c r="AF38" i="104"/>
  <c r="AE38" i="104"/>
  <c r="AH38" i="104"/>
  <c r="AK38" i="104"/>
  <c r="AL39" i="104"/>
  <c r="F39" i="104"/>
  <c r="AG37" i="117"/>
  <c r="AD37" i="117"/>
  <c r="AE38" i="117"/>
  <c r="AH38" i="117"/>
  <c r="AA40" i="35"/>
  <c r="Z40" i="35"/>
  <c r="AB40" i="35"/>
  <c r="AC40" i="35"/>
  <c r="AF38" i="117"/>
  <c r="AL38" i="117"/>
  <c r="F38" i="117"/>
  <c r="AB131" i="118"/>
  <c r="AC130" i="118"/>
  <c r="A134" i="118"/>
  <c r="I133" i="118"/>
  <c r="BD133" i="118"/>
  <c r="H133" i="118"/>
  <c r="BL129" i="118"/>
  <c r="BK132" i="118"/>
  <c r="J132" i="118"/>
  <c r="K132" i="118"/>
  <c r="L132" i="118"/>
  <c r="M132" i="118"/>
  <c r="N132" i="118"/>
  <c r="O132" i="118"/>
  <c r="P132" i="118"/>
  <c r="Q132" i="118"/>
  <c r="R132" i="118"/>
  <c r="S132" i="118"/>
  <c r="T132" i="118"/>
  <c r="U132" i="118"/>
  <c r="V132" i="118"/>
  <c r="W132" i="118"/>
  <c r="X132" i="118"/>
  <c r="Y132" i="118"/>
  <c r="Z132" i="118"/>
  <c r="AF37" i="118"/>
  <c r="AG37" i="118"/>
  <c r="AD37" i="118"/>
  <c r="AF38" i="118"/>
  <c r="BA38" i="118"/>
  <c r="AT38" i="118"/>
  <c r="AU38" i="118"/>
  <c r="AV38" i="118"/>
  <c r="AG38" i="104"/>
  <c r="AD38" i="104"/>
  <c r="AG38" i="117"/>
  <c r="AD38" i="117"/>
  <c r="AF39" i="117"/>
  <c r="AD41" i="35"/>
  <c r="AE40" i="35"/>
  <c r="V40" i="35"/>
  <c r="AK38" i="117"/>
  <c r="AL39" i="117"/>
  <c r="F39" i="117"/>
  <c r="BB38" i="117"/>
  <c r="AT38" i="117"/>
  <c r="BA38" i="117"/>
  <c r="AU38" i="117"/>
  <c r="AV38" i="117"/>
  <c r="AB132" i="118"/>
  <c r="AC131" i="118"/>
  <c r="A135" i="118"/>
  <c r="H134" i="118"/>
  <c r="BD134" i="118"/>
  <c r="I134" i="118"/>
  <c r="BL130" i="118"/>
  <c r="J133" i="118"/>
  <c r="K133" i="118"/>
  <c r="L133" i="118"/>
  <c r="M133" i="118"/>
  <c r="N133" i="118"/>
  <c r="O133" i="118"/>
  <c r="P133" i="118"/>
  <c r="Q133" i="118"/>
  <c r="R133" i="118"/>
  <c r="S133" i="118"/>
  <c r="T133" i="118"/>
  <c r="U133" i="118"/>
  <c r="V133" i="118"/>
  <c r="W133" i="118"/>
  <c r="X133" i="118"/>
  <c r="Y133" i="118"/>
  <c r="Z133" i="118"/>
  <c r="BK133" i="118"/>
  <c r="AE38" i="118"/>
  <c r="AH38" i="118"/>
  <c r="AK38" i="118"/>
  <c r="AL39" i="118"/>
  <c r="F39" i="118"/>
  <c r="AT39" i="118"/>
  <c r="AF39" i="104"/>
  <c r="AE39" i="104"/>
  <c r="AH39" i="104"/>
  <c r="AK39" i="104"/>
  <c r="AL40" i="104"/>
  <c r="F40" i="104"/>
  <c r="W41" i="35"/>
  <c r="X41" i="35"/>
  <c r="Y41" i="35"/>
  <c r="AF40" i="104"/>
  <c r="AE39" i="117"/>
  <c r="AH39" i="117"/>
  <c r="BB39" i="117"/>
  <c r="AU39" i="117"/>
  <c r="AV39" i="117"/>
  <c r="BA39" i="117"/>
  <c r="AT39" i="117"/>
  <c r="AB133" i="118"/>
  <c r="AC132" i="118"/>
  <c r="BK134" i="118"/>
  <c r="J134" i="118"/>
  <c r="K134" i="118"/>
  <c r="L134" i="118"/>
  <c r="M134" i="118"/>
  <c r="N134" i="118"/>
  <c r="O134" i="118"/>
  <c r="P134" i="118"/>
  <c r="Q134" i="118"/>
  <c r="R134" i="118"/>
  <c r="S134" i="118"/>
  <c r="T134" i="118"/>
  <c r="U134" i="118"/>
  <c r="V134" i="118"/>
  <c r="W134" i="118"/>
  <c r="X134" i="118"/>
  <c r="Y134" i="118"/>
  <c r="Z134" i="118"/>
  <c r="BL131" i="118"/>
  <c r="I135" i="118"/>
  <c r="A136" i="118"/>
  <c r="BD135" i="118"/>
  <c r="H135" i="118"/>
  <c r="AU39" i="118"/>
  <c r="AV39" i="118"/>
  <c r="BA39" i="118"/>
  <c r="BB39" i="118"/>
  <c r="AG38" i="118"/>
  <c r="AD38" i="118"/>
  <c r="AF39" i="118"/>
  <c r="AG39" i="104"/>
  <c r="AD39" i="104"/>
  <c r="AE40" i="104"/>
  <c r="AH40" i="104"/>
  <c r="AK40" i="104"/>
  <c r="AL41" i="104"/>
  <c r="F41" i="104"/>
  <c r="AG39" i="117"/>
  <c r="AD39" i="117"/>
  <c r="AF40" i="117"/>
  <c r="AA41" i="35"/>
  <c r="Z41" i="35"/>
  <c r="AB41" i="35"/>
  <c r="AC41" i="35"/>
  <c r="AK39" i="117"/>
  <c r="AL40" i="117"/>
  <c r="F40" i="117"/>
  <c r="AB134" i="118"/>
  <c r="AC133" i="118"/>
  <c r="H136" i="118"/>
  <c r="I136" i="118"/>
  <c r="BD136" i="118"/>
  <c r="A137" i="118"/>
  <c r="BL132" i="118"/>
  <c r="BK135" i="118"/>
  <c r="J135" i="118"/>
  <c r="K135" i="118"/>
  <c r="L135" i="118"/>
  <c r="M135" i="118"/>
  <c r="N135" i="118"/>
  <c r="O135" i="118"/>
  <c r="P135" i="118"/>
  <c r="Q135" i="118"/>
  <c r="R135" i="118"/>
  <c r="S135" i="118"/>
  <c r="T135" i="118"/>
  <c r="U135" i="118"/>
  <c r="V135" i="118"/>
  <c r="W135" i="118"/>
  <c r="X135" i="118"/>
  <c r="Y135" i="118"/>
  <c r="Z135" i="118"/>
  <c r="AB135" i="118"/>
  <c r="AE39" i="118"/>
  <c r="AH39" i="118"/>
  <c r="AK39" i="118"/>
  <c r="AL40" i="118"/>
  <c r="F40" i="118"/>
  <c r="AT40" i="118"/>
  <c r="AG40" i="104"/>
  <c r="AD40" i="104"/>
  <c r="AD42" i="35"/>
  <c r="AE41" i="35"/>
  <c r="V41" i="35"/>
  <c r="AE40" i="117"/>
  <c r="AH40" i="117"/>
  <c r="AK40" i="117"/>
  <c r="AL41" i="117"/>
  <c r="F41" i="117"/>
  <c r="AU41" i="117"/>
  <c r="BB40" i="117"/>
  <c r="AT40" i="117"/>
  <c r="AU40" i="117"/>
  <c r="AV40" i="117"/>
  <c r="BA40" i="117"/>
  <c r="BL133" i="118"/>
  <c r="BD137" i="118"/>
  <c r="A138" i="118"/>
  <c r="I137" i="118"/>
  <c r="H137" i="118"/>
  <c r="AC134" i="118"/>
  <c r="J136" i="118"/>
  <c r="K136" i="118"/>
  <c r="L136" i="118"/>
  <c r="M136" i="118"/>
  <c r="N136" i="118"/>
  <c r="O136" i="118"/>
  <c r="P136" i="118"/>
  <c r="Q136" i="118"/>
  <c r="R136" i="118"/>
  <c r="S136" i="118"/>
  <c r="T136" i="118"/>
  <c r="U136" i="118"/>
  <c r="V136" i="118"/>
  <c r="W136" i="118"/>
  <c r="X136" i="118"/>
  <c r="Y136" i="118"/>
  <c r="Z136" i="118"/>
  <c r="BK136" i="118"/>
  <c r="BB40" i="118"/>
  <c r="AU40" i="118"/>
  <c r="AV40" i="118"/>
  <c r="BA40" i="118"/>
  <c r="AG39" i="118"/>
  <c r="AD39" i="118"/>
  <c r="AE40" i="118"/>
  <c r="AH40" i="118"/>
  <c r="AK40" i="118"/>
  <c r="AL41" i="118"/>
  <c r="F41" i="118"/>
  <c r="AF41" i="104"/>
  <c r="AE41" i="104"/>
  <c r="AH41" i="104"/>
  <c r="AK41" i="104"/>
  <c r="AL42" i="104"/>
  <c r="F42" i="104"/>
  <c r="W42" i="35"/>
  <c r="X42" i="35"/>
  <c r="Y42" i="35"/>
  <c r="AB42" i="35"/>
  <c r="AC42" i="35"/>
  <c r="AG40" i="117"/>
  <c r="AD40" i="117"/>
  <c r="AF41" i="117"/>
  <c r="BB41" i="117"/>
  <c r="BA41" i="117"/>
  <c r="AT41" i="117"/>
  <c r="AV41" i="117"/>
  <c r="AF40" i="118"/>
  <c r="I138" i="118"/>
  <c r="BD138" i="118"/>
  <c r="A139" i="118"/>
  <c r="H138" i="118"/>
  <c r="BL134" i="118"/>
  <c r="BK137" i="118"/>
  <c r="J137" i="118"/>
  <c r="K137" i="118"/>
  <c r="L137" i="118"/>
  <c r="M137" i="118"/>
  <c r="N137" i="118"/>
  <c r="O137" i="118"/>
  <c r="P137" i="118"/>
  <c r="Q137" i="118"/>
  <c r="R137" i="118"/>
  <c r="S137" i="118"/>
  <c r="T137" i="118"/>
  <c r="U137" i="118"/>
  <c r="V137" i="118"/>
  <c r="W137" i="118"/>
  <c r="X137" i="118"/>
  <c r="Y137" i="118"/>
  <c r="Z137" i="118"/>
  <c r="AB136" i="118"/>
  <c r="AG41" i="104"/>
  <c r="AD41" i="104"/>
  <c r="AA42" i="35"/>
  <c r="Z42" i="35"/>
  <c r="AD43" i="35"/>
  <c r="AE41" i="117"/>
  <c r="AH41" i="117"/>
  <c r="AK41" i="117"/>
  <c r="AL42" i="117"/>
  <c r="F42" i="117"/>
  <c r="BA42" i="117"/>
  <c r="BA41" i="118"/>
  <c r="BB41" i="118"/>
  <c r="AT41" i="118"/>
  <c r="AU41" i="118"/>
  <c r="AV41" i="118"/>
  <c r="AG40" i="118"/>
  <c r="AD40" i="118"/>
  <c r="AC135" i="118"/>
  <c r="BK138" i="118"/>
  <c r="J138" i="118"/>
  <c r="K138" i="118"/>
  <c r="L138" i="118"/>
  <c r="M138" i="118"/>
  <c r="N138" i="118"/>
  <c r="O138" i="118"/>
  <c r="P138" i="118"/>
  <c r="Q138" i="118"/>
  <c r="R138" i="118"/>
  <c r="S138" i="118"/>
  <c r="T138" i="118"/>
  <c r="U138" i="118"/>
  <c r="V138" i="118"/>
  <c r="W138" i="118"/>
  <c r="X138" i="118"/>
  <c r="Y138" i="118"/>
  <c r="Z138" i="118"/>
  <c r="AB137" i="118"/>
  <c r="AC136" i="118"/>
  <c r="BD139" i="118"/>
  <c r="H139" i="118"/>
  <c r="I139" i="118"/>
  <c r="A140" i="118"/>
  <c r="AE42" i="104"/>
  <c r="AH42" i="104"/>
  <c r="AK42" i="104"/>
  <c r="AL43" i="104"/>
  <c r="F43" i="104"/>
  <c r="AF42" i="104"/>
  <c r="AE42" i="35"/>
  <c r="V42" i="35"/>
  <c r="AG41" i="117"/>
  <c r="AD41" i="117"/>
  <c r="AF42" i="117"/>
  <c r="AU42" i="117"/>
  <c r="AV42" i="117"/>
  <c r="BB42" i="117"/>
  <c r="AT42" i="117"/>
  <c r="AE41" i="118"/>
  <c r="AH41" i="118"/>
  <c r="AK41" i="118"/>
  <c r="AL42" i="118"/>
  <c r="F42" i="118"/>
  <c r="AF41" i="118"/>
  <c r="AB138" i="118"/>
  <c r="AC137" i="118"/>
  <c r="BL137" i="118"/>
  <c r="BL136" i="118"/>
  <c r="A141" i="118"/>
  <c r="BD140" i="118"/>
  <c r="I140" i="118"/>
  <c r="H140" i="118"/>
  <c r="J139" i="118"/>
  <c r="K139" i="118"/>
  <c r="L139" i="118"/>
  <c r="M139" i="118"/>
  <c r="N139" i="118"/>
  <c r="O139" i="118"/>
  <c r="P139" i="118"/>
  <c r="Q139" i="118"/>
  <c r="R139" i="118"/>
  <c r="S139" i="118"/>
  <c r="T139" i="118"/>
  <c r="U139" i="118"/>
  <c r="V139" i="118"/>
  <c r="W139" i="118"/>
  <c r="X139" i="118"/>
  <c r="Y139" i="118"/>
  <c r="Z139" i="118"/>
  <c r="BK139" i="118"/>
  <c r="BL135" i="118"/>
  <c r="AG42" i="104"/>
  <c r="AD42" i="104"/>
  <c r="AE43" i="104"/>
  <c r="W43" i="35"/>
  <c r="X43" i="35"/>
  <c r="Y43" i="35"/>
  <c r="AE42" i="117"/>
  <c r="AH42" i="117"/>
  <c r="AK42" i="117"/>
  <c r="AL43" i="117"/>
  <c r="F43" i="117"/>
  <c r="AT43" i="117"/>
  <c r="AG41" i="118"/>
  <c r="AD41" i="118"/>
  <c r="BA42" i="118"/>
  <c r="BB42" i="118"/>
  <c r="AT42" i="118"/>
  <c r="AU42" i="118"/>
  <c r="AV42" i="118"/>
  <c r="AB139" i="118"/>
  <c r="AC138" i="118"/>
  <c r="BD141" i="118"/>
  <c r="A142" i="118"/>
  <c r="I141" i="118"/>
  <c r="H141" i="118"/>
  <c r="BK140" i="118"/>
  <c r="J140" i="118"/>
  <c r="K140" i="118"/>
  <c r="L140" i="118"/>
  <c r="M140" i="118"/>
  <c r="N140" i="118"/>
  <c r="O140" i="118"/>
  <c r="P140" i="118"/>
  <c r="Q140" i="118"/>
  <c r="R140" i="118"/>
  <c r="S140" i="118"/>
  <c r="T140" i="118"/>
  <c r="U140" i="118"/>
  <c r="V140" i="118"/>
  <c r="W140" i="118"/>
  <c r="X140" i="118"/>
  <c r="Y140" i="118"/>
  <c r="Z140" i="118"/>
  <c r="AH43" i="104"/>
  <c r="AK43" i="104"/>
  <c r="AL44" i="104"/>
  <c r="F44" i="104"/>
  <c r="AF43" i="104"/>
  <c r="AG43" i="104"/>
  <c r="AA43" i="35"/>
  <c r="Z43" i="35"/>
  <c r="AB43" i="35"/>
  <c r="AC43" i="35"/>
  <c r="BA43" i="117"/>
  <c r="BB43" i="117"/>
  <c r="AG42" i="117"/>
  <c r="AD42" i="117"/>
  <c r="AE43" i="117"/>
  <c r="AH43" i="117"/>
  <c r="AK43" i="117"/>
  <c r="AL44" i="117"/>
  <c r="F44" i="117"/>
  <c r="BA44" i="117"/>
  <c r="AU43" i="117"/>
  <c r="AV43" i="117"/>
  <c r="AF42" i="118"/>
  <c r="AE42" i="118"/>
  <c r="AH42" i="118"/>
  <c r="AK42" i="118"/>
  <c r="AL43" i="118"/>
  <c r="F43" i="118"/>
  <c r="BA43" i="118"/>
  <c r="BK141" i="118"/>
  <c r="J141" i="118"/>
  <c r="K141" i="118"/>
  <c r="L141" i="118"/>
  <c r="M141" i="118"/>
  <c r="N141" i="118"/>
  <c r="O141" i="118"/>
  <c r="P141" i="118"/>
  <c r="Q141" i="118"/>
  <c r="R141" i="118"/>
  <c r="S141" i="118"/>
  <c r="T141" i="118"/>
  <c r="U141" i="118"/>
  <c r="V141" i="118"/>
  <c r="W141" i="118"/>
  <c r="X141" i="118"/>
  <c r="Y141" i="118"/>
  <c r="Z141" i="118"/>
  <c r="BD142" i="118"/>
  <c r="A143" i="118"/>
  <c r="I142" i="118"/>
  <c r="H142" i="118"/>
  <c r="AB140" i="118"/>
  <c r="BL138" i="118"/>
  <c r="AD43" i="104"/>
  <c r="AF44" i="104"/>
  <c r="AG44" i="104"/>
  <c r="AD44" i="35"/>
  <c r="AE43" i="35"/>
  <c r="V43" i="35"/>
  <c r="AU44" i="117"/>
  <c r="AV44" i="117"/>
  <c r="BB44" i="117"/>
  <c r="AT44" i="117"/>
  <c r="AF43" i="117"/>
  <c r="AG43" i="117"/>
  <c r="AD43" i="117"/>
  <c r="AT43" i="118"/>
  <c r="BB43" i="118"/>
  <c r="AU43" i="118"/>
  <c r="AV43" i="118"/>
  <c r="AG42" i="118"/>
  <c r="AD42" i="118"/>
  <c r="A144" i="118"/>
  <c r="I143" i="118"/>
  <c r="BD143" i="118"/>
  <c r="H143" i="118"/>
  <c r="AC139" i="118"/>
  <c r="AB141" i="118"/>
  <c r="BK142" i="118"/>
  <c r="J142" i="118"/>
  <c r="K142" i="118"/>
  <c r="L142" i="118"/>
  <c r="M142" i="118"/>
  <c r="N142" i="118"/>
  <c r="O142" i="118"/>
  <c r="P142" i="118"/>
  <c r="Q142" i="118"/>
  <c r="R142" i="118"/>
  <c r="S142" i="118"/>
  <c r="T142" i="118"/>
  <c r="U142" i="118"/>
  <c r="V142" i="118"/>
  <c r="W142" i="118"/>
  <c r="X142" i="118"/>
  <c r="Y142" i="118"/>
  <c r="Z142" i="118"/>
  <c r="AE44" i="104"/>
  <c r="AH44" i="104"/>
  <c r="AK44" i="104"/>
  <c r="AL45" i="104"/>
  <c r="F45" i="104"/>
  <c r="W44" i="35"/>
  <c r="X44" i="35"/>
  <c r="Y44" i="35"/>
  <c r="AE43" i="118"/>
  <c r="AH43" i="118"/>
  <c r="AK43" i="118"/>
  <c r="AL44" i="118"/>
  <c r="F44" i="118"/>
  <c r="AF43" i="118"/>
  <c r="AF44" i="117"/>
  <c r="AE44" i="117"/>
  <c r="AH44" i="117"/>
  <c r="AK44" i="117"/>
  <c r="AL45" i="117"/>
  <c r="F45" i="117"/>
  <c r="AT45" i="117"/>
  <c r="AB142" i="118"/>
  <c r="AC141" i="118"/>
  <c r="AC140" i="118"/>
  <c r="I144" i="118"/>
  <c r="A145" i="118"/>
  <c r="BD144" i="118"/>
  <c r="H144" i="118"/>
  <c r="BL139" i="118"/>
  <c r="J143" i="118"/>
  <c r="K143" i="118"/>
  <c r="L143" i="118"/>
  <c r="M143" i="118"/>
  <c r="N143" i="118"/>
  <c r="O143" i="118"/>
  <c r="P143" i="118"/>
  <c r="Q143" i="118"/>
  <c r="R143" i="118"/>
  <c r="S143" i="118"/>
  <c r="T143" i="118"/>
  <c r="U143" i="118"/>
  <c r="V143" i="118"/>
  <c r="W143" i="118"/>
  <c r="X143" i="118"/>
  <c r="Y143" i="118"/>
  <c r="Z143" i="118"/>
  <c r="BK143" i="118"/>
  <c r="AD44" i="104"/>
  <c r="AF45" i="104"/>
  <c r="AG45" i="104"/>
  <c r="AA44" i="35"/>
  <c r="Z44" i="35"/>
  <c r="AB44" i="35"/>
  <c r="AC44" i="35"/>
  <c r="AU45" i="117"/>
  <c r="AV45" i="117"/>
  <c r="AG43" i="118"/>
  <c r="AD43" i="118"/>
  <c r="BB45" i="117"/>
  <c r="AU44" i="118"/>
  <c r="AV44" i="118"/>
  <c r="BB44" i="118"/>
  <c r="BA44" i="118"/>
  <c r="AT44" i="118"/>
  <c r="BA45" i="117"/>
  <c r="AG44" i="117"/>
  <c r="AD44" i="117"/>
  <c r="J144" i="118"/>
  <c r="K144" i="118"/>
  <c r="L144" i="118"/>
  <c r="M144" i="118"/>
  <c r="N144" i="118"/>
  <c r="O144" i="118"/>
  <c r="P144" i="118"/>
  <c r="Q144" i="118"/>
  <c r="R144" i="118"/>
  <c r="S144" i="118"/>
  <c r="T144" i="118"/>
  <c r="U144" i="118"/>
  <c r="V144" i="118"/>
  <c r="W144" i="118"/>
  <c r="X144" i="118"/>
  <c r="Y144" i="118"/>
  <c r="Z144" i="118"/>
  <c r="BK144" i="118"/>
  <c r="BL141" i="118"/>
  <c r="BL140" i="118"/>
  <c r="AB143" i="118"/>
  <c r="I145" i="118"/>
  <c r="BD145" i="118"/>
  <c r="A146" i="118"/>
  <c r="H145" i="118"/>
  <c r="AE45" i="104"/>
  <c r="AH45" i="104"/>
  <c r="AK45" i="104"/>
  <c r="AL46" i="104"/>
  <c r="F46" i="104"/>
  <c r="AD45" i="35"/>
  <c r="AE44" i="35"/>
  <c r="V44" i="35"/>
  <c r="AE44" i="118"/>
  <c r="AH44" i="118"/>
  <c r="AK44" i="118"/>
  <c r="AL45" i="118"/>
  <c r="F45" i="118"/>
  <c r="AF44" i="118"/>
  <c r="AF45" i="117"/>
  <c r="AG45" i="117"/>
  <c r="AE45" i="117"/>
  <c r="AH45" i="117"/>
  <c r="BK145" i="118"/>
  <c r="J145" i="118"/>
  <c r="K145" i="118"/>
  <c r="L145" i="118"/>
  <c r="M145" i="118"/>
  <c r="N145" i="118"/>
  <c r="O145" i="118"/>
  <c r="P145" i="118"/>
  <c r="Q145" i="118"/>
  <c r="R145" i="118"/>
  <c r="S145" i="118"/>
  <c r="T145" i="118"/>
  <c r="U145" i="118"/>
  <c r="V145" i="118"/>
  <c r="W145" i="118"/>
  <c r="X145" i="118"/>
  <c r="Y145" i="118"/>
  <c r="Z145" i="118"/>
  <c r="AC142" i="118"/>
  <c r="A147" i="118"/>
  <c r="I146" i="118"/>
  <c r="BD146" i="118"/>
  <c r="H146" i="118"/>
  <c r="AB144" i="118"/>
  <c r="AD45" i="104"/>
  <c r="AE46" i="104"/>
  <c r="AH46" i="104"/>
  <c r="AK46" i="104"/>
  <c r="AL47" i="104"/>
  <c r="F47" i="104"/>
  <c r="W45" i="35"/>
  <c r="X45" i="35"/>
  <c r="Y45" i="35"/>
  <c r="AG44" i="118"/>
  <c r="AD44" i="118"/>
  <c r="BB45" i="118"/>
  <c r="AU45" i="118"/>
  <c r="AV45" i="118"/>
  <c r="AT45" i="118"/>
  <c r="BA45" i="118"/>
  <c r="AD45" i="117"/>
  <c r="AK45" i="117"/>
  <c r="AB145" i="118"/>
  <c r="AC144" i="118"/>
  <c r="AC143" i="118"/>
  <c r="BL142" i="118"/>
  <c r="J146" i="118"/>
  <c r="K146" i="118"/>
  <c r="L146" i="118"/>
  <c r="M146" i="118"/>
  <c r="N146" i="118"/>
  <c r="O146" i="118"/>
  <c r="P146" i="118"/>
  <c r="Q146" i="118"/>
  <c r="R146" i="118"/>
  <c r="S146" i="118"/>
  <c r="T146" i="118"/>
  <c r="U146" i="118"/>
  <c r="V146" i="118"/>
  <c r="W146" i="118"/>
  <c r="X146" i="118"/>
  <c r="Y146" i="118"/>
  <c r="Z146" i="118"/>
  <c r="BK146" i="118"/>
  <c r="BD147" i="118"/>
  <c r="I147" i="118"/>
  <c r="A148" i="118"/>
  <c r="H147" i="118"/>
  <c r="AF46" i="104"/>
  <c r="AG46" i="104"/>
  <c r="AD46" i="104"/>
  <c r="AF47" i="104"/>
  <c r="AG47" i="104"/>
  <c r="AA45" i="35"/>
  <c r="Z45" i="35"/>
  <c r="AB45" i="35"/>
  <c r="AC45" i="35"/>
  <c r="AF45" i="118"/>
  <c r="AE45" i="118"/>
  <c r="AH45" i="118"/>
  <c r="AK45" i="118"/>
  <c r="AL46" i="118"/>
  <c r="F46" i="118"/>
  <c r="AL46" i="117"/>
  <c r="F46" i="117"/>
  <c r="AE46" i="117"/>
  <c r="AH46" i="117"/>
  <c r="AF46" i="117"/>
  <c r="AB146" i="118"/>
  <c r="AC145" i="118"/>
  <c r="J147" i="118"/>
  <c r="K147" i="118"/>
  <c r="L147" i="118"/>
  <c r="M147" i="118"/>
  <c r="N147" i="118"/>
  <c r="O147" i="118"/>
  <c r="P147" i="118"/>
  <c r="Q147" i="118"/>
  <c r="R147" i="118"/>
  <c r="S147" i="118"/>
  <c r="T147" i="118"/>
  <c r="U147" i="118"/>
  <c r="V147" i="118"/>
  <c r="W147" i="118"/>
  <c r="X147" i="118"/>
  <c r="Y147" i="118"/>
  <c r="Z147" i="118"/>
  <c r="BK147" i="118"/>
  <c r="BL144" i="118"/>
  <c r="A149" i="118"/>
  <c r="I148" i="118"/>
  <c r="BD148" i="118"/>
  <c r="H148" i="118"/>
  <c r="BL143" i="118"/>
  <c r="AE47" i="104"/>
  <c r="AH47" i="104"/>
  <c r="AD47" i="104"/>
  <c r="AG45" i="118"/>
  <c r="AD45" i="118"/>
  <c r="AD46" i="35"/>
  <c r="AE45" i="35"/>
  <c r="V45" i="35"/>
  <c r="AU46" i="118"/>
  <c r="AV46" i="118"/>
  <c r="AT46" i="118"/>
  <c r="BB46" i="118"/>
  <c r="BA46" i="118"/>
  <c r="AG46" i="117"/>
  <c r="AD46" i="117"/>
  <c r="AK46" i="117"/>
  <c r="AL47" i="117"/>
  <c r="F47" i="117"/>
  <c r="BB46" i="117"/>
  <c r="AU46" i="117"/>
  <c r="AV46" i="117"/>
  <c r="BA46" i="117"/>
  <c r="AT46" i="117"/>
  <c r="AB147" i="118"/>
  <c r="AC146" i="118"/>
  <c r="A150" i="118"/>
  <c r="BD149" i="118"/>
  <c r="I149" i="118"/>
  <c r="H149" i="118"/>
  <c r="BK148" i="118"/>
  <c r="J148" i="118"/>
  <c r="K148" i="118"/>
  <c r="L148" i="118"/>
  <c r="M148" i="118"/>
  <c r="N148" i="118"/>
  <c r="O148" i="118"/>
  <c r="P148" i="118"/>
  <c r="Q148" i="118"/>
  <c r="R148" i="118"/>
  <c r="S148" i="118"/>
  <c r="T148" i="118"/>
  <c r="U148" i="118"/>
  <c r="V148" i="118"/>
  <c r="W148" i="118"/>
  <c r="X148" i="118"/>
  <c r="Y148" i="118"/>
  <c r="Z148" i="118"/>
  <c r="BL145" i="118"/>
  <c r="AK47" i="104"/>
  <c r="AL48" i="104"/>
  <c r="F48" i="104"/>
  <c r="AE48" i="104"/>
  <c r="AH48" i="104"/>
  <c r="AF48" i="104"/>
  <c r="W46" i="35"/>
  <c r="X46" i="35"/>
  <c r="Y46" i="35"/>
  <c r="AB46" i="35"/>
  <c r="AC46" i="35"/>
  <c r="AE46" i="118"/>
  <c r="AH46" i="118"/>
  <c r="AK46" i="118"/>
  <c r="AL47" i="118"/>
  <c r="F47" i="118"/>
  <c r="AF46" i="118"/>
  <c r="AF47" i="117"/>
  <c r="AG47" i="117"/>
  <c r="AE47" i="117"/>
  <c r="AH47" i="117"/>
  <c r="AK47" i="117"/>
  <c r="AL48" i="117"/>
  <c r="F48" i="117"/>
  <c r="AT48" i="117"/>
  <c r="AT47" i="117"/>
  <c r="BB47" i="117"/>
  <c r="BA47" i="117"/>
  <c r="AU47" i="117"/>
  <c r="AV47" i="117"/>
  <c r="AB148" i="118"/>
  <c r="AC147" i="118"/>
  <c r="BL146" i="118"/>
  <c r="BK149" i="118"/>
  <c r="J149" i="118"/>
  <c r="K149" i="118"/>
  <c r="L149" i="118"/>
  <c r="M149" i="118"/>
  <c r="N149" i="118"/>
  <c r="O149" i="118"/>
  <c r="P149" i="118"/>
  <c r="Q149" i="118"/>
  <c r="R149" i="118"/>
  <c r="S149" i="118"/>
  <c r="T149" i="118"/>
  <c r="U149" i="118"/>
  <c r="V149" i="118"/>
  <c r="W149" i="118"/>
  <c r="X149" i="118"/>
  <c r="Y149" i="118"/>
  <c r="Z149" i="118"/>
  <c r="BD150" i="118"/>
  <c r="H150" i="118"/>
  <c r="I150" i="118"/>
  <c r="A151" i="118"/>
  <c r="AK48" i="104"/>
  <c r="AL49" i="104"/>
  <c r="F49" i="104"/>
  <c r="AG48" i="104"/>
  <c r="AD48" i="104"/>
  <c r="AE49" i="104"/>
  <c r="AH49" i="104"/>
  <c r="AA46" i="35"/>
  <c r="Z46" i="35"/>
  <c r="AD47" i="35"/>
  <c r="AG46" i="118"/>
  <c r="AD46" i="118"/>
  <c r="AE47" i="118"/>
  <c r="AH47" i="118"/>
  <c r="AK47" i="118"/>
  <c r="AL48" i="118"/>
  <c r="F48" i="118"/>
  <c r="BA48" i="117"/>
  <c r="AT47" i="118"/>
  <c r="AU47" i="118"/>
  <c r="AV47" i="118"/>
  <c r="BB47" i="118"/>
  <c r="BA47" i="118"/>
  <c r="AU48" i="117"/>
  <c r="AV48" i="117"/>
  <c r="BB48" i="117"/>
  <c r="AD47" i="117"/>
  <c r="AB149" i="118"/>
  <c r="AC148" i="118"/>
  <c r="BK150" i="118"/>
  <c r="J150" i="118"/>
  <c r="K150" i="118"/>
  <c r="L150" i="118"/>
  <c r="M150" i="118"/>
  <c r="N150" i="118"/>
  <c r="O150" i="118"/>
  <c r="P150" i="118"/>
  <c r="Q150" i="118"/>
  <c r="R150" i="118"/>
  <c r="S150" i="118"/>
  <c r="T150" i="118"/>
  <c r="U150" i="118"/>
  <c r="V150" i="118"/>
  <c r="W150" i="118"/>
  <c r="X150" i="118"/>
  <c r="Y150" i="118"/>
  <c r="Z150" i="118"/>
  <c r="BD151" i="118"/>
  <c r="A152" i="118"/>
  <c r="I151" i="118"/>
  <c r="H151" i="118"/>
  <c r="BL147" i="118"/>
  <c r="AK49" i="104"/>
  <c r="AL50" i="104"/>
  <c r="F50" i="104"/>
  <c r="AF49" i="104"/>
  <c r="AG49" i="104"/>
  <c r="AE46" i="35"/>
  <c r="V46" i="35"/>
  <c r="AF47" i="118"/>
  <c r="AG47" i="118"/>
  <c r="AD47" i="118"/>
  <c r="AU48" i="118"/>
  <c r="AV48" i="118"/>
  <c r="AT48" i="118"/>
  <c r="BB48" i="118"/>
  <c r="BA48" i="118"/>
  <c r="AE48" i="117"/>
  <c r="AH48" i="117"/>
  <c r="AF48" i="117"/>
  <c r="AB150" i="118"/>
  <c r="AC149" i="118"/>
  <c r="BL149" i="118"/>
  <c r="BL148" i="118"/>
  <c r="BK151" i="118"/>
  <c r="J151" i="118"/>
  <c r="K151" i="118"/>
  <c r="L151" i="118"/>
  <c r="M151" i="118"/>
  <c r="N151" i="118"/>
  <c r="O151" i="118"/>
  <c r="P151" i="118"/>
  <c r="Q151" i="118"/>
  <c r="R151" i="118"/>
  <c r="S151" i="118"/>
  <c r="T151" i="118"/>
  <c r="U151" i="118"/>
  <c r="V151" i="118"/>
  <c r="W151" i="118"/>
  <c r="X151" i="118"/>
  <c r="Y151" i="118"/>
  <c r="Z151" i="118"/>
  <c r="I152" i="118"/>
  <c r="BD152" i="118"/>
  <c r="A153" i="118"/>
  <c r="H152" i="118"/>
  <c r="AD49" i="104"/>
  <c r="AF50" i="104"/>
  <c r="AG50" i="104"/>
  <c r="AG48" i="117"/>
  <c r="AD48" i="117"/>
  <c r="AE49" i="117"/>
  <c r="AH49" i="117"/>
  <c r="W47" i="35"/>
  <c r="X47" i="35"/>
  <c r="Y47" i="35"/>
  <c r="AE48" i="118"/>
  <c r="AH48" i="118"/>
  <c r="AK48" i="118"/>
  <c r="AL49" i="118"/>
  <c r="F49" i="118"/>
  <c r="BA49" i="118"/>
  <c r="AF48" i="118"/>
  <c r="AK48" i="117"/>
  <c r="AL49" i="117"/>
  <c r="F49" i="117"/>
  <c r="AB151" i="118"/>
  <c r="AC150" i="118"/>
  <c r="BD153" i="118"/>
  <c r="I153" i="118"/>
  <c r="A154" i="118"/>
  <c r="H153" i="118"/>
  <c r="J152" i="118"/>
  <c r="K152" i="118"/>
  <c r="L152" i="118"/>
  <c r="M152" i="118"/>
  <c r="N152" i="118"/>
  <c r="O152" i="118"/>
  <c r="P152" i="118"/>
  <c r="Q152" i="118"/>
  <c r="R152" i="118"/>
  <c r="S152" i="118"/>
  <c r="T152" i="118"/>
  <c r="U152" i="118"/>
  <c r="V152" i="118"/>
  <c r="W152" i="118"/>
  <c r="X152" i="118"/>
  <c r="Y152" i="118"/>
  <c r="Z152" i="118"/>
  <c r="BK152" i="118"/>
  <c r="AE50" i="104"/>
  <c r="AH50" i="104"/>
  <c r="AK50" i="104"/>
  <c r="AL51" i="104"/>
  <c r="F51" i="104"/>
  <c r="AG48" i="118"/>
  <c r="AD48" i="118"/>
  <c r="AE49" i="118"/>
  <c r="AH49" i="118"/>
  <c r="AK49" i="118"/>
  <c r="AL50" i="118"/>
  <c r="F50" i="118"/>
  <c r="BB50" i="118"/>
  <c r="AA47" i="35"/>
  <c r="Z47" i="35"/>
  <c r="AB47" i="35"/>
  <c r="AC47" i="35"/>
  <c r="AK49" i="117"/>
  <c r="AL50" i="117"/>
  <c r="F50" i="117"/>
  <c r="BB49" i="118"/>
  <c r="AT49" i="118"/>
  <c r="AU49" i="118"/>
  <c r="AV49" i="118"/>
  <c r="AF49" i="117"/>
  <c r="AG49" i="117"/>
  <c r="AD49" i="117"/>
  <c r="AT49" i="117"/>
  <c r="BA49" i="117"/>
  <c r="AU49" i="117"/>
  <c r="AV49" i="117"/>
  <c r="BB49" i="117"/>
  <c r="AB152" i="118"/>
  <c r="AC151" i="118"/>
  <c r="BL150" i="118"/>
  <c r="I154" i="118"/>
  <c r="A155" i="118"/>
  <c r="BD154" i="118"/>
  <c r="H154" i="118"/>
  <c r="J153" i="118"/>
  <c r="K153" i="118"/>
  <c r="L153" i="118"/>
  <c r="M153" i="118"/>
  <c r="N153" i="118"/>
  <c r="O153" i="118"/>
  <c r="P153" i="118"/>
  <c r="Q153" i="118"/>
  <c r="R153" i="118"/>
  <c r="S153" i="118"/>
  <c r="T153" i="118"/>
  <c r="U153" i="118"/>
  <c r="V153" i="118"/>
  <c r="W153" i="118"/>
  <c r="X153" i="118"/>
  <c r="Y153" i="118"/>
  <c r="Z153" i="118"/>
  <c r="BK153" i="118"/>
  <c r="AD50" i="104"/>
  <c r="AE51" i="104"/>
  <c r="AH51" i="104"/>
  <c r="AK51" i="104"/>
  <c r="AL52" i="104"/>
  <c r="F52" i="104"/>
  <c r="AD48" i="35"/>
  <c r="AE47" i="35"/>
  <c r="V47" i="35"/>
  <c r="AF49" i="118"/>
  <c r="AG49" i="118"/>
  <c r="AD49" i="118"/>
  <c r="BA50" i="118"/>
  <c r="AT50" i="118"/>
  <c r="AU50" i="118"/>
  <c r="AV50" i="118"/>
  <c r="AB153" i="118"/>
  <c r="AC152" i="118"/>
  <c r="AE50" i="117"/>
  <c r="AH50" i="117"/>
  <c r="AK50" i="117"/>
  <c r="AF50" i="117"/>
  <c r="BD155" i="118"/>
  <c r="I155" i="118"/>
  <c r="A156" i="118"/>
  <c r="H155" i="118"/>
  <c r="BA50" i="117"/>
  <c r="AT50" i="117"/>
  <c r="BB50" i="117"/>
  <c r="AU50" i="117"/>
  <c r="AV50" i="117"/>
  <c r="BK154" i="118"/>
  <c r="J154" i="118"/>
  <c r="K154" i="118"/>
  <c r="L154" i="118"/>
  <c r="M154" i="118"/>
  <c r="N154" i="118"/>
  <c r="O154" i="118"/>
  <c r="P154" i="118"/>
  <c r="Q154" i="118"/>
  <c r="R154" i="118"/>
  <c r="S154" i="118"/>
  <c r="T154" i="118"/>
  <c r="U154" i="118"/>
  <c r="V154" i="118"/>
  <c r="W154" i="118"/>
  <c r="X154" i="118"/>
  <c r="Y154" i="118"/>
  <c r="Z154" i="118"/>
  <c r="BL151" i="118"/>
  <c r="AF51" i="104"/>
  <c r="AG51" i="104"/>
  <c r="AD51" i="104"/>
  <c r="W48" i="35"/>
  <c r="X48" i="35"/>
  <c r="Y48" i="35"/>
  <c r="AE50" i="118"/>
  <c r="AH50" i="118"/>
  <c r="AK50" i="118"/>
  <c r="AL51" i="118"/>
  <c r="F51" i="118"/>
  <c r="AF50" i="118"/>
  <c r="BL152" i="118"/>
  <c r="AB154" i="118"/>
  <c r="AC153" i="118"/>
  <c r="AL51" i="117"/>
  <c r="F51" i="117"/>
  <c r="A157" i="118"/>
  <c r="I156" i="118"/>
  <c r="BD156" i="118"/>
  <c r="H156" i="118"/>
  <c r="J155" i="118"/>
  <c r="K155" i="118"/>
  <c r="L155" i="118"/>
  <c r="M155" i="118"/>
  <c r="N155" i="118"/>
  <c r="O155" i="118"/>
  <c r="P155" i="118"/>
  <c r="Q155" i="118"/>
  <c r="R155" i="118"/>
  <c r="S155" i="118"/>
  <c r="T155" i="118"/>
  <c r="U155" i="118"/>
  <c r="V155" i="118"/>
  <c r="W155" i="118"/>
  <c r="X155" i="118"/>
  <c r="Y155" i="118"/>
  <c r="Z155" i="118"/>
  <c r="BK155" i="118"/>
  <c r="AG50" i="117"/>
  <c r="AD50" i="117"/>
  <c r="AF52" i="104"/>
  <c r="AE52" i="104"/>
  <c r="AA48" i="35"/>
  <c r="Z48" i="35"/>
  <c r="AB48" i="35"/>
  <c r="AC48" i="35"/>
  <c r="AG50" i="118"/>
  <c r="AD50" i="118"/>
  <c r="AU51" i="118"/>
  <c r="AV51" i="118"/>
  <c r="BB51" i="118"/>
  <c r="AT51" i="118"/>
  <c r="BA51" i="118"/>
  <c r="AB155" i="118"/>
  <c r="AC154" i="118"/>
  <c r="AF51" i="117"/>
  <c r="AE51" i="117"/>
  <c r="AH51" i="117"/>
  <c r="AK51" i="117"/>
  <c r="BL153" i="118"/>
  <c r="BB51" i="117"/>
  <c r="AU51" i="117"/>
  <c r="AV51" i="117"/>
  <c r="BA51" i="117"/>
  <c r="AT51" i="117"/>
  <c r="J156" i="118"/>
  <c r="K156" i="118"/>
  <c r="L156" i="118"/>
  <c r="M156" i="118"/>
  <c r="N156" i="118"/>
  <c r="O156" i="118"/>
  <c r="P156" i="118"/>
  <c r="Q156" i="118"/>
  <c r="R156" i="118"/>
  <c r="S156" i="118"/>
  <c r="T156" i="118"/>
  <c r="U156" i="118"/>
  <c r="V156" i="118"/>
  <c r="W156" i="118"/>
  <c r="X156" i="118"/>
  <c r="Y156" i="118"/>
  <c r="Z156" i="118"/>
  <c r="BK156" i="118"/>
  <c r="BD157" i="118"/>
  <c r="I157" i="118"/>
  <c r="A158" i="118"/>
  <c r="H157" i="118"/>
  <c r="AG52" i="104"/>
  <c r="AH52" i="104"/>
  <c r="AK52" i="104"/>
  <c r="AL53" i="104"/>
  <c r="F53" i="104"/>
  <c r="AE48" i="35"/>
  <c r="V48" i="35"/>
  <c r="AE51" i="118"/>
  <c r="AH51" i="118"/>
  <c r="AK51" i="118"/>
  <c r="AL52" i="118"/>
  <c r="F52" i="118"/>
  <c r="BB52" i="118"/>
  <c r="BB22" i="118"/>
  <c r="AF51" i="118"/>
  <c r="AB156" i="118"/>
  <c r="AC155" i="118"/>
  <c r="BL155" i="118"/>
  <c r="A159" i="118"/>
  <c r="BD158" i="118"/>
  <c r="I158" i="118"/>
  <c r="H158" i="118"/>
  <c r="BK157" i="118"/>
  <c r="J157" i="118"/>
  <c r="K157" i="118"/>
  <c r="L157" i="118"/>
  <c r="M157" i="118"/>
  <c r="N157" i="118"/>
  <c r="O157" i="118"/>
  <c r="P157" i="118"/>
  <c r="Q157" i="118"/>
  <c r="R157" i="118"/>
  <c r="S157" i="118"/>
  <c r="T157" i="118"/>
  <c r="U157" i="118"/>
  <c r="V157" i="118"/>
  <c r="W157" i="118"/>
  <c r="X157" i="118"/>
  <c r="Y157" i="118"/>
  <c r="Z157" i="118"/>
  <c r="AL52" i="117"/>
  <c r="F52" i="117"/>
  <c r="BL154" i="118"/>
  <c r="AG51" i="117"/>
  <c r="AD51" i="117"/>
  <c r="AF52" i="117"/>
  <c r="AD52" i="104"/>
  <c r="AG51" i="118"/>
  <c r="AD51" i="118"/>
  <c r="AU52" i="118"/>
  <c r="AV52" i="118"/>
  <c r="AV22" i="118"/>
  <c r="C4" i="118"/>
  <c r="AT52" i="118"/>
  <c r="AT22" i="118"/>
  <c r="AT20" i="118"/>
  <c r="C2" i="118"/>
  <c r="BA52" i="118"/>
  <c r="BA22" i="118"/>
  <c r="C5" i="118"/>
  <c r="AB157" i="118"/>
  <c r="AC156" i="118"/>
  <c r="BL156" i="118"/>
  <c r="BB52" i="117"/>
  <c r="BB22" i="117"/>
  <c r="BA52" i="117"/>
  <c r="BA22" i="117"/>
  <c r="C5" i="117"/>
  <c r="AU52" i="117"/>
  <c r="AV52" i="117"/>
  <c r="AV22" i="117"/>
  <c r="C4" i="117"/>
  <c r="AT52" i="117"/>
  <c r="AT22" i="117"/>
  <c r="AT20" i="117"/>
  <c r="BD159" i="118"/>
  <c r="H159" i="118"/>
  <c r="I159" i="118"/>
  <c r="A160" i="118"/>
  <c r="AE52" i="117"/>
  <c r="AG52" i="117"/>
  <c r="BK158" i="118"/>
  <c r="J158" i="118"/>
  <c r="K158" i="118"/>
  <c r="L158" i="118"/>
  <c r="M158" i="118"/>
  <c r="N158" i="118"/>
  <c r="O158" i="118"/>
  <c r="P158" i="118"/>
  <c r="Q158" i="118"/>
  <c r="R158" i="118"/>
  <c r="S158" i="118"/>
  <c r="T158" i="118"/>
  <c r="U158" i="118"/>
  <c r="V158" i="118"/>
  <c r="W158" i="118"/>
  <c r="X158" i="118"/>
  <c r="Y158" i="118"/>
  <c r="Z158" i="118"/>
  <c r="AF53" i="104"/>
  <c r="AE53" i="104"/>
  <c r="AH53" i="104"/>
  <c r="AK53" i="104"/>
  <c r="AL54" i="104"/>
  <c r="F54" i="104"/>
  <c r="AF52" i="118"/>
  <c r="AE52" i="118"/>
  <c r="AH52" i="118"/>
  <c r="AK52" i="118"/>
  <c r="AL53" i="118"/>
  <c r="F53" i="118"/>
  <c r="AF54" i="104"/>
  <c r="C2" i="117"/>
  <c r="AB158" i="118"/>
  <c r="AC157" i="118"/>
  <c r="J159" i="118"/>
  <c r="K159" i="118"/>
  <c r="L159" i="118"/>
  <c r="M159" i="118"/>
  <c r="N159" i="118"/>
  <c r="O159" i="118"/>
  <c r="P159" i="118"/>
  <c r="Q159" i="118"/>
  <c r="R159" i="118"/>
  <c r="S159" i="118"/>
  <c r="T159" i="118"/>
  <c r="U159" i="118"/>
  <c r="V159" i="118"/>
  <c r="W159" i="118"/>
  <c r="X159" i="118"/>
  <c r="Y159" i="118"/>
  <c r="Z159" i="118"/>
  <c r="BK159" i="118"/>
  <c r="AH52" i="117"/>
  <c r="AK52" i="117"/>
  <c r="AL53" i="117"/>
  <c r="F53" i="117"/>
  <c r="H160" i="118"/>
  <c r="A161" i="118"/>
  <c r="BD160" i="118"/>
  <c r="I160" i="118"/>
  <c r="AG53" i="104"/>
  <c r="AD53" i="104"/>
  <c r="AE54" i="104"/>
  <c r="AH54" i="104"/>
  <c r="AK54" i="104"/>
  <c r="AL55" i="104"/>
  <c r="F55" i="104"/>
  <c r="AG52" i="118"/>
  <c r="AD52" i="118"/>
  <c r="AB159" i="118"/>
  <c r="AC158" i="118"/>
  <c r="BK160" i="118"/>
  <c r="J160" i="118"/>
  <c r="K160" i="118"/>
  <c r="L160" i="118"/>
  <c r="M160" i="118"/>
  <c r="N160" i="118"/>
  <c r="O160" i="118"/>
  <c r="P160" i="118"/>
  <c r="Q160" i="118"/>
  <c r="R160" i="118"/>
  <c r="S160" i="118"/>
  <c r="T160" i="118"/>
  <c r="U160" i="118"/>
  <c r="V160" i="118"/>
  <c r="W160" i="118"/>
  <c r="X160" i="118"/>
  <c r="Y160" i="118"/>
  <c r="Z160" i="118"/>
  <c r="BL157" i="118"/>
  <c r="BD161" i="118"/>
  <c r="I161" i="118"/>
  <c r="A162" i="118"/>
  <c r="H161" i="118"/>
  <c r="AD52" i="117"/>
  <c r="AF53" i="117"/>
  <c r="AG54" i="104"/>
  <c r="AD54" i="104"/>
  <c r="AF53" i="118"/>
  <c r="AE53" i="118"/>
  <c r="AH53" i="118"/>
  <c r="AK53" i="118"/>
  <c r="AL54" i="118"/>
  <c r="F54" i="118"/>
  <c r="AB160" i="118"/>
  <c r="I162" i="118"/>
  <c r="BD162" i="118"/>
  <c r="A163" i="118"/>
  <c r="H162" i="118"/>
  <c r="AE53" i="117"/>
  <c r="AG53" i="117"/>
  <c r="J161" i="118"/>
  <c r="K161" i="118"/>
  <c r="L161" i="118"/>
  <c r="M161" i="118"/>
  <c r="N161" i="118"/>
  <c r="O161" i="118"/>
  <c r="P161" i="118"/>
  <c r="Q161" i="118"/>
  <c r="R161" i="118"/>
  <c r="S161" i="118"/>
  <c r="T161" i="118"/>
  <c r="U161" i="118"/>
  <c r="V161" i="118"/>
  <c r="W161" i="118"/>
  <c r="X161" i="118"/>
  <c r="Y161" i="118"/>
  <c r="Z161" i="118"/>
  <c r="BK161" i="118"/>
  <c r="BL158" i="118"/>
  <c r="AC159" i="118"/>
  <c r="AF55" i="104"/>
  <c r="AE55" i="104"/>
  <c r="AH55" i="104"/>
  <c r="AK55" i="104"/>
  <c r="AL56" i="104"/>
  <c r="F56" i="104"/>
  <c r="AG53" i="118"/>
  <c r="AD53" i="118"/>
  <c r="AE54" i="118"/>
  <c r="AH53" i="117"/>
  <c r="AK53" i="117"/>
  <c r="AL54" i="117"/>
  <c r="F54" i="117"/>
  <c r="AB161" i="118"/>
  <c r="AF159" i="118"/>
  <c r="BL159" i="118"/>
  <c r="A164" i="118"/>
  <c r="BD163" i="118"/>
  <c r="I163" i="118"/>
  <c r="H163" i="118"/>
  <c r="BK162" i="118"/>
  <c r="J162" i="118"/>
  <c r="K162" i="118"/>
  <c r="L162" i="118"/>
  <c r="M162" i="118"/>
  <c r="N162" i="118"/>
  <c r="O162" i="118"/>
  <c r="P162" i="118"/>
  <c r="Q162" i="118"/>
  <c r="R162" i="118"/>
  <c r="S162" i="118"/>
  <c r="T162" i="118"/>
  <c r="U162" i="118"/>
  <c r="V162" i="118"/>
  <c r="W162" i="118"/>
  <c r="X162" i="118"/>
  <c r="Y162" i="118"/>
  <c r="Z162" i="118"/>
  <c r="AG55" i="104"/>
  <c r="AD55" i="104"/>
  <c r="AE56" i="104"/>
  <c r="AH56" i="104"/>
  <c r="AK56" i="104"/>
  <c r="AL57" i="104"/>
  <c r="F57" i="104"/>
  <c r="AH54" i="118"/>
  <c r="AK54" i="118"/>
  <c r="AL55" i="118"/>
  <c r="F55" i="118"/>
  <c r="AG54" i="118"/>
  <c r="AD53" i="117"/>
  <c r="AE54" i="117"/>
  <c r="AG54" i="117"/>
  <c r="AF56" i="104"/>
  <c r="AB162" i="118"/>
  <c r="AC161" i="118"/>
  <c r="J163" i="118"/>
  <c r="K163" i="118"/>
  <c r="L163" i="118"/>
  <c r="M163" i="118"/>
  <c r="N163" i="118"/>
  <c r="O163" i="118"/>
  <c r="P163" i="118"/>
  <c r="Q163" i="118"/>
  <c r="R163" i="118"/>
  <c r="S163" i="118"/>
  <c r="T163" i="118"/>
  <c r="U163" i="118"/>
  <c r="V163" i="118"/>
  <c r="W163" i="118"/>
  <c r="X163" i="118"/>
  <c r="Y163" i="118"/>
  <c r="Z163" i="118"/>
  <c r="BK163" i="118"/>
  <c r="BD164" i="118"/>
  <c r="A165" i="118"/>
  <c r="I164" i="118"/>
  <c r="H164" i="118"/>
  <c r="AC160" i="118"/>
  <c r="AD54" i="118"/>
  <c r="AE55" i="118"/>
  <c r="AG55" i="118"/>
  <c r="AH54" i="117"/>
  <c r="AD54" i="117"/>
  <c r="AG56" i="104"/>
  <c r="AD56" i="104"/>
  <c r="AB163" i="118"/>
  <c r="AC162" i="118"/>
  <c r="AF162" i="118"/>
  <c r="AF161" i="118"/>
  <c r="BL161" i="118"/>
  <c r="BK164" i="118"/>
  <c r="J164" i="118"/>
  <c r="K164" i="118"/>
  <c r="L164" i="118"/>
  <c r="M164" i="118"/>
  <c r="N164" i="118"/>
  <c r="O164" i="118"/>
  <c r="P164" i="118"/>
  <c r="Q164" i="118"/>
  <c r="R164" i="118"/>
  <c r="S164" i="118"/>
  <c r="T164" i="118"/>
  <c r="U164" i="118"/>
  <c r="V164" i="118"/>
  <c r="W164" i="118"/>
  <c r="X164" i="118"/>
  <c r="Y164" i="118"/>
  <c r="Z164" i="118"/>
  <c r="AF160" i="118"/>
  <c r="BL160" i="118"/>
  <c r="I165" i="118"/>
  <c r="A166" i="118"/>
  <c r="BD165" i="118"/>
  <c r="H165" i="118"/>
  <c r="AE55" i="117"/>
  <c r="AH55" i="117"/>
  <c r="AF55" i="117"/>
  <c r="AH55" i="118"/>
  <c r="AK55" i="118"/>
  <c r="AL56" i="118"/>
  <c r="F56" i="118"/>
  <c r="AK54" i="117"/>
  <c r="AL55" i="117"/>
  <c r="F55" i="117"/>
  <c r="AF57" i="104"/>
  <c r="AE57" i="104"/>
  <c r="AH57" i="104"/>
  <c r="AK57" i="104"/>
  <c r="AL58" i="104"/>
  <c r="F58" i="104"/>
  <c r="BL162" i="118"/>
  <c r="AB164" i="118"/>
  <c r="AC163" i="118"/>
  <c r="I166" i="118"/>
  <c r="A167" i="118"/>
  <c r="BD166" i="118"/>
  <c r="H166" i="118"/>
  <c r="J165" i="118"/>
  <c r="K165" i="118"/>
  <c r="L165" i="118"/>
  <c r="M165" i="118"/>
  <c r="N165" i="118"/>
  <c r="O165" i="118"/>
  <c r="P165" i="118"/>
  <c r="Q165" i="118"/>
  <c r="R165" i="118"/>
  <c r="S165" i="118"/>
  <c r="T165" i="118"/>
  <c r="U165" i="118"/>
  <c r="V165" i="118"/>
  <c r="W165" i="118"/>
  <c r="X165" i="118"/>
  <c r="Y165" i="118"/>
  <c r="Z165" i="118"/>
  <c r="BK165" i="118"/>
  <c r="AD55" i="118"/>
  <c r="AE56" i="118"/>
  <c r="AG56" i="118"/>
  <c r="AG55" i="117"/>
  <c r="AD55" i="117"/>
  <c r="AE56" i="117"/>
  <c r="AG56" i="117"/>
  <c r="AK55" i="117"/>
  <c r="AL56" i="117"/>
  <c r="F56" i="117"/>
  <c r="AG57" i="104"/>
  <c r="AD57" i="104"/>
  <c r="AB165" i="118"/>
  <c r="AC164" i="118"/>
  <c r="AF164" i="118"/>
  <c r="BK166" i="118"/>
  <c r="J166" i="118"/>
  <c r="K166" i="118"/>
  <c r="L166" i="118"/>
  <c r="M166" i="118"/>
  <c r="N166" i="118"/>
  <c r="O166" i="118"/>
  <c r="P166" i="118"/>
  <c r="Q166" i="118"/>
  <c r="R166" i="118"/>
  <c r="S166" i="118"/>
  <c r="T166" i="118"/>
  <c r="U166" i="118"/>
  <c r="V166" i="118"/>
  <c r="W166" i="118"/>
  <c r="X166" i="118"/>
  <c r="Y166" i="118"/>
  <c r="Z166" i="118"/>
  <c r="AF163" i="118"/>
  <c r="BL163" i="118"/>
  <c r="BD167" i="118"/>
  <c r="I167" i="118"/>
  <c r="A168" i="118"/>
  <c r="H167" i="118"/>
  <c r="AH56" i="118"/>
  <c r="AK56" i="118"/>
  <c r="AL57" i="118"/>
  <c r="F57" i="118"/>
  <c r="AH56" i="117"/>
  <c r="AD56" i="117"/>
  <c r="AF58" i="104"/>
  <c r="AE58" i="104"/>
  <c r="BL164" i="118"/>
  <c r="AB166" i="118"/>
  <c r="AC165" i="118"/>
  <c r="BK167" i="118"/>
  <c r="J167" i="118"/>
  <c r="K167" i="118"/>
  <c r="L167" i="118"/>
  <c r="M167" i="118"/>
  <c r="N167" i="118"/>
  <c r="O167" i="118"/>
  <c r="P167" i="118"/>
  <c r="Q167" i="118"/>
  <c r="R167" i="118"/>
  <c r="S167" i="118"/>
  <c r="T167" i="118"/>
  <c r="U167" i="118"/>
  <c r="V167" i="118"/>
  <c r="W167" i="118"/>
  <c r="X167" i="118"/>
  <c r="Y167" i="118"/>
  <c r="Z167" i="118"/>
  <c r="BD168" i="118"/>
  <c r="A169" i="118"/>
  <c r="I168" i="118"/>
  <c r="H168" i="118"/>
  <c r="AD56" i="118"/>
  <c r="AK56" i="117"/>
  <c r="AL57" i="117"/>
  <c r="F57" i="117"/>
  <c r="AE57" i="117"/>
  <c r="AH57" i="117"/>
  <c r="AF57" i="117"/>
  <c r="AG58" i="104"/>
  <c r="AH58" i="104"/>
  <c r="AK58" i="104"/>
  <c r="AL59" i="104"/>
  <c r="F59" i="104"/>
  <c r="AB167" i="118"/>
  <c r="AC166" i="118"/>
  <c r="AF166" i="118"/>
  <c r="BL165" i="118"/>
  <c r="AF165" i="118"/>
  <c r="J168" i="118"/>
  <c r="K168" i="118"/>
  <c r="L168" i="118"/>
  <c r="M168" i="118"/>
  <c r="N168" i="118"/>
  <c r="O168" i="118"/>
  <c r="P168" i="118"/>
  <c r="Q168" i="118"/>
  <c r="R168" i="118"/>
  <c r="S168" i="118"/>
  <c r="T168" i="118"/>
  <c r="U168" i="118"/>
  <c r="V168" i="118"/>
  <c r="W168" i="118"/>
  <c r="X168" i="118"/>
  <c r="Y168" i="118"/>
  <c r="Z168" i="118"/>
  <c r="BK168" i="118"/>
  <c r="I169" i="118"/>
  <c r="A170" i="118"/>
  <c r="BD169" i="118"/>
  <c r="H169" i="118"/>
  <c r="AE57" i="118"/>
  <c r="AF57" i="118"/>
  <c r="AK57" i="117"/>
  <c r="AL58" i="117"/>
  <c r="F58" i="117"/>
  <c r="AG57" i="117"/>
  <c r="AD57" i="117"/>
  <c r="AF58" i="117"/>
  <c r="AD58" i="104"/>
  <c r="BL166" i="118"/>
  <c r="AB168" i="118"/>
  <c r="AC167" i="118"/>
  <c r="J169" i="118"/>
  <c r="K169" i="118"/>
  <c r="L169" i="118"/>
  <c r="M169" i="118"/>
  <c r="N169" i="118"/>
  <c r="O169" i="118"/>
  <c r="P169" i="118"/>
  <c r="Q169" i="118"/>
  <c r="R169" i="118"/>
  <c r="S169" i="118"/>
  <c r="T169" i="118"/>
  <c r="U169" i="118"/>
  <c r="V169" i="118"/>
  <c r="W169" i="118"/>
  <c r="X169" i="118"/>
  <c r="Y169" i="118"/>
  <c r="Z169" i="118"/>
  <c r="AB169" i="118"/>
  <c r="BK169" i="118"/>
  <c r="I170" i="118"/>
  <c r="A171" i="118"/>
  <c r="BD170" i="118"/>
  <c r="H170" i="118"/>
  <c r="AG57" i="118"/>
  <c r="AH57" i="118"/>
  <c r="AK57" i="118"/>
  <c r="AL58" i="118"/>
  <c r="F58" i="118"/>
  <c r="AF59" i="104"/>
  <c r="AE59" i="104"/>
  <c r="AH59" i="104"/>
  <c r="AK59" i="104"/>
  <c r="AL60" i="104"/>
  <c r="F60" i="104"/>
  <c r="AE58" i="117"/>
  <c r="AG58" i="117"/>
  <c r="AC168" i="118"/>
  <c r="H171" i="118"/>
  <c r="I171" i="118"/>
  <c r="A172" i="118"/>
  <c r="BD171" i="118"/>
  <c r="BK170" i="118"/>
  <c r="J170" i="118"/>
  <c r="K170" i="118"/>
  <c r="L170" i="118"/>
  <c r="M170" i="118"/>
  <c r="N170" i="118"/>
  <c r="O170" i="118"/>
  <c r="P170" i="118"/>
  <c r="Q170" i="118"/>
  <c r="R170" i="118"/>
  <c r="S170" i="118"/>
  <c r="T170" i="118"/>
  <c r="U170" i="118"/>
  <c r="V170" i="118"/>
  <c r="W170" i="118"/>
  <c r="X170" i="118"/>
  <c r="Y170" i="118"/>
  <c r="Z170" i="118"/>
  <c r="BL167" i="118"/>
  <c r="AF167" i="118"/>
  <c r="AD57" i="118"/>
  <c r="AG59" i="104"/>
  <c r="AD59" i="104"/>
  <c r="AE60" i="104"/>
  <c r="AH58" i="117"/>
  <c r="AK58" i="117"/>
  <c r="BL168" i="118"/>
  <c r="AF168" i="118"/>
  <c r="AB170" i="118"/>
  <c r="I172" i="118"/>
  <c r="A173" i="118"/>
  <c r="BD172" i="118"/>
  <c r="H172" i="118"/>
  <c r="BK171" i="118"/>
  <c r="J171" i="118"/>
  <c r="K171" i="118"/>
  <c r="L171" i="118"/>
  <c r="M171" i="118"/>
  <c r="N171" i="118"/>
  <c r="O171" i="118"/>
  <c r="P171" i="118"/>
  <c r="Q171" i="118"/>
  <c r="R171" i="118"/>
  <c r="S171" i="118"/>
  <c r="T171" i="118"/>
  <c r="U171" i="118"/>
  <c r="V171" i="118"/>
  <c r="W171" i="118"/>
  <c r="X171" i="118"/>
  <c r="Y171" i="118"/>
  <c r="Z171" i="118"/>
  <c r="AE58" i="118"/>
  <c r="AH58" i="118"/>
  <c r="AK58" i="118"/>
  <c r="AL59" i="118"/>
  <c r="F59" i="118"/>
  <c r="AF58" i="118"/>
  <c r="AD58" i="117"/>
  <c r="AF59" i="117"/>
  <c r="AF60" i="104"/>
  <c r="AG60" i="104"/>
  <c r="AH60" i="104"/>
  <c r="AL59" i="117"/>
  <c r="F59" i="117"/>
  <c r="AB171" i="118"/>
  <c r="AC170" i="118"/>
  <c r="AC169" i="118"/>
  <c r="A174" i="118"/>
  <c r="BD173" i="118"/>
  <c r="I173" i="118"/>
  <c r="H173" i="118"/>
  <c r="BK172" i="118"/>
  <c r="J172" i="118"/>
  <c r="K172" i="118"/>
  <c r="L172" i="118"/>
  <c r="M172" i="118"/>
  <c r="N172" i="118"/>
  <c r="O172" i="118"/>
  <c r="P172" i="118"/>
  <c r="Q172" i="118"/>
  <c r="R172" i="118"/>
  <c r="S172" i="118"/>
  <c r="T172" i="118"/>
  <c r="U172" i="118"/>
  <c r="V172" i="118"/>
  <c r="W172" i="118"/>
  <c r="X172" i="118"/>
  <c r="Y172" i="118"/>
  <c r="Z172" i="118"/>
  <c r="AE59" i="117"/>
  <c r="AG59" i="117"/>
  <c r="AG58" i="118"/>
  <c r="AD58" i="118"/>
  <c r="AK60" i="104"/>
  <c r="AL61" i="104"/>
  <c r="F61" i="104"/>
  <c r="AD60" i="104"/>
  <c r="AB172" i="118"/>
  <c r="AC171" i="118"/>
  <c r="I174" i="118"/>
  <c r="A175" i="118"/>
  <c r="BD174" i="118"/>
  <c r="H174" i="118"/>
  <c r="BL170" i="118"/>
  <c r="AF170" i="118"/>
  <c r="BK173" i="118"/>
  <c r="J173" i="118"/>
  <c r="K173" i="118"/>
  <c r="L173" i="118"/>
  <c r="M173" i="118"/>
  <c r="N173" i="118"/>
  <c r="O173" i="118"/>
  <c r="P173" i="118"/>
  <c r="Q173" i="118"/>
  <c r="R173" i="118"/>
  <c r="S173" i="118"/>
  <c r="T173" i="118"/>
  <c r="U173" i="118"/>
  <c r="V173" i="118"/>
  <c r="W173" i="118"/>
  <c r="X173" i="118"/>
  <c r="Y173" i="118"/>
  <c r="Z173" i="118"/>
  <c r="AF169" i="118"/>
  <c r="BL169" i="118"/>
  <c r="AH59" i="117"/>
  <c r="AD59" i="117"/>
  <c r="AF59" i="118"/>
  <c r="AE59" i="118"/>
  <c r="AF61" i="104"/>
  <c r="AE61" i="104"/>
  <c r="AH61" i="104"/>
  <c r="AK61" i="104"/>
  <c r="AL62" i="104"/>
  <c r="F62" i="104"/>
  <c r="F17" i="104"/>
  <c r="C17" i="104"/>
  <c r="BD175" i="118"/>
  <c r="I175" i="118"/>
  <c r="H175" i="118"/>
  <c r="A176" i="118"/>
  <c r="BK174" i="118"/>
  <c r="J174" i="118"/>
  <c r="K174" i="118"/>
  <c r="L174" i="118"/>
  <c r="M174" i="118"/>
  <c r="N174" i="118"/>
  <c r="O174" i="118"/>
  <c r="P174" i="118"/>
  <c r="Q174" i="118"/>
  <c r="R174" i="118"/>
  <c r="S174" i="118"/>
  <c r="T174" i="118"/>
  <c r="U174" i="118"/>
  <c r="V174" i="118"/>
  <c r="W174" i="118"/>
  <c r="X174" i="118"/>
  <c r="Y174" i="118"/>
  <c r="Z174" i="118"/>
  <c r="AB173" i="118"/>
  <c r="AF171" i="118"/>
  <c r="BL171" i="118"/>
  <c r="AK59" i="117"/>
  <c r="AL60" i="117"/>
  <c r="F60" i="117"/>
  <c r="AF60" i="117"/>
  <c r="AE60" i="117"/>
  <c r="AH60" i="117"/>
  <c r="AG59" i="118"/>
  <c r="AH59" i="118"/>
  <c r="F19" i="104"/>
  <c r="C19" i="104"/>
  <c r="AG61" i="104"/>
  <c r="AD61" i="104"/>
  <c r="AC172" i="118"/>
  <c r="A177" i="118"/>
  <c r="BD176" i="118"/>
  <c r="I176" i="118"/>
  <c r="H176" i="118"/>
  <c r="AB174" i="118"/>
  <c r="J175" i="118"/>
  <c r="K175" i="118"/>
  <c r="L175" i="118"/>
  <c r="M175" i="118"/>
  <c r="N175" i="118"/>
  <c r="O175" i="118"/>
  <c r="P175" i="118"/>
  <c r="Q175" i="118"/>
  <c r="R175" i="118"/>
  <c r="S175" i="118"/>
  <c r="T175" i="118"/>
  <c r="U175" i="118"/>
  <c r="V175" i="118"/>
  <c r="W175" i="118"/>
  <c r="X175" i="118"/>
  <c r="Y175" i="118"/>
  <c r="Z175" i="118"/>
  <c r="BK175" i="118"/>
  <c r="AK60" i="117"/>
  <c r="AL61" i="117"/>
  <c r="F61" i="117"/>
  <c r="AG60" i="117"/>
  <c r="AD60" i="117"/>
  <c r="AF61" i="117"/>
  <c r="AK59" i="118"/>
  <c r="AL60" i="118"/>
  <c r="F60" i="118"/>
  <c r="AD59" i="118"/>
  <c r="AF62" i="104"/>
  <c r="AE62" i="104"/>
  <c r="AH62" i="104"/>
  <c r="AK62" i="104"/>
  <c r="AL63" i="104"/>
  <c r="AL19" i="104"/>
  <c r="AB175" i="118"/>
  <c r="AC174" i="118"/>
  <c r="BL172" i="118"/>
  <c r="AF172" i="118"/>
  <c r="A178" i="118"/>
  <c r="I177" i="118"/>
  <c r="BD177" i="118"/>
  <c r="H177" i="118"/>
  <c r="AC173" i="118"/>
  <c r="BK176" i="118"/>
  <c r="J176" i="118"/>
  <c r="K176" i="118"/>
  <c r="L176" i="118"/>
  <c r="M176" i="118"/>
  <c r="N176" i="118"/>
  <c r="O176" i="118"/>
  <c r="P176" i="118"/>
  <c r="Q176" i="118"/>
  <c r="R176" i="118"/>
  <c r="S176" i="118"/>
  <c r="T176" i="118"/>
  <c r="U176" i="118"/>
  <c r="V176" i="118"/>
  <c r="W176" i="118"/>
  <c r="X176" i="118"/>
  <c r="Y176" i="118"/>
  <c r="Z176" i="118"/>
  <c r="AF60" i="118"/>
  <c r="AE60" i="118"/>
  <c r="AE61" i="117"/>
  <c r="AG61" i="117"/>
  <c r="AF19" i="104"/>
  <c r="AG62" i="104"/>
  <c r="AD62" i="104"/>
  <c r="AE63" i="104"/>
  <c r="AB176" i="118"/>
  <c r="BL174" i="118"/>
  <c r="AF174" i="118"/>
  <c r="J177" i="118"/>
  <c r="K177" i="118"/>
  <c r="L177" i="118"/>
  <c r="M177" i="118"/>
  <c r="N177" i="118"/>
  <c r="O177" i="118"/>
  <c r="P177" i="118"/>
  <c r="Q177" i="118"/>
  <c r="R177" i="118"/>
  <c r="S177" i="118"/>
  <c r="T177" i="118"/>
  <c r="U177" i="118"/>
  <c r="V177" i="118"/>
  <c r="W177" i="118"/>
  <c r="X177" i="118"/>
  <c r="Y177" i="118"/>
  <c r="Z177" i="118"/>
  <c r="BK177" i="118"/>
  <c r="AF173" i="118"/>
  <c r="BL173" i="118"/>
  <c r="I178" i="118"/>
  <c r="BD178" i="118"/>
  <c r="A179" i="118"/>
  <c r="H178" i="118"/>
  <c r="AH61" i="117"/>
  <c r="AK61" i="117"/>
  <c r="AL62" i="117"/>
  <c r="F62" i="117"/>
  <c r="AG60" i="118"/>
  <c r="AH60" i="118"/>
  <c r="AK60" i="118"/>
  <c r="AL61" i="118"/>
  <c r="F61" i="118"/>
  <c r="AH63" i="104"/>
  <c r="AK63" i="104"/>
  <c r="AK19" i="104"/>
  <c r="AG63" i="104"/>
  <c r="AE19" i="104"/>
  <c r="AB177" i="118"/>
  <c r="AC176" i="118"/>
  <c r="A180" i="118"/>
  <c r="BD179" i="118"/>
  <c r="I179" i="118"/>
  <c r="H179" i="118"/>
  <c r="AC175" i="118"/>
  <c r="BK178" i="118"/>
  <c r="J178" i="118"/>
  <c r="K178" i="118"/>
  <c r="L178" i="118"/>
  <c r="M178" i="118"/>
  <c r="N178" i="118"/>
  <c r="O178" i="118"/>
  <c r="P178" i="118"/>
  <c r="Q178" i="118"/>
  <c r="R178" i="118"/>
  <c r="S178" i="118"/>
  <c r="T178" i="118"/>
  <c r="U178" i="118"/>
  <c r="V178" i="118"/>
  <c r="W178" i="118"/>
  <c r="X178" i="118"/>
  <c r="Y178" i="118"/>
  <c r="Z178" i="118"/>
  <c r="AD61" i="117"/>
  <c r="AF62" i="117"/>
  <c r="AD60" i="118"/>
  <c r="AH19" i="104"/>
  <c r="AG19" i="104"/>
  <c r="AD63" i="104"/>
  <c r="AD19" i="104"/>
  <c r="AB178" i="118"/>
  <c r="AC177" i="118"/>
  <c r="AF176" i="118"/>
  <c r="BL176" i="118"/>
  <c r="BD180" i="118"/>
  <c r="H180" i="118"/>
  <c r="I180" i="118"/>
  <c r="A181" i="118"/>
  <c r="AF175" i="118"/>
  <c r="BL175" i="118"/>
  <c r="J179" i="118"/>
  <c r="K179" i="118"/>
  <c r="L179" i="118"/>
  <c r="M179" i="118"/>
  <c r="N179" i="118"/>
  <c r="O179" i="118"/>
  <c r="P179" i="118"/>
  <c r="Q179" i="118"/>
  <c r="R179" i="118"/>
  <c r="S179" i="118"/>
  <c r="T179" i="118"/>
  <c r="U179" i="118"/>
  <c r="V179" i="118"/>
  <c r="W179" i="118"/>
  <c r="X179" i="118"/>
  <c r="Y179" i="118"/>
  <c r="Z179" i="118"/>
  <c r="BK179" i="118"/>
  <c r="AE62" i="117"/>
  <c r="AG62" i="117"/>
  <c r="AF61" i="118"/>
  <c r="AE61" i="118"/>
  <c r="AF177" i="118"/>
  <c r="BL177" i="118"/>
  <c r="AB179" i="118"/>
  <c r="BD181" i="118"/>
  <c r="I181" i="118"/>
  <c r="H181" i="118"/>
  <c r="A182" i="118"/>
  <c r="BK180" i="118"/>
  <c r="J180" i="118"/>
  <c r="K180" i="118"/>
  <c r="L180" i="118"/>
  <c r="M180" i="118"/>
  <c r="N180" i="118"/>
  <c r="O180" i="118"/>
  <c r="P180" i="118"/>
  <c r="Q180" i="118"/>
  <c r="R180" i="118"/>
  <c r="S180" i="118"/>
  <c r="T180" i="118"/>
  <c r="U180" i="118"/>
  <c r="V180" i="118"/>
  <c r="W180" i="118"/>
  <c r="X180" i="118"/>
  <c r="Y180" i="118"/>
  <c r="Z180" i="118"/>
  <c r="AH62" i="117"/>
  <c r="AK62" i="117"/>
  <c r="AL63" i="117"/>
  <c r="F63" i="117"/>
  <c r="AG61" i="118"/>
  <c r="AH61" i="118"/>
  <c r="AK61" i="118"/>
  <c r="AL62" i="118"/>
  <c r="F62" i="118"/>
  <c r="AB180" i="118"/>
  <c r="AC179" i="118"/>
  <c r="BK181" i="118"/>
  <c r="J181" i="118"/>
  <c r="K181" i="118"/>
  <c r="L181" i="118"/>
  <c r="M181" i="118"/>
  <c r="N181" i="118"/>
  <c r="O181" i="118"/>
  <c r="P181" i="118"/>
  <c r="Q181" i="118"/>
  <c r="R181" i="118"/>
  <c r="S181" i="118"/>
  <c r="T181" i="118"/>
  <c r="U181" i="118"/>
  <c r="V181" i="118"/>
  <c r="W181" i="118"/>
  <c r="X181" i="118"/>
  <c r="Y181" i="118"/>
  <c r="Z181" i="118"/>
  <c r="I182" i="118"/>
  <c r="A183" i="118"/>
  <c r="BD182" i="118"/>
  <c r="H182" i="118"/>
  <c r="AC178" i="118"/>
  <c r="AD62" i="117"/>
  <c r="AE63" i="117"/>
  <c r="AH63" i="117"/>
  <c r="AK63" i="117"/>
  <c r="AL64" i="117"/>
  <c r="F64" i="117"/>
  <c r="AD61" i="118"/>
  <c r="AB181" i="118"/>
  <c r="AC180" i="118"/>
  <c r="BL180" i="118"/>
  <c r="BL178" i="118"/>
  <c r="AF178" i="118"/>
  <c r="BL179" i="118"/>
  <c r="AF179" i="118"/>
  <c r="BD183" i="118"/>
  <c r="I183" i="118"/>
  <c r="H183" i="118"/>
  <c r="A184" i="118"/>
  <c r="BK182" i="118"/>
  <c r="J182" i="118"/>
  <c r="K182" i="118"/>
  <c r="L182" i="118"/>
  <c r="M182" i="118"/>
  <c r="N182" i="118"/>
  <c r="O182" i="118"/>
  <c r="P182" i="118"/>
  <c r="Q182" i="118"/>
  <c r="R182" i="118"/>
  <c r="S182" i="118"/>
  <c r="T182" i="118"/>
  <c r="U182" i="118"/>
  <c r="V182" i="118"/>
  <c r="W182" i="118"/>
  <c r="X182" i="118"/>
  <c r="Y182" i="118"/>
  <c r="Z182" i="118"/>
  <c r="AF63" i="117"/>
  <c r="AE62" i="118"/>
  <c r="AH62" i="118"/>
  <c r="AK62" i="118"/>
  <c r="AL63" i="118"/>
  <c r="F63" i="118"/>
  <c r="AF62" i="118"/>
  <c r="AF180" i="118"/>
  <c r="I184" i="118"/>
  <c r="H184" i="118"/>
  <c r="A185" i="118"/>
  <c r="BD184" i="118"/>
  <c r="AB182" i="118"/>
  <c r="BK183" i="118"/>
  <c r="J183" i="118"/>
  <c r="K183" i="118"/>
  <c r="L183" i="118"/>
  <c r="M183" i="118"/>
  <c r="N183" i="118"/>
  <c r="O183" i="118"/>
  <c r="P183" i="118"/>
  <c r="Q183" i="118"/>
  <c r="R183" i="118"/>
  <c r="S183" i="118"/>
  <c r="T183" i="118"/>
  <c r="U183" i="118"/>
  <c r="V183" i="118"/>
  <c r="W183" i="118"/>
  <c r="X183" i="118"/>
  <c r="Y183" i="118"/>
  <c r="Z183" i="118"/>
  <c r="AG63" i="117"/>
  <c r="AD63" i="117"/>
  <c r="AE64" i="117"/>
  <c r="AH64" i="117"/>
  <c r="AK64" i="117"/>
  <c r="AL65" i="117"/>
  <c r="F65" i="117"/>
  <c r="AG62" i="118"/>
  <c r="AD62" i="118"/>
  <c r="AB183" i="118"/>
  <c r="AC182" i="118"/>
  <c r="A186" i="118"/>
  <c r="I185" i="118"/>
  <c r="BD185" i="118"/>
  <c r="H185" i="118"/>
  <c r="AC181" i="118"/>
  <c r="BK184" i="118"/>
  <c r="J184" i="118"/>
  <c r="K184" i="118"/>
  <c r="L184" i="118"/>
  <c r="M184" i="118"/>
  <c r="N184" i="118"/>
  <c r="O184" i="118"/>
  <c r="P184" i="118"/>
  <c r="Q184" i="118"/>
  <c r="R184" i="118"/>
  <c r="S184" i="118"/>
  <c r="T184" i="118"/>
  <c r="U184" i="118"/>
  <c r="V184" i="118"/>
  <c r="W184" i="118"/>
  <c r="X184" i="118"/>
  <c r="Y184" i="118"/>
  <c r="Z184" i="118"/>
  <c r="AF64" i="117"/>
  <c r="AE63" i="118"/>
  <c r="AH63" i="118"/>
  <c r="AK63" i="118"/>
  <c r="AL64" i="118"/>
  <c r="F64" i="118"/>
  <c r="AF63" i="118"/>
  <c r="AG63" i="118"/>
  <c r="AB184" i="118"/>
  <c r="AC183" i="118"/>
  <c r="J185" i="118"/>
  <c r="K185" i="118"/>
  <c r="L185" i="118"/>
  <c r="M185" i="118"/>
  <c r="N185" i="118"/>
  <c r="O185" i="118"/>
  <c r="P185" i="118"/>
  <c r="Q185" i="118"/>
  <c r="R185" i="118"/>
  <c r="S185" i="118"/>
  <c r="T185" i="118"/>
  <c r="U185" i="118"/>
  <c r="V185" i="118"/>
  <c r="W185" i="118"/>
  <c r="X185" i="118"/>
  <c r="Y185" i="118"/>
  <c r="Z185" i="118"/>
  <c r="BK185" i="118"/>
  <c r="H186" i="118"/>
  <c r="BD186" i="118"/>
  <c r="I186" i="118"/>
  <c r="A187" i="118"/>
  <c r="BL182" i="118"/>
  <c r="AF182" i="118"/>
  <c r="AF181" i="118"/>
  <c r="BL181" i="118"/>
  <c r="AG64" i="117"/>
  <c r="AD64" i="117"/>
  <c r="AF65" i="117"/>
  <c r="AD63" i="118"/>
  <c r="AB185" i="118"/>
  <c r="AC184" i="118"/>
  <c r="AF184" i="118"/>
  <c r="BK186" i="118"/>
  <c r="J186" i="118"/>
  <c r="K186" i="118"/>
  <c r="L186" i="118"/>
  <c r="M186" i="118"/>
  <c r="N186" i="118"/>
  <c r="O186" i="118"/>
  <c r="P186" i="118"/>
  <c r="Q186" i="118"/>
  <c r="R186" i="118"/>
  <c r="S186" i="118"/>
  <c r="T186" i="118"/>
  <c r="U186" i="118"/>
  <c r="V186" i="118"/>
  <c r="W186" i="118"/>
  <c r="X186" i="118"/>
  <c r="Y186" i="118"/>
  <c r="Z186" i="118"/>
  <c r="AF183" i="118"/>
  <c r="BL183" i="118"/>
  <c r="H187" i="118"/>
  <c r="A188" i="118"/>
  <c r="I187" i="118"/>
  <c r="BD187" i="118"/>
  <c r="AE65" i="117"/>
  <c r="AH65" i="117"/>
  <c r="AK65" i="117"/>
  <c r="AL66" i="117"/>
  <c r="F66" i="117"/>
  <c r="AF64" i="118"/>
  <c r="AE64" i="118"/>
  <c r="AG65" i="117"/>
  <c r="BL184" i="118"/>
  <c r="AB186" i="118"/>
  <c r="AC185" i="118"/>
  <c r="J187" i="118"/>
  <c r="K187" i="118"/>
  <c r="L187" i="118"/>
  <c r="M187" i="118"/>
  <c r="N187" i="118"/>
  <c r="O187" i="118"/>
  <c r="P187" i="118"/>
  <c r="Q187" i="118"/>
  <c r="R187" i="118"/>
  <c r="S187" i="118"/>
  <c r="T187" i="118"/>
  <c r="U187" i="118"/>
  <c r="V187" i="118"/>
  <c r="W187" i="118"/>
  <c r="X187" i="118"/>
  <c r="Y187" i="118"/>
  <c r="Z187" i="118"/>
  <c r="BK187" i="118"/>
  <c r="A189" i="118"/>
  <c r="H188" i="118"/>
  <c r="I188" i="118"/>
  <c r="BD188" i="118"/>
  <c r="AD65" i="117"/>
  <c r="AF66" i="117"/>
  <c r="AG64" i="118"/>
  <c r="AH64" i="118"/>
  <c r="AK64" i="118"/>
  <c r="AL65" i="118"/>
  <c r="F65" i="118"/>
  <c r="BK188" i="118"/>
  <c r="J188" i="118"/>
  <c r="K188" i="118"/>
  <c r="L188" i="118"/>
  <c r="M188" i="118"/>
  <c r="N188" i="118"/>
  <c r="O188" i="118"/>
  <c r="P188" i="118"/>
  <c r="Q188" i="118"/>
  <c r="R188" i="118"/>
  <c r="S188" i="118"/>
  <c r="T188" i="118"/>
  <c r="U188" i="118"/>
  <c r="V188" i="118"/>
  <c r="W188" i="118"/>
  <c r="X188" i="118"/>
  <c r="Y188" i="118"/>
  <c r="Z188" i="118"/>
  <c r="H189" i="118"/>
  <c r="I189" i="118"/>
  <c r="A190" i="118"/>
  <c r="BD189" i="118"/>
  <c r="AF185" i="118"/>
  <c r="BL185" i="118"/>
  <c r="AB187" i="118"/>
  <c r="AE66" i="117"/>
  <c r="AH66" i="117"/>
  <c r="AK66" i="117"/>
  <c r="AL67" i="117"/>
  <c r="F67" i="117"/>
  <c r="AD64" i="118"/>
  <c r="AE65" i="118"/>
  <c r="AH65" i="118"/>
  <c r="AK65" i="118"/>
  <c r="AL66" i="118"/>
  <c r="F66" i="118"/>
  <c r="AG66" i="117"/>
  <c r="AB188" i="118"/>
  <c r="AC187" i="118"/>
  <c r="AC186" i="118"/>
  <c r="I190" i="118"/>
  <c r="A191" i="118"/>
  <c r="H190" i="118"/>
  <c r="BD190" i="118"/>
  <c r="BK189" i="118"/>
  <c r="J189" i="118"/>
  <c r="K189" i="118"/>
  <c r="L189" i="118"/>
  <c r="M189" i="118"/>
  <c r="N189" i="118"/>
  <c r="O189" i="118"/>
  <c r="P189" i="118"/>
  <c r="Q189" i="118"/>
  <c r="R189" i="118"/>
  <c r="S189" i="118"/>
  <c r="T189" i="118"/>
  <c r="U189" i="118"/>
  <c r="V189" i="118"/>
  <c r="W189" i="118"/>
  <c r="X189" i="118"/>
  <c r="Y189" i="118"/>
  <c r="Z189" i="118"/>
  <c r="AF65" i="118"/>
  <c r="AD66" i="117"/>
  <c r="AF67" i="117"/>
  <c r="F17" i="117"/>
  <c r="C17" i="117"/>
  <c r="F19" i="117"/>
  <c r="AB189" i="118"/>
  <c r="AC188" i="118"/>
  <c r="H191" i="118"/>
  <c r="A192" i="118"/>
  <c r="I191" i="118"/>
  <c r="BD191" i="118"/>
  <c r="J190" i="118"/>
  <c r="K190" i="118"/>
  <c r="L190" i="118"/>
  <c r="M190" i="118"/>
  <c r="N190" i="118"/>
  <c r="O190" i="118"/>
  <c r="P190" i="118"/>
  <c r="Q190" i="118"/>
  <c r="R190" i="118"/>
  <c r="S190" i="118"/>
  <c r="T190" i="118"/>
  <c r="U190" i="118"/>
  <c r="V190" i="118"/>
  <c r="W190" i="118"/>
  <c r="X190" i="118"/>
  <c r="Y190" i="118"/>
  <c r="Z190" i="118"/>
  <c r="BK190" i="118"/>
  <c r="AF186" i="118"/>
  <c r="BL186" i="118"/>
  <c r="AF187" i="118"/>
  <c r="BL187" i="118"/>
  <c r="AE67" i="117"/>
  <c r="AH67" i="117"/>
  <c r="AK67" i="117"/>
  <c r="AL68" i="117"/>
  <c r="AL19" i="117"/>
  <c r="AG65" i="118"/>
  <c r="AD65" i="118"/>
  <c r="AF66" i="118"/>
  <c r="AG66" i="118"/>
  <c r="AG67" i="117"/>
  <c r="AW29" i="117"/>
  <c r="AZ29" i="117"/>
  <c r="AW37" i="117"/>
  <c r="AZ37" i="117"/>
  <c r="AW34" i="117"/>
  <c r="AZ34" i="117"/>
  <c r="AW26" i="117"/>
  <c r="AZ26" i="117"/>
  <c r="AW35" i="117"/>
  <c r="AZ35" i="117"/>
  <c r="AW27" i="117"/>
  <c r="AZ27" i="117"/>
  <c r="AW36" i="117"/>
  <c r="AZ36" i="117"/>
  <c r="AW28" i="117"/>
  <c r="AZ28" i="117"/>
  <c r="AW42" i="117"/>
  <c r="AZ42" i="117"/>
  <c r="AW33" i="117"/>
  <c r="AZ33" i="117"/>
  <c r="AW43" i="117"/>
  <c r="AZ43" i="117"/>
  <c r="AW38" i="117"/>
  <c r="AZ38" i="117"/>
  <c r="AW44" i="117"/>
  <c r="AZ44" i="117"/>
  <c r="AW39" i="117"/>
  <c r="AZ39" i="117"/>
  <c r="AW45" i="117"/>
  <c r="AZ45" i="117"/>
  <c r="AW24" i="117"/>
  <c r="AW46" i="117"/>
  <c r="AZ46" i="117"/>
  <c r="AW25" i="117"/>
  <c r="AZ25" i="117"/>
  <c r="AW47" i="117"/>
  <c r="AZ47" i="117"/>
  <c r="AW41" i="117"/>
  <c r="AZ41" i="117"/>
  <c r="AW48" i="117"/>
  <c r="AZ48" i="117"/>
  <c r="AW30" i="117"/>
  <c r="AZ30" i="117"/>
  <c r="AW49" i="117"/>
  <c r="AZ49" i="117"/>
  <c r="AW31" i="117"/>
  <c r="AZ31" i="117"/>
  <c r="AW50" i="117"/>
  <c r="AZ50" i="117"/>
  <c r="AW32" i="117"/>
  <c r="AZ32" i="117"/>
  <c r="AW51" i="117"/>
  <c r="AZ51" i="117"/>
  <c r="C19" i="117"/>
  <c r="AW52" i="117"/>
  <c r="AZ52" i="117"/>
  <c r="AW40" i="117"/>
  <c r="AZ40" i="117"/>
  <c r="AB190" i="118"/>
  <c r="AC189" i="118"/>
  <c r="J191" i="118"/>
  <c r="K191" i="118"/>
  <c r="L191" i="118"/>
  <c r="M191" i="118"/>
  <c r="N191" i="118"/>
  <c r="O191" i="118"/>
  <c r="P191" i="118"/>
  <c r="Q191" i="118"/>
  <c r="R191" i="118"/>
  <c r="S191" i="118"/>
  <c r="T191" i="118"/>
  <c r="U191" i="118"/>
  <c r="V191" i="118"/>
  <c r="W191" i="118"/>
  <c r="X191" i="118"/>
  <c r="Y191" i="118"/>
  <c r="Z191" i="118"/>
  <c r="BK191" i="118"/>
  <c r="H192" i="118"/>
  <c r="BD192" i="118"/>
  <c r="I192" i="118"/>
  <c r="A193" i="118"/>
  <c r="AF188" i="118"/>
  <c r="BL188" i="118"/>
  <c r="AD67" i="117"/>
  <c r="AF68" i="117"/>
  <c r="AF19" i="117"/>
  <c r="AE66" i="118"/>
  <c r="AH66" i="118"/>
  <c r="AK66" i="118"/>
  <c r="AL67" i="118"/>
  <c r="F67" i="118"/>
  <c r="AW22" i="117"/>
  <c r="AZ24" i="117"/>
  <c r="AZ22" i="117"/>
  <c r="AZ20" i="117"/>
  <c r="C3" i="117"/>
  <c r="AB191" i="118"/>
  <c r="AC190" i="118"/>
  <c r="AF189" i="118"/>
  <c r="BL189" i="118"/>
  <c r="H193" i="118"/>
  <c r="A194" i="118"/>
  <c r="I193" i="118"/>
  <c r="BD193" i="118"/>
  <c r="BK192" i="118"/>
  <c r="J192" i="118"/>
  <c r="K192" i="118"/>
  <c r="L192" i="118"/>
  <c r="M192" i="118"/>
  <c r="N192" i="118"/>
  <c r="O192" i="118"/>
  <c r="P192" i="118"/>
  <c r="Q192" i="118"/>
  <c r="R192" i="118"/>
  <c r="S192" i="118"/>
  <c r="T192" i="118"/>
  <c r="U192" i="118"/>
  <c r="V192" i="118"/>
  <c r="W192" i="118"/>
  <c r="X192" i="118"/>
  <c r="Y192" i="118"/>
  <c r="Z192" i="118"/>
  <c r="AE68" i="117"/>
  <c r="AE19" i="117"/>
  <c r="AG68" i="117"/>
  <c r="AG19" i="117"/>
  <c r="AD66" i="118"/>
  <c r="AB192" i="118"/>
  <c r="AC191" i="118"/>
  <c r="J193" i="118"/>
  <c r="K193" i="118"/>
  <c r="L193" i="118"/>
  <c r="M193" i="118"/>
  <c r="N193" i="118"/>
  <c r="O193" i="118"/>
  <c r="P193" i="118"/>
  <c r="Q193" i="118"/>
  <c r="R193" i="118"/>
  <c r="S193" i="118"/>
  <c r="T193" i="118"/>
  <c r="U193" i="118"/>
  <c r="V193" i="118"/>
  <c r="W193" i="118"/>
  <c r="X193" i="118"/>
  <c r="Y193" i="118"/>
  <c r="Z193" i="118"/>
  <c r="BK193" i="118"/>
  <c r="H194" i="118"/>
  <c r="BD194" i="118"/>
  <c r="I194" i="118"/>
  <c r="A195" i="118"/>
  <c r="AF190" i="118"/>
  <c r="BL190" i="118"/>
  <c r="AH68" i="117"/>
  <c r="AH19" i="117"/>
  <c r="AF67" i="118"/>
  <c r="AE67" i="118"/>
  <c r="AH67" i="118"/>
  <c r="AK67" i="118"/>
  <c r="AL68" i="118"/>
  <c r="AB193" i="118"/>
  <c r="AC192" i="118"/>
  <c r="BL191" i="118"/>
  <c r="AF191" i="118"/>
  <c r="H195" i="118"/>
  <c r="A196" i="118"/>
  <c r="I195" i="118"/>
  <c r="BD195" i="118"/>
  <c r="BK194" i="118"/>
  <c r="J194" i="118"/>
  <c r="K194" i="118"/>
  <c r="L194" i="118"/>
  <c r="M194" i="118"/>
  <c r="N194" i="118"/>
  <c r="O194" i="118"/>
  <c r="P194" i="118"/>
  <c r="Q194" i="118"/>
  <c r="R194" i="118"/>
  <c r="S194" i="118"/>
  <c r="T194" i="118"/>
  <c r="U194" i="118"/>
  <c r="V194" i="118"/>
  <c r="W194" i="118"/>
  <c r="X194" i="118"/>
  <c r="Y194" i="118"/>
  <c r="Z194" i="118"/>
  <c r="AK68" i="117"/>
  <c r="AK19" i="117"/>
  <c r="AD68" i="117"/>
  <c r="AD19" i="117"/>
  <c r="AL19" i="118"/>
  <c r="F68" i="118"/>
  <c r="AG67" i="118"/>
  <c r="AD67" i="118"/>
  <c r="AB194" i="118"/>
  <c r="J195" i="118"/>
  <c r="K195" i="118"/>
  <c r="L195" i="118"/>
  <c r="M195" i="118"/>
  <c r="N195" i="118"/>
  <c r="O195" i="118"/>
  <c r="P195" i="118"/>
  <c r="Q195" i="118"/>
  <c r="R195" i="118"/>
  <c r="S195" i="118"/>
  <c r="T195" i="118"/>
  <c r="U195" i="118"/>
  <c r="V195" i="118"/>
  <c r="W195" i="118"/>
  <c r="X195" i="118"/>
  <c r="Y195" i="118"/>
  <c r="Z195" i="118"/>
  <c r="BK195" i="118"/>
  <c r="H196" i="118"/>
  <c r="BD196" i="118"/>
  <c r="I196" i="118"/>
  <c r="A197" i="118"/>
  <c r="AF192" i="118"/>
  <c r="BL192" i="118"/>
  <c r="AF68" i="118"/>
  <c r="AE68" i="118"/>
  <c r="F17" i="118"/>
  <c r="C17" i="118"/>
  <c r="F19" i="118"/>
  <c r="AB195" i="118"/>
  <c r="AC194" i="118"/>
  <c r="A198" i="118"/>
  <c r="I197" i="118"/>
  <c r="BD197" i="118"/>
  <c r="H197" i="118"/>
  <c r="BK196" i="118"/>
  <c r="J196" i="118"/>
  <c r="K196" i="118"/>
  <c r="L196" i="118"/>
  <c r="M196" i="118"/>
  <c r="N196" i="118"/>
  <c r="O196" i="118"/>
  <c r="P196" i="118"/>
  <c r="Q196" i="118"/>
  <c r="R196" i="118"/>
  <c r="S196" i="118"/>
  <c r="T196" i="118"/>
  <c r="U196" i="118"/>
  <c r="V196" i="118"/>
  <c r="W196" i="118"/>
  <c r="X196" i="118"/>
  <c r="Y196" i="118"/>
  <c r="Z196" i="118"/>
  <c r="AC193" i="118"/>
  <c r="AW26" i="118"/>
  <c r="AZ26" i="118"/>
  <c r="AW39" i="118"/>
  <c r="AZ39" i="118"/>
  <c r="AW40" i="118"/>
  <c r="AZ40" i="118"/>
  <c r="AW34" i="118"/>
  <c r="AZ34" i="118"/>
  <c r="AW24" i="118"/>
  <c r="AW25" i="118"/>
  <c r="AZ25" i="118"/>
  <c r="AW50" i="118"/>
  <c r="AZ50" i="118"/>
  <c r="AW42" i="118"/>
  <c r="AZ42" i="118"/>
  <c r="AW28" i="118"/>
  <c r="AZ28" i="118"/>
  <c r="AW48" i="118"/>
  <c r="AZ48" i="118"/>
  <c r="AW33" i="118"/>
  <c r="AZ33" i="118"/>
  <c r="AW51" i="118"/>
  <c r="AZ51" i="118"/>
  <c r="AW30" i="118"/>
  <c r="AZ30" i="118"/>
  <c r="AW43" i="118"/>
  <c r="AZ43" i="118"/>
  <c r="AW37" i="118"/>
  <c r="AZ37" i="118"/>
  <c r="AW29" i="118"/>
  <c r="AZ29" i="118"/>
  <c r="AW36" i="118"/>
  <c r="AZ36" i="118"/>
  <c r="AW45" i="118"/>
  <c r="AZ45" i="118"/>
  <c r="AW46" i="118"/>
  <c r="AZ46" i="118"/>
  <c r="AW49" i="118"/>
  <c r="AZ49" i="118"/>
  <c r="AW27" i="118"/>
  <c r="AZ27" i="118"/>
  <c r="AW31" i="118"/>
  <c r="AZ31" i="118"/>
  <c r="C19" i="118"/>
  <c r="AW41" i="118"/>
  <c r="AZ41" i="118"/>
  <c r="AW35" i="118"/>
  <c r="AZ35" i="118"/>
  <c r="AW52" i="118"/>
  <c r="AZ52" i="118"/>
  <c r="AW38" i="118"/>
  <c r="AZ38" i="118"/>
  <c r="AW47" i="118"/>
  <c r="AZ47" i="118"/>
  <c r="AW44" i="118"/>
  <c r="AZ44" i="118"/>
  <c r="AW32" i="118"/>
  <c r="AZ32" i="118"/>
  <c r="AH68" i="118"/>
  <c r="AE19" i="118"/>
  <c r="AF19" i="118"/>
  <c r="AG68" i="118"/>
  <c r="J197" i="118"/>
  <c r="K197" i="118"/>
  <c r="L197" i="118"/>
  <c r="M197" i="118"/>
  <c r="N197" i="118"/>
  <c r="O197" i="118"/>
  <c r="P197" i="118"/>
  <c r="Q197" i="118"/>
  <c r="R197" i="118"/>
  <c r="S197" i="118"/>
  <c r="T197" i="118"/>
  <c r="U197" i="118"/>
  <c r="V197" i="118"/>
  <c r="W197" i="118"/>
  <c r="X197" i="118"/>
  <c r="Y197" i="118"/>
  <c r="Z197" i="118"/>
  <c r="BK197" i="118"/>
  <c r="AF194" i="118"/>
  <c r="BL194" i="118"/>
  <c r="A199" i="118"/>
  <c r="H198" i="118"/>
  <c r="BD198" i="118"/>
  <c r="I198" i="118"/>
  <c r="AF193" i="118"/>
  <c r="BL193" i="118"/>
  <c r="AB196" i="118"/>
  <c r="AZ24" i="118"/>
  <c r="AZ22" i="118"/>
  <c r="AZ20" i="118"/>
  <c r="C3" i="118"/>
  <c r="AW22" i="118"/>
  <c r="AK68" i="118"/>
  <c r="AH19" i="118"/>
  <c r="AG19" i="118"/>
  <c r="AD68" i="118"/>
  <c r="AB197" i="118"/>
  <c r="AC196" i="118"/>
  <c r="AC195" i="118"/>
  <c r="BD199" i="118"/>
  <c r="H199" i="118"/>
  <c r="I199" i="118"/>
  <c r="A200" i="118"/>
  <c r="BK198" i="118"/>
  <c r="J198" i="118"/>
  <c r="K198" i="118"/>
  <c r="L198" i="118"/>
  <c r="M198" i="118"/>
  <c r="N198" i="118"/>
  <c r="O198" i="118"/>
  <c r="P198" i="118"/>
  <c r="Q198" i="118"/>
  <c r="R198" i="118"/>
  <c r="S198" i="118"/>
  <c r="T198" i="118"/>
  <c r="U198" i="118"/>
  <c r="V198" i="118"/>
  <c r="W198" i="118"/>
  <c r="X198" i="118"/>
  <c r="Y198" i="118"/>
  <c r="Z198" i="118"/>
  <c r="AF69" i="118"/>
  <c r="AD19" i="118"/>
  <c r="AE69" i="118"/>
  <c r="AH69" i="118"/>
  <c r="AK19" i="118"/>
  <c r="AL69" i="118"/>
  <c r="F69" i="118"/>
  <c r="A201" i="118"/>
  <c r="H200" i="118"/>
  <c r="I200" i="118"/>
  <c r="BD200" i="118"/>
  <c r="J199" i="118"/>
  <c r="K199" i="118"/>
  <c r="L199" i="118"/>
  <c r="M199" i="118"/>
  <c r="N199" i="118"/>
  <c r="O199" i="118"/>
  <c r="P199" i="118"/>
  <c r="Q199" i="118"/>
  <c r="R199" i="118"/>
  <c r="S199" i="118"/>
  <c r="T199" i="118"/>
  <c r="U199" i="118"/>
  <c r="V199" i="118"/>
  <c r="W199" i="118"/>
  <c r="X199" i="118"/>
  <c r="Y199" i="118"/>
  <c r="Z199" i="118"/>
  <c r="BK199" i="118"/>
  <c r="AB199" i="118"/>
  <c r="AF195" i="118"/>
  <c r="BL195" i="118"/>
  <c r="AB198" i="118"/>
  <c r="BL196" i="118"/>
  <c r="AF196" i="118"/>
  <c r="AK69" i="118"/>
  <c r="AL70" i="118"/>
  <c r="F70" i="118"/>
  <c r="AG69" i="118"/>
  <c r="AD69" i="118"/>
  <c r="AC198" i="118"/>
  <c r="AC197" i="118"/>
  <c r="BK200" i="118"/>
  <c r="J200" i="118"/>
  <c r="K200" i="118"/>
  <c r="L200" i="118"/>
  <c r="M200" i="118"/>
  <c r="N200" i="118"/>
  <c r="O200" i="118"/>
  <c r="P200" i="118"/>
  <c r="Q200" i="118"/>
  <c r="R200" i="118"/>
  <c r="S200" i="118"/>
  <c r="T200" i="118"/>
  <c r="U200" i="118"/>
  <c r="V200" i="118"/>
  <c r="W200" i="118"/>
  <c r="X200" i="118"/>
  <c r="Y200" i="118"/>
  <c r="Z200" i="118"/>
  <c r="I201" i="118"/>
  <c r="BD201" i="118"/>
  <c r="H201" i="118"/>
  <c r="A202" i="118"/>
  <c r="AF70" i="118"/>
  <c r="AE70" i="118"/>
  <c r="AF71" i="118"/>
  <c r="AB200" i="118"/>
  <c r="AC199" i="118"/>
  <c r="BK201" i="118"/>
  <c r="J201" i="118"/>
  <c r="K201" i="118"/>
  <c r="L201" i="118"/>
  <c r="M201" i="118"/>
  <c r="N201" i="118"/>
  <c r="O201" i="118"/>
  <c r="P201" i="118"/>
  <c r="Q201" i="118"/>
  <c r="R201" i="118"/>
  <c r="S201" i="118"/>
  <c r="T201" i="118"/>
  <c r="U201" i="118"/>
  <c r="V201" i="118"/>
  <c r="W201" i="118"/>
  <c r="X201" i="118"/>
  <c r="Y201" i="118"/>
  <c r="Z201" i="118"/>
  <c r="A203" i="118"/>
  <c r="H202" i="118"/>
  <c r="BD202" i="118"/>
  <c r="I202" i="118"/>
  <c r="BL197" i="118"/>
  <c r="AF197" i="118"/>
  <c r="BL198" i="118"/>
  <c r="AF198" i="118"/>
  <c r="AG70" i="118"/>
  <c r="AH70" i="118"/>
  <c r="AK70" i="118"/>
  <c r="AL71" i="118"/>
  <c r="F71" i="118"/>
  <c r="AB201" i="118"/>
  <c r="AC200" i="118"/>
  <c r="AF199" i="118"/>
  <c r="BL199" i="118"/>
  <c r="H203" i="118"/>
  <c r="I203" i="118"/>
  <c r="A204" i="118"/>
  <c r="BD203" i="118"/>
  <c r="J202" i="118"/>
  <c r="K202" i="118"/>
  <c r="L202" i="118"/>
  <c r="M202" i="118"/>
  <c r="N202" i="118"/>
  <c r="O202" i="118"/>
  <c r="P202" i="118"/>
  <c r="Q202" i="118"/>
  <c r="R202" i="118"/>
  <c r="S202" i="118"/>
  <c r="T202" i="118"/>
  <c r="U202" i="118"/>
  <c r="V202" i="118"/>
  <c r="W202" i="118"/>
  <c r="X202" i="118"/>
  <c r="Y202" i="118"/>
  <c r="Z202" i="118"/>
  <c r="BK202" i="118"/>
  <c r="AD70" i="118"/>
  <c r="BK203" i="118"/>
  <c r="J203" i="118"/>
  <c r="K203" i="118"/>
  <c r="L203" i="118"/>
  <c r="M203" i="118"/>
  <c r="N203" i="118"/>
  <c r="O203" i="118"/>
  <c r="P203" i="118"/>
  <c r="Q203" i="118"/>
  <c r="R203" i="118"/>
  <c r="S203" i="118"/>
  <c r="T203" i="118"/>
  <c r="U203" i="118"/>
  <c r="V203" i="118"/>
  <c r="W203" i="118"/>
  <c r="X203" i="118"/>
  <c r="Y203" i="118"/>
  <c r="Z203" i="118"/>
  <c r="AF200" i="118"/>
  <c r="BL200" i="118"/>
  <c r="AB202" i="118"/>
  <c r="A205" i="118"/>
  <c r="BD204" i="118"/>
  <c r="I204" i="118"/>
  <c r="H204" i="118"/>
  <c r="AE71" i="118"/>
  <c r="AG71" i="118"/>
  <c r="AB203" i="118"/>
  <c r="AC202" i="118"/>
  <c r="J204" i="118"/>
  <c r="K204" i="118"/>
  <c r="L204" i="118"/>
  <c r="M204" i="118"/>
  <c r="N204" i="118"/>
  <c r="O204" i="118"/>
  <c r="P204" i="118"/>
  <c r="Q204" i="118"/>
  <c r="R204" i="118"/>
  <c r="S204" i="118"/>
  <c r="T204" i="118"/>
  <c r="U204" i="118"/>
  <c r="V204" i="118"/>
  <c r="W204" i="118"/>
  <c r="X204" i="118"/>
  <c r="Y204" i="118"/>
  <c r="Z204" i="118"/>
  <c r="BK204" i="118"/>
  <c r="I205" i="118"/>
  <c r="H205" i="118"/>
  <c r="A206" i="118"/>
  <c r="BD205" i="118"/>
  <c r="AC201" i="118"/>
  <c r="AH71" i="118"/>
  <c r="AK71" i="118"/>
  <c r="AL72" i="118"/>
  <c r="F72" i="118"/>
  <c r="AB204" i="118"/>
  <c r="AC203" i="118"/>
  <c r="AF203" i="118"/>
  <c r="BL202" i="118"/>
  <c r="AF202" i="118"/>
  <c r="BK205" i="118"/>
  <c r="J205" i="118"/>
  <c r="K205" i="118"/>
  <c r="L205" i="118"/>
  <c r="M205" i="118"/>
  <c r="N205" i="118"/>
  <c r="O205" i="118"/>
  <c r="P205" i="118"/>
  <c r="Q205" i="118"/>
  <c r="R205" i="118"/>
  <c r="S205" i="118"/>
  <c r="T205" i="118"/>
  <c r="U205" i="118"/>
  <c r="V205" i="118"/>
  <c r="W205" i="118"/>
  <c r="X205" i="118"/>
  <c r="Y205" i="118"/>
  <c r="Z205" i="118"/>
  <c r="BL201" i="118"/>
  <c r="AF201" i="118"/>
  <c r="A207" i="118"/>
  <c r="BD206" i="118"/>
  <c r="H206" i="118"/>
  <c r="I206" i="118"/>
  <c r="AD71" i="118"/>
  <c r="BL203" i="118"/>
  <c r="AB205" i="118"/>
  <c r="AC204" i="118"/>
  <c r="BK206" i="118"/>
  <c r="J206" i="118"/>
  <c r="K206" i="118"/>
  <c r="L206" i="118"/>
  <c r="M206" i="118"/>
  <c r="N206" i="118"/>
  <c r="O206" i="118"/>
  <c r="P206" i="118"/>
  <c r="Q206" i="118"/>
  <c r="R206" i="118"/>
  <c r="S206" i="118"/>
  <c r="T206" i="118"/>
  <c r="U206" i="118"/>
  <c r="V206" i="118"/>
  <c r="W206" i="118"/>
  <c r="X206" i="118"/>
  <c r="Y206" i="118"/>
  <c r="Z206" i="118"/>
  <c r="I207" i="118"/>
  <c r="H207" i="118"/>
  <c r="A208" i="118"/>
  <c r="BD207" i="118"/>
  <c r="AE72" i="118"/>
  <c r="AH72" i="118"/>
  <c r="AK72" i="118"/>
  <c r="AL73" i="118"/>
  <c r="F73" i="118"/>
  <c r="AF72" i="118"/>
  <c r="AB206" i="118"/>
  <c r="AC205" i="118"/>
  <c r="AF205" i="118"/>
  <c r="AF204" i="118"/>
  <c r="BL204" i="118"/>
  <c r="BD208" i="118"/>
  <c r="H208" i="118"/>
  <c r="I208" i="118"/>
  <c r="A209" i="118"/>
  <c r="BK207" i="118"/>
  <c r="J207" i="118"/>
  <c r="K207" i="118"/>
  <c r="L207" i="118"/>
  <c r="M207" i="118"/>
  <c r="N207" i="118"/>
  <c r="O207" i="118"/>
  <c r="P207" i="118"/>
  <c r="Q207" i="118"/>
  <c r="R207" i="118"/>
  <c r="S207" i="118"/>
  <c r="T207" i="118"/>
  <c r="U207" i="118"/>
  <c r="V207" i="118"/>
  <c r="W207" i="118"/>
  <c r="X207" i="118"/>
  <c r="Y207" i="118"/>
  <c r="Z207" i="118"/>
  <c r="AG72" i="118"/>
  <c r="AD72" i="118"/>
  <c r="BL205" i="118"/>
  <c r="AB207" i="118"/>
  <c r="AC206" i="118"/>
  <c r="BL206" i="118"/>
  <c r="I209" i="118"/>
  <c r="H209" i="118"/>
  <c r="A210" i="118"/>
  <c r="BD209" i="118"/>
  <c r="J208" i="118"/>
  <c r="K208" i="118"/>
  <c r="L208" i="118"/>
  <c r="M208" i="118"/>
  <c r="N208" i="118"/>
  <c r="O208" i="118"/>
  <c r="P208" i="118"/>
  <c r="Q208" i="118"/>
  <c r="R208" i="118"/>
  <c r="S208" i="118"/>
  <c r="T208" i="118"/>
  <c r="U208" i="118"/>
  <c r="V208" i="118"/>
  <c r="W208" i="118"/>
  <c r="X208" i="118"/>
  <c r="Y208" i="118"/>
  <c r="Z208" i="118"/>
  <c r="BK208" i="118"/>
  <c r="AE73" i="118"/>
  <c r="AH73" i="118"/>
  <c r="AK73" i="118"/>
  <c r="AL74" i="118"/>
  <c r="F74" i="118"/>
  <c r="AF73" i="118"/>
  <c r="AG73" i="118"/>
  <c r="AF206" i="118"/>
  <c r="BK209" i="118"/>
  <c r="J209" i="118"/>
  <c r="K209" i="118"/>
  <c r="L209" i="118"/>
  <c r="M209" i="118"/>
  <c r="N209" i="118"/>
  <c r="O209" i="118"/>
  <c r="P209" i="118"/>
  <c r="Q209" i="118"/>
  <c r="R209" i="118"/>
  <c r="S209" i="118"/>
  <c r="T209" i="118"/>
  <c r="U209" i="118"/>
  <c r="V209" i="118"/>
  <c r="W209" i="118"/>
  <c r="X209" i="118"/>
  <c r="Y209" i="118"/>
  <c r="Z209" i="118"/>
  <c r="AB208" i="118"/>
  <c r="A211" i="118"/>
  <c r="BD210" i="118"/>
  <c r="H210" i="118"/>
  <c r="I210" i="118"/>
  <c r="AD73" i="118"/>
  <c r="AE74" i="118"/>
  <c r="AH74" i="118"/>
  <c r="AK74" i="118"/>
  <c r="AL75" i="118"/>
  <c r="F75" i="118"/>
  <c r="AB209" i="118"/>
  <c r="AC208" i="118"/>
  <c r="I211" i="118"/>
  <c r="A212" i="118"/>
  <c r="BD211" i="118"/>
  <c r="H211" i="118"/>
  <c r="AC207" i="118"/>
  <c r="J210" i="118"/>
  <c r="K210" i="118"/>
  <c r="L210" i="118"/>
  <c r="M210" i="118"/>
  <c r="N210" i="118"/>
  <c r="O210" i="118"/>
  <c r="P210" i="118"/>
  <c r="Q210" i="118"/>
  <c r="R210" i="118"/>
  <c r="S210" i="118"/>
  <c r="T210" i="118"/>
  <c r="U210" i="118"/>
  <c r="V210" i="118"/>
  <c r="W210" i="118"/>
  <c r="X210" i="118"/>
  <c r="Y210" i="118"/>
  <c r="Z210" i="118"/>
  <c r="AB210" i="118"/>
  <c r="BK210" i="118"/>
  <c r="AF74" i="118"/>
  <c r="AG74" i="118"/>
  <c r="AD74" i="118"/>
  <c r="AE75" i="118"/>
  <c r="AH75" i="118"/>
  <c r="AK75" i="118"/>
  <c r="AL76" i="118"/>
  <c r="F76" i="118"/>
  <c r="AC209" i="118"/>
  <c r="AF209" i="118"/>
  <c r="AF207" i="118"/>
  <c r="BL207" i="118"/>
  <c r="BL208" i="118"/>
  <c r="AF208" i="118"/>
  <c r="A213" i="118"/>
  <c r="BD212" i="118"/>
  <c r="H212" i="118"/>
  <c r="I212" i="118"/>
  <c r="BK211" i="118"/>
  <c r="J211" i="118"/>
  <c r="K211" i="118"/>
  <c r="L211" i="118"/>
  <c r="M211" i="118"/>
  <c r="N211" i="118"/>
  <c r="O211" i="118"/>
  <c r="P211" i="118"/>
  <c r="Q211" i="118"/>
  <c r="R211" i="118"/>
  <c r="S211" i="118"/>
  <c r="T211" i="118"/>
  <c r="U211" i="118"/>
  <c r="V211" i="118"/>
  <c r="W211" i="118"/>
  <c r="X211" i="118"/>
  <c r="Y211" i="118"/>
  <c r="Z211" i="118"/>
  <c r="AF75" i="118"/>
  <c r="AG75" i="118"/>
  <c r="AD75" i="118"/>
  <c r="AE76" i="118"/>
  <c r="BL209" i="118"/>
  <c r="AB211" i="118"/>
  <c r="I213" i="118"/>
  <c r="H213" i="118"/>
  <c r="A214" i="118"/>
  <c r="BD213" i="118"/>
  <c r="BK212" i="118"/>
  <c r="J212" i="118"/>
  <c r="K212" i="118"/>
  <c r="L212" i="118"/>
  <c r="M212" i="118"/>
  <c r="N212" i="118"/>
  <c r="O212" i="118"/>
  <c r="P212" i="118"/>
  <c r="Q212" i="118"/>
  <c r="R212" i="118"/>
  <c r="S212" i="118"/>
  <c r="T212" i="118"/>
  <c r="U212" i="118"/>
  <c r="V212" i="118"/>
  <c r="W212" i="118"/>
  <c r="X212" i="118"/>
  <c r="Y212" i="118"/>
  <c r="Z212" i="118"/>
  <c r="AF76" i="118"/>
  <c r="AG76" i="118"/>
  <c r="AH76" i="118"/>
  <c r="AK76" i="118"/>
  <c r="AL77" i="118"/>
  <c r="F77" i="118"/>
  <c r="AF77" i="118"/>
  <c r="AB212" i="118"/>
  <c r="AC211" i="118"/>
  <c r="BK213" i="118"/>
  <c r="J213" i="118"/>
  <c r="K213" i="118"/>
  <c r="L213" i="118"/>
  <c r="M213" i="118"/>
  <c r="N213" i="118"/>
  <c r="O213" i="118"/>
  <c r="P213" i="118"/>
  <c r="Q213" i="118"/>
  <c r="R213" i="118"/>
  <c r="S213" i="118"/>
  <c r="T213" i="118"/>
  <c r="U213" i="118"/>
  <c r="V213" i="118"/>
  <c r="W213" i="118"/>
  <c r="X213" i="118"/>
  <c r="Y213" i="118"/>
  <c r="Z213" i="118"/>
  <c r="AC210" i="118"/>
  <c r="A215" i="118"/>
  <c r="BD214" i="118"/>
  <c r="I214" i="118"/>
  <c r="H214" i="118"/>
  <c r="AD76" i="118"/>
  <c r="AE77" i="118"/>
  <c r="AH77" i="118"/>
  <c r="AK77" i="118"/>
  <c r="AL78" i="118"/>
  <c r="F78" i="118"/>
  <c r="AB213" i="118"/>
  <c r="AC212" i="118"/>
  <c r="AF212" i="118"/>
  <c r="BD215" i="118"/>
  <c r="I215" i="118"/>
  <c r="H215" i="118"/>
  <c r="A216" i="118"/>
  <c r="AF210" i="118"/>
  <c r="BL210" i="118"/>
  <c r="BK214" i="118"/>
  <c r="J214" i="118"/>
  <c r="K214" i="118"/>
  <c r="L214" i="118"/>
  <c r="M214" i="118"/>
  <c r="N214" i="118"/>
  <c r="O214" i="118"/>
  <c r="P214" i="118"/>
  <c r="Q214" i="118"/>
  <c r="R214" i="118"/>
  <c r="S214" i="118"/>
  <c r="T214" i="118"/>
  <c r="U214" i="118"/>
  <c r="V214" i="118"/>
  <c r="W214" i="118"/>
  <c r="X214" i="118"/>
  <c r="Y214" i="118"/>
  <c r="Z214" i="118"/>
  <c r="BL211" i="118"/>
  <c r="AF211" i="118"/>
  <c r="AG77" i="118"/>
  <c r="AD77" i="118"/>
  <c r="AE78" i="118"/>
  <c r="AH78" i="118"/>
  <c r="AK78" i="118"/>
  <c r="AL79" i="118"/>
  <c r="F79" i="118"/>
  <c r="AF78" i="118"/>
  <c r="BL212" i="118"/>
  <c r="BK215" i="118"/>
  <c r="J215" i="118"/>
  <c r="K215" i="118"/>
  <c r="L215" i="118"/>
  <c r="M215" i="118"/>
  <c r="N215" i="118"/>
  <c r="O215" i="118"/>
  <c r="P215" i="118"/>
  <c r="Q215" i="118"/>
  <c r="R215" i="118"/>
  <c r="S215" i="118"/>
  <c r="T215" i="118"/>
  <c r="U215" i="118"/>
  <c r="V215" i="118"/>
  <c r="W215" i="118"/>
  <c r="X215" i="118"/>
  <c r="Y215" i="118"/>
  <c r="Z215" i="118"/>
  <c r="AB214" i="118"/>
  <c r="BD216" i="118"/>
  <c r="H216" i="118"/>
  <c r="I216" i="118"/>
  <c r="A217" i="118"/>
  <c r="AG78" i="118"/>
  <c r="AD78" i="118"/>
  <c r="AF79" i="118"/>
  <c r="AB215" i="118"/>
  <c r="AC214" i="118"/>
  <c r="I217" i="118"/>
  <c r="H217" i="118"/>
  <c r="A218" i="118"/>
  <c r="BD217" i="118"/>
  <c r="AC213" i="118"/>
  <c r="J216" i="118"/>
  <c r="K216" i="118"/>
  <c r="L216" i="118"/>
  <c r="M216" i="118"/>
  <c r="N216" i="118"/>
  <c r="O216" i="118"/>
  <c r="P216" i="118"/>
  <c r="Q216" i="118"/>
  <c r="R216" i="118"/>
  <c r="S216" i="118"/>
  <c r="T216" i="118"/>
  <c r="U216" i="118"/>
  <c r="V216" i="118"/>
  <c r="W216" i="118"/>
  <c r="X216" i="118"/>
  <c r="Y216" i="118"/>
  <c r="Z216" i="118"/>
  <c r="BK216" i="118"/>
  <c r="AE79" i="118"/>
  <c r="AH79" i="118"/>
  <c r="AK79" i="118"/>
  <c r="AL80" i="118"/>
  <c r="F80" i="118"/>
  <c r="BK217" i="118"/>
  <c r="J217" i="118"/>
  <c r="K217" i="118"/>
  <c r="L217" i="118"/>
  <c r="M217" i="118"/>
  <c r="N217" i="118"/>
  <c r="O217" i="118"/>
  <c r="P217" i="118"/>
  <c r="Q217" i="118"/>
  <c r="R217" i="118"/>
  <c r="S217" i="118"/>
  <c r="T217" i="118"/>
  <c r="U217" i="118"/>
  <c r="V217" i="118"/>
  <c r="W217" i="118"/>
  <c r="X217" i="118"/>
  <c r="Y217" i="118"/>
  <c r="Z217" i="118"/>
  <c r="AB217" i="118"/>
  <c r="AB216" i="118"/>
  <c r="AF214" i="118"/>
  <c r="BL214" i="118"/>
  <c r="AF213" i="118"/>
  <c r="BL213" i="118"/>
  <c r="BD218" i="118"/>
  <c r="H218" i="118"/>
  <c r="I218" i="118"/>
  <c r="A219" i="118"/>
  <c r="AG79" i="118"/>
  <c r="AD79" i="118"/>
  <c r="AE80" i="118"/>
  <c r="AF80" i="118"/>
  <c r="BD219" i="118"/>
  <c r="I219" i="118"/>
  <c r="H219" i="118"/>
  <c r="A220" i="118"/>
  <c r="J218" i="118"/>
  <c r="K218" i="118"/>
  <c r="L218" i="118"/>
  <c r="M218" i="118"/>
  <c r="N218" i="118"/>
  <c r="O218" i="118"/>
  <c r="P218" i="118"/>
  <c r="Q218" i="118"/>
  <c r="R218" i="118"/>
  <c r="S218" i="118"/>
  <c r="T218" i="118"/>
  <c r="U218" i="118"/>
  <c r="V218" i="118"/>
  <c r="W218" i="118"/>
  <c r="X218" i="118"/>
  <c r="Y218" i="118"/>
  <c r="Z218" i="118"/>
  <c r="AB218" i="118"/>
  <c r="BK218" i="118"/>
  <c r="AC216" i="118"/>
  <c r="AC215" i="118"/>
  <c r="AG80" i="118"/>
  <c r="AH80" i="118"/>
  <c r="AK80" i="118"/>
  <c r="AL81" i="118"/>
  <c r="F81" i="118"/>
  <c r="BK219" i="118"/>
  <c r="J219" i="118"/>
  <c r="K219" i="118"/>
  <c r="L219" i="118"/>
  <c r="M219" i="118"/>
  <c r="N219" i="118"/>
  <c r="O219" i="118"/>
  <c r="P219" i="118"/>
  <c r="Q219" i="118"/>
  <c r="R219" i="118"/>
  <c r="S219" i="118"/>
  <c r="T219" i="118"/>
  <c r="U219" i="118"/>
  <c r="V219" i="118"/>
  <c r="W219" i="118"/>
  <c r="X219" i="118"/>
  <c r="Y219" i="118"/>
  <c r="Z219" i="118"/>
  <c r="AF216" i="118"/>
  <c r="BL216" i="118"/>
  <c r="AF215" i="118"/>
  <c r="BL215" i="118"/>
  <c r="A221" i="118"/>
  <c r="BD220" i="118"/>
  <c r="I220" i="118"/>
  <c r="H220" i="118"/>
  <c r="AC217" i="118"/>
  <c r="AD80" i="118"/>
  <c r="AE81" i="118"/>
  <c r="AH81" i="118"/>
  <c r="AK81" i="118"/>
  <c r="AL82" i="118"/>
  <c r="F82" i="118"/>
  <c r="AF81" i="118"/>
  <c r="AB219" i="118"/>
  <c r="AC218" i="118"/>
  <c r="J220" i="118"/>
  <c r="K220" i="118"/>
  <c r="L220" i="118"/>
  <c r="M220" i="118"/>
  <c r="N220" i="118"/>
  <c r="O220" i="118"/>
  <c r="P220" i="118"/>
  <c r="Q220" i="118"/>
  <c r="R220" i="118"/>
  <c r="S220" i="118"/>
  <c r="T220" i="118"/>
  <c r="U220" i="118"/>
  <c r="V220" i="118"/>
  <c r="W220" i="118"/>
  <c r="X220" i="118"/>
  <c r="Y220" i="118"/>
  <c r="Z220" i="118"/>
  <c r="BK220" i="118"/>
  <c r="BL217" i="118"/>
  <c r="AF217" i="118"/>
  <c r="I221" i="118"/>
  <c r="BD221" i="118"/>
  <c r="A222" i="118"/>
  <c r="H221" i="118"/>
  <c r="AG81" i="118"/>
  <c r="AD81" i="118"/>
  <c r="AF82" i="118"/>
  <c r="AB220" i="118"/>
  <c r="AC219" i="118"/>
  <c r="A223" i="118"/>
  <c r="BD222" i="118"/>
  <c r="I222" i="118"/>
  <c r="H222" i="118"/>
  <c r="BL218" i="118"/>
  <c r="AF218" i="118"/>
  <c r="BK221" i="118"/>
  <c r="J221" i="118"/>
  <c r="K221" i="118"/>
  <c r="L221" i="118"/>
  <c r="M221" i="118"/>
  <c r="N221" i="118"/>
  <c r="O221" i="118"/>
  <c r="P221" i="118"/>
  <c r="Q221" i="118"/>
  <c r="R221" i="118"/>
  <c r="S221" i="118"/>
  <c r="T221" i="118"/>
  <c r="U221" i="118"/>
  <c r="V221" i="118"/>
  <c r="W221" i="118"/>
  <c r="X221" i="118"/>
  <c r="Y221" i="118"/>
  <c r="Z221" i="118"/>
  <c r="AE82" i="118"/>
  <c r="AH82" i="118"/>
  <c r="AK82" i="118"/>
  <c r="AL83" i="118"/>
  <c r="F83" i="118"/>
  <c r="J222" i="118"/>
  <c r="K222" i="118"/>
  <c r="L222" i="118"/>
  <c r="M222" i="118"/>
  <c r="N222" i="118"/>
  <c r="O222" i="118"/>
  <c r="P222" i="118"/>
  <c r="Q222" i="118"/>
  <c r="R222" i="118"/>
  <c r="S222" i="118"/>
  <c r="T222" i="118"/>
  <c r="U222" i="118"/>
  <c r="V222" i="118"/>
  <c r="W222" i="118"/>
  <c r="X222" i="118"/>
  <c r="Y222" i="118"/>
  <c r="Z222" i="118"/>
  <c r="BK222" i="118"/>
  <c r="AB221" i="118"/>
  <c r="BD223" i="118"/>
  <c r="I223" i="118"/>
  <c r="H223" i="118"/>
  <c r="A224" i="118"/>
  <c r="BL219" i="118"/>
  <c r="AF219" i="118"/>
  <c r="AG82" i="118"/>
  <c r="AD82" i="118"/>
  <c r="AF83" i="118"/>
  <c r="AB222" i="118"/>
  <c r="AC221" i="118"/>
  <c r="AC220" i="118"/>
  <c r="A225" i="118"/>
  <c r="BD224" i="118"/>
  <c r="I224" i="118"/>
  <c r="H224" i="118"/>
  <c r="BK223" i="118"/>
  <c r="J223" i="118"/>
  <c r="K223" i="118"/>
  <c r="L223" i="118"/>
  <c r="M223" i="118"/>
  <c r="N223" i="118"/>
  <c r="O223" i="118"/>
  <c r="P223" i="118"/>
  <c r="Q223" i="118"/>
  <c r="R223" i="118"/>
  <c r="S223" i="118"/>
  <c r="T223" i="118"/>
  <c r="U223" i="118"/>
  <c r="V223" i="118"/>
  <c r="W223" i="118"/>
  <c r="X223" i="118"/>
  <c r="Y223" i="118"/>
  <c r="Z223" i="118"/>
  <c r="AE83" i="118"/>
  <c r="AH83" i="118"/>
  <c r="AK83" i="118"/>
  <c r="AL84" i="118"/>
  <c r="F84" i="118"/>
  <c r="AB223" i="118"/>
  <c r="AC222" i="118"/>
  <c r="H225" i="118"/>
  <c r="I225" i="118"/>
  <c r="A226" i="118"/>
  <c r="BD225" i="118"/>
  <c r="AF220" i="118"/>
  <c r="BL220" i="118"/>
  <c r="J224" i="118"/>
  <c r="K224" i="118"/>
  <c r="L224" i="118"/>
  <c r="M224" i="118"/>
  <c r="N224" i="118"/>
  <c r="O224" i="118"/>
  <c r="P224" i="118"/>
  <c r="Q224" i="118"/>
  <c r="R224" i="118"/>
  <c r="S224" i="118"/>
  <c r="T224" i="118"/>
  <c r="U224" i="118"/>
  <c r="V224" i="118"/>
  <c r="W224" i="118"/>
  <c r="X224" i="118"/>
  <c r="Y224" i="118"/>
  <c r="Z224" i="118"/>
  <c r="BK224" i="118"/>
  <c r="AF221" i="118"/>
  <c r="BL221" i="118"/>
  <c r="AG83" i="118"/>
  <c r="AD83" i="118"/>
  <c r="AB224" i="118"/>
  <c r="BD226" i="118"/>
  <c r="H226" i="118"/>
  <c r="A227" i="118"/>
  <c r="I226" i="118"/>
  <c r="BK225" i="118"/>
  <c r="J225" i="118"/>
  <c r="K225" i="118"/>
  <c r="L225" i="118"/>
  <c r="M225" i="118"/>
  <c r="N225" i="118"/>
  <c r="O225" i="118"/>
  <c r="P225" i="118"/>
  <c r="Q225" i="118"/>
  <c r="R225" i="118"/>
  <c r="S225" i="118"/>
  <c r="T225" i="118"/>
  <c r="U225" i="118"/>
  <c r="V225" i="118"/>
  <c r="W225" i="118"/>
  <c r="X225" i="118"/>
  <c r="Y225" i="118"/>
  <c r="Z225" i="118"/>
  <c r="AF222" i="118"/>
  <c r="BL222" i="118"/>
  <c r="AE84" i="118"/>
  <c r="AH84" i="118"/>
  <c r="AK84" i="118"/>
  <c r="AL85" i="118"/>
  <c r="F85" i="118"/>
  <c r="AF84" i="118"/>
  <c r="AG84" i="118"/>
  <c r="AC223" i="118"/>
  <c r="BK226" i="118"/>
  <c r="J226" i="118"/>
  <c r="K226" i="118"/>
  <c r="L226" i="118"/>
  <c r="M226" i="118"/>
  <c r="N226" i="118"/>
  <c r="O226" i="118"/>
  <c r="P226" i="118"/>
  <c r="Q226" i="118"/>
  <c r="R226" i="118"/>
  <c r="S226" i="118"/>
  <c r="T226" i="118"/>
  <c r="U226" i="118"/>
  <c r="V226" i="118"/>
  <c r="W226" i="118"/>
  <c r="X226" i="118"/>
  <c r="Y226" i="118"/>
  <c r="Z226" i="118"/>
  <c r="AB226" i="118"/>
  <c r="AB225" i="118"/>
  <c r="BD227" i="118"/>
  <c r="I227" i="118"/>
  <c r="H227" i="118"/>
  <c r="A228" i="118"/>
  <c r="AD84" i="118"/>
  <c r="AE85" i="118"/>
  <c r="AH85" i="118"/>
  <c r="AK85" i="118"/>
  <c r="AL86" i="118"/>
  <c r="F86" i="118"/>
  <c r="AC225" i="118"/>
  <c r="A229" i="118"/>
  <c r="BD228" i="118"/>
  <c r="I228" i="118"/>
  <c r="H228" i="118"/>
  <c r="AC224" i="118"/>
  <c r="BK227" i="118"/>
  <c r="J227" i="118"/>
  <c r="K227" i="118"/>
  <c r="L227" i="118"/>
  <c r="M227" i="118"/>
  <c r="N227" i="118"/>
  <c r="O227" i="118"/>
  <c r="P227" i="118"/>
  <c r="Q227" i="118"/>
  <c r="R227" i="118"/>
  <c r="S227" i="118"/>
  <c r="T227" i="118"/>
  <c r="U227" i="118"/>
  <c r="V227" i="118"/>
  <c r="W227" i="118"/>
  <c r="X227" i="118"/>
  <c r="Y227" i="118"/>
  <c r="Z227" i="118"/>
  <c r="AF223" i="118"/>
  <c r="BL223" i="118"/>
  <c r="AF85" i="118"/>
  <c r="AG85" i="118"/>
  <c r="AD85" i="118"/>
  <c r="AB227" i="118"/>
  <c r="AC226" i="118"/>
  <c r="AF224" i="118"/>
  <c r="BL224" i="118"/>
  <c r="H229" i="118"/>
  <c r="I229" i="118"/>
  <c r="A230" i="118"/>
  <c r="BD229" i="118"/>
  <c r="J228" i="118"/>
  <c r="K228" i="118"/>
  <c r="L228" i="118"/>
  <c r="M228" i="118"/>
  <c r="N228" i="118"/>
  <c r="O228" i="118"/>
  <c r="P228" i="118"/>
  <c r="Q228" i="118"/>
  <c r="R228" i="118"/>
  <c r="S228" i="118"/>
  <c r="T228" i="118"/>
  <c r="U228" i="118"/>
  <c r="V228" i="118"/>
  <c r="W228" i="118"/>
  <c r="X228" i="118"/>
  <c r="Y228" i="118"/>
  <c r="Z228" i="118"/>
  <c r="BK228" i="118"/>
  <c r="BL225" i="118"/>
  <c r="AF225" i="118"/>
  <c r="AF86" i="118"/>
  <c r="AE86" i="118"/>
  <c r="AH86" i="118"/>
  <c r="AK86" i="118"/>
  <c r="AL87" i="118"/>
  <c r="F87" i="118"/>
  <c r="AB228" i="118"/>
  <c r="BD230" i="118"/>
  <c r="H230" i="118"/>
  <c r="I230" i="118"/>
  <c r="A231" i="118"/>
  <c r="BK229" i="118"/>
  <c r="J229" i="118"/>
  <c r="K229" i="118"/>
  <c r="L229" i="118"/>
  <c r="M229" i="118"/>
  <c r="N229" i="118"/>
  <c r="O229" i="118"/>
  <c r="P229" i="118"/>
  <c r="Q229" i="118"/>
  <c r="R229" i="118"/>
  <c r="S229" i="118"/>
  <c r="T229" i="118"/>
  <c r="U229" i="118"/>
  <c r="V229" i="118"/>
  <c r="W229" i="118"/>
  <c r="X229" i="118"/>
  <c r="Y229" i="118"/>
  <c r="Z229" i="118"/>
  <c r="AF226" i="118"/>
  <c r="BL226" i="118"/>
  <c r="AG86" i="118"/>
  <c r="AD86" i="118"/>
  <c r="AB229" i="118"/>
  <c r="AC228" i="118"/>
  <c r="BK230" i="118"/>
  <c r="J230" i="118"/>
  <c r="K230" i="118"/>
  <c r="L230" i="118"/>
  <c r="M230" i="118"/>
  <c r="N230" i="118"/>
  <c r="O230" i="118"/>
  <c r="P230" i="118"/>
  <c r="Q230" i="118"/>
  <c r="R230" i="118"/>
  <c r="S230" i="118"/>
  <c r="T230" i="118"/>
  <c r="U230" i="118"/>
  <c r="V230" i="118"/>
  <c r="W230" i="118"/>
  <c r="X230" i="118"/>
  <c r="Y230" i="118"/>
  <c r="Z230" i="118"/>
  <c r="AC227" i="118"/>
  <c r="BD231" i="118"/>
  <c r="I231" i="118"/>
  <c r="H231" i="118"/>
  <c r="A232" i="118"/>
  <c r="AF87" i="118"/>
  <c r="AE87" i="118"/>
  <c r="AH87" i="118"/>
  <c r="AK87" i="118"/>
  <c r="AB230" i="118"/>
  <c r="AC229" i="118"/>
  <c r="BL229" i="118"/>
  <c r="A233" i="118"/>
  <c r="BD232" i="118"/>
  <c r="I232" i="118"/>
  <c r="H232" i="118"/>
  <c r="AF228" i="118"/>
  <c r="BL228" i="118"/>
  <c r="BK231" i="118"/>
  <c r="J231" i="118"/>
  <c r="K231" i="118"/>
  <c r="L231" i="118"/>
  <c r="M231" i="118"/>
  <c r="N231" i="118"/>
  <c r="O231" i="118"/>
  <c r="P231" i="118"/>
  <c r="Q231" i="118"/>
  <c r="R231" i="118"/>
  <c r="S231" i="118"/>
  <c r="T231" i="118"/>
  <c r="U231" i="118"/>
  <c r="V231" i="118"/>
  <c r="W231" i="118"/>
  <c r="X231" i="118"/>
  <c r="Y231" i="118"/>
  <c r="Z231" i="118"/>
  <c r="BL227" i="118"/>
  <c r="AF227" i="118"/>
  <c r="AG87" i="118"/>
  <c r="AD87" i="118"/>
  <c r="AE88" i="118"/>
  <c r="AH88" i="118"/>
  <c r="AL88" i="118"/>
  <c r="F88" i="118"/>
  <c r="AF229" i="118"/>
  <c r="AB231" i="118"/>
  <c r="AC230" i="118"/>
  <c r="BL230" i="118"/>
  <c r="J232" i="118"/>
  <c r="K232" i="118"/>
  <c r="L232" i="118"/>
  <c r="M232" i="118"/>
  <c r="N232" i="118"/>
  <c r="O232" i="118"/>
  <c r="P232" i="118"/>
  <c r="Q232" i="118"/>
  <c r="R232" i="118"/>
  <c r="S232" i="118"/>
  <c r="T232" i="118"/>
  <c r="U232" i="118"/>
  <c r="V232" i="118"/>
  <c r="W232" i="118"/>
  <c r="X232" i="118"/>
  <c r="Y232" i="118"/>
  <c r="Z232" i="118"/>
  <c r="BK232" i="118"/>
  <c r="H233" i="118"/>
  <c r="I233" i="118"/>
  <c r="A234" i="118"/>
  <c r="BD233" i="118"/>
  <c r="AF88" i="118"/>
  <c r="AG88" i="118"/>
  <c r="AD88" i="118"/>
  <c r="AF89" i="118"/>
  <c r="AK88" i="118"/>
  <c r="AL89" i="118"/>
  <c r="F89" i="118"/>
  <c r="AF230" i="118"/>
  <c r="A235" i="118"/>
  <c r="BD234" i="118"/>
  <c r="H234" i="118"/>
  <c r="I234" i="118"/>
  <c r="BK233" i="118"/>
  <c r="J233" i="118"/>
  <c r="K233" i="118"/>
  <c r="L233" i="118"/>
  <c r="M233" i="118"/>
  <c r="N233" i="118"/>
  <c r="O233" i="118"/>
  <c r="P233" i="118"/>
  <c r="Q233" i="118"/>
  <c r="R233" i="118"/>
  <c r="S233" i="118"/>
  <c r="T233" i="118"/>
  <c r="U233" i="118"/>
  <c r="V233" i="118"/>
  <c r="W233" i="118"/>
  <c r="X233" i="118"/>
  <c r="Y233" i="118"/>
  <c r="Z233" i="118"/>
  <c r="AB232" i="118"/>
  <c r="AE89" i="118"/>
  <c r="AH89" i="118"/>
  <c r="AK89" i="118"/>
  <c r="AL90" i="118"/>
  <c r="F90" i="118"/>
  <c r="AB233" i="118"/>
  <c r="AC232" i="118"/>
  <c r="I235" i="118"/>
  <c r="H235" i="118"/>
  <c r="A236" i="118"/>
  <c r="BD235" i="118"/>
  <c r="AC231" i="118"/>
  <c r="BK234" i="118"/>
  <c r="J234" i="118"/>
  <c r="K234" i="118"/>
  <c r="L234" i="118"/>
  <c r="M234" i="118"/>
  <c r="N234" i="118"/>
  <c r="O234" i="118"/>
  <c r="P234" i="118"/>
  <c r="Q234" i="118"/>
  <c r="R234" i="118"/>
  <c r="S234" i="118"/>
  <c r="T234" i="118"/>
  <c r="U234" i="118"/>
  <c r="V234" i="118"/>
  <c r="W234" i="118"/>
  <c r="X234" i="118"/>
  <c r="Y234" i="118"/>
  <c r="Z234" i="118"/>
  <c r="AG89" i="118"/>
  <c r="AD89" i="118"/>
  <c r="AF90" i="118"/>
  <c r="AB234" i="118"/>
  <c r="AC233" i="118"/>
  <c r="BL232" i="118"/>
  <c r="AF232" i="118"/>
  <c r="A237" i="118"/>
  <c r="BD236" i="118"/>
  <c r="I236" i="118"/>
  <c r="H236" i="118"/>
  <c r="BL231" i="118"/>
  <c r="AF231" i="118"/>
  <c r="BK235" i="118"/>
  <c r="J235" i="118"/>
  <c r="K235" i="118"/>
  <c r="L235" i="118"/>
  <c r="M235" i="118"/>
  <c r="N235" i="118"/>
  <c r="O235" i="118"/>
  <c r="P235" i="118"/>
  <c r="Q235" i="118"/>
  <c r="R235" i="118"/>
  <c r="S235" i="118"/>
  <c r="T235" i="118"/>
  <c r="U235" i="118"/>
  <c r="V235" i="118"/>
  <c r="W235" i="118"/>
  <c r="X235" i="118"/>
  <c r="Y235" i="118"/>
  <c r="Z235" i="118"/>
  <c r="AE90" i="118"/>
  <c r="AH90" i="118"/>
  <c r="AK90" i="118"/>
  <c r="AL91" i="118"/>
  <c r="F91" i="118"/>
  <c r="AB235" i="118"/>
  <c r="AC234" i="118"/>
  <c r="I237" i="118"/>
  <c r="A238" i="118"/>
  <c r="BD237" i="118"/>
  <c r="H237" i="118"/>
  <c r="J236" i="118"/>
  <c r="K236" i="118"/>
  <c r="L236" i="118"/>
  <c r="M236" i="118"/>
  <c r="N236" i="118"/>
  <c r="O236" i="118"/>
  <c r="P236" i="118"/>
  <c r="Q236" i="118"/>
  <c r="R236" i="118"/>
  <c r="S236" i="118"/>
  <c r="T236" i="118"/>
  <c r="U236" i="118"/>
  <c r="V236" i="118"/>
  <c r="W236" i="118"/>
  <c r="X236" i="118"/>
  <c r="Y236" i="118"/>
  <c r="Z236" i="118"/>
  <c r="BK236" i="118"/>
  <c r="AF233" i="118"/>
  <c r="BL233" i="118"/>
  <c r="AG90" i="118"/>
  <c r="AD90" i="118"/>
  <c r="AF91" i="118"/>
  <c r="AB236" i="118"/>
  <c r="AC235" i="118"/>
  <c r="AF235" i="118"/>
  <c r="BL234" i="118"/>
  <c r="AF234" i="118"/>
  <c r="A239" i="118"/>
  <c r="H238" i="118"/>
  <c r="I238" i="118"/>
  <c r="BD238" i="118"/>
  <c r="BK237" i="118"/>
  <c r="J237" i="118"/>
  <c r="K237" i="118"/>
  <c r="L237" i="118"/>
  <c r="M237" i="118"/>
  <c r="N237" i="118"/>
  <c r="O237" i="118"/>
  <c r="P237" i="118"/>
  <c r="Q237" i="118"/>
  <c r="R237" i="118"/>
  <c r="S237" i="118"/>
  <c r="T237" i="118"/>
  <c r="U237" i="118"/>
  <c r="V237" i="118"/>
  <c r="W237" i="118"/>
  <c r="X237" i="118"/>
  <c r="Y237" i="118"/>
  <c r="Z237" i="118"/>
  <c r="AB237" i="118"/>
  <c r="AE91" i="118"/>
  <c r="AH91" i="118"/>
  <c r="AK91" i="118"/>
  <c r="AL92" i="118"/>
  <c r="F92" i="118"/>
  <c r="AC236" i="118"/>
  <c r="AF236" i="118"/>
  <c r="BL235" i="118"/>
  <c r="I239" i="118"/>
  <c r="A240" i="118"/>
  <c r="BD239" i="118"/>
  <c r="H239" i="118"/>
  <c r="BK238" i="118"/>
  <c r="J238" i="118"/>
  <c r="K238" i="118"/>
  <c r="L238" i="118"/>
  <c r="M238" i="118"/>
  <c r="N238" i="118"/>
  <c r="O238" i="118"/>
  <c r="P238" i="118"/>
  <c r="Q238" i="118"/>
  <c r="R238" i="118"/>
  <c r="S238" i="118"/>
  <c r="T238" i="118"/>
  <c r="U238" i="118"/>
  <c r="V238" i="118"/>
  <c r="W238" i="118"/>
  <c r="X238" i="118"/>
  <c r="Y238" i="118"/>
  <c r="Z238" i="118"/>
  <c r="AG91" i="118"/>
  <c r="AD91" i="118"/>
  <c r="BL236" i="118"/>
  <c r="AB238" i="118"/>
  <c r="AC237" i="118"/>
  <c r="BD240" i="118"/>
  <c r="A241" i="118"/>
  <c r="I240" i="118"/>
  <c r="H240" i="118"/>
  <c r="BK239" i="118"/>
  <c r="J239" i="118"/>
  <c r="K239" i="118"/>
  <c r="L239" i="118"/>
  <c r="M239" i="118"/>
  <c r="N239" i="118"/>
  <c r="O239" i="118"/>
  <c r="P239" i="118"/>
  <c r="Q239" i="118"/>
  <c r="R239" i="118"/>
  <c r="S239" i="118"/>
  <c r="T239" i="118"/>
  <c r="U239" i="118"/>
  <c r="V239" i="118"/>
  <c r="W239" i="118"/>
  <c r="X239" i="118"/>
  <c r="Y239" i="118"/>
  <c r="Z239" i="118"/>
  <c r="AE92" i="118"/>
  <c r="AH92" i="118"/>
  <c r="AK92" i="118"/>
  <c r="AL93" i="118"/>
  <c r="F93" i="118"/>
  <c r="AF92" i="118"/>
  <c r="AG92" i="118"/>
  <c r="AF93" i="118"/>
  <c r="AB239" i="118"/>
  <c r="AC238" i="118"/>
  <c r="I241" i="118"/>
  <c r="BD241" i="118"/>
  <c r="H241" i="118"/>
  <c r="A242" i="118"/>
  <c r="J240" i="118"/>
  <c r="K240" i="118"/>
  <c r="L240" i="118"/>
  <c r="M240" i="118"/>
  <c r="N240" i="118"/>
  <c r="O240" i="118"/>
  <c r="P240" i="118"/>
  <c r="Q240" i="118"/>
  <c r="R240" i="118"/>
  <c r="S240" i="118"/>
  <c r="T240" i="118"/>
  <c r="U240" i="118"/>
  <c r="V240" i="118"/>
  <c r="W240" i="118"/>
  <c r="X240" i="118"/>
  <c r="Y240" i="118"/>
  <c r="Z240" i="118"/>
  <c r="AB240" i="118"/>
  <c r="BK240" i="118"/>
  <c r="AF237" i="118"/>
  <c r="BL237" i="118"/>
  <c r="AD92" i="118"/>
  <c r="AE93" i="118"/>
  <c r="AH93" i="118"/>
  <c r="AK93" i="118"/>
  <c r="AL94" i="118"/>
  <c r="F94" i="118"/>
  <c r="AC239" i="118"/>
  <c r="BK241" i="118"/>
  <c r="J241" i="118"/>
  <c r="K241" i="118"/>
  <c r="L241" i="118"/>
  <c r="M241" i="118"/>
  <c r="N241" i="118"/>
  <c r="O241" i="118"/>
  <c r="P241" i="118"/>
  <c r="Q241" i="118"/>
  <c r="R241" i="118"/>
  <c r="S241" i="118"/>
  <c r="T241" i="118"/>
  <c r="U241" i="118"/>
  <c r="V241" i="118"/>
  <c r="W241" i="118"/>
  <c r="X241" i="118"/>
  <c r="Y241" i="118"/>
  <c r="Z241" i="118"/>
  <c r="H242" i="118"/>
  <c r="BD242" i="118"/>
  <c r="I242" i="118"/>
  <c r="A243" i="118"/>
  <c r="AF238" i="118"/>
  <c r="BL238" i="118"/>
  <c r="AG93" i="118"/>
  <c r="AD93" i="118"/>
  <c r="AE94" i="118"/>
  <c r="AH94" i="118"/>
  <c r="AK94" i="118"/>
  <c r="AL95" i="118"/>
  <c r="F95" i="118"/>
  <c r="AB241" i="118"/>
  <c r="AC240" i="118"/>
  <c r="AF239" i="118"/>
  <c r="BL239" i="118"/>
  <c r="J242" i="118"/>
  <c r="K242" i="118"/>
  <c r="L242" i="118"/>
  <c r="M242" i="118"/>
  <c r="N242" i="118"/>
  <c r="O242" i="118"/>
  <c r="P242" i="118"/>
  <c r="Q242" i="118"/>
  <c r="R242" i="118"/>
  <c r="S242" i="118"/>
  <c r="T242" i="118"/>
  <c r="U242" i="118"/>
  <c r="V242" i="118"/>
  <c r="W242" i="118"/>
  <c r="X242" i="118"/>
  <c r="Y242" i="118"/>
  <c r="Z242" i="118"/>
  <c r="BK242" i="118"/>
  <c r="I243" i="118"/>
  <c r="BD243" i="118"/>
  <c r="H243" i="118"/>
  <c r="A244" i="118"/>
  <c r="AF94" i="118"/>
  <c r="AG94" i="118"/>
  <c r="AD94" i="118"/>
  <c r="AB242" i="118"/>
  <c r="AC241" i="118"/>
  <c r="BK243" i="118"/>
  <c r="J243" i="118"/>
  <c r="K243" i="118"/>
  <c r="L243" i="118"/>
  <c r="M243" i="118"/>
  <c r="N243" i="118"/>
  <c r="O243" i="118"/>
  <c r="P243" i="118"/>
  <c r="Q243" i="118"/>
  <c r="R243" i="118"/>
  <c r="S243" i="118"/>
  <c r="T243" i="118"/>
  <c r="U243" i="118"/>
  <c r="V243" i="118"/>
  <c r="W243" i="118"/>
  <c r="X243" i="118"/>
  <c r="Y243" i="118"/>
  <c r="Z243" i="118"/>
  <c r="H244" i="118"/>
  <c r="BD244" i="118"/>
  <c r="I244" i="118"/>
  <c r="A245" i="118"/>
  <c r="AF240" i="118"/>
  <c r="BL240" i="118"/>
  <c r="AF95" i="118"/>
  <c r="AE95" i="118"/>
  <c r="AH95" i="118"/>
  <c r="AK95" i="118"/>
  <c r="AL96" i="118"/>
  <c r="F96" i="118"/>
  <c r="AB243" i="118"/>
  <c r="AC242" i="118"/>
  <c r="AF241" i="118"/>
  <c r="BL241" i="118"/>
  <c r="I245" i="118"/>
  <c r="A246" i="118"/>
  <c r="BD245" i="118"/>
  <c r="H245" i="118"/>
  <c r="J244" i="118"/>
  <c r="K244" i="118"/>
  <c r="L244" i="118"/>
  <c r="M244" i="118"/>
  <c r="N244" i="118"/>
  <c r="O244" i="118"/>
  <c r="P244" i="118"/>
  <c r="Q244" i="118"/>
  <c r="R244" i="118"/>
  <c r="S244" i="118"/>
  <c r="T244" i="118"/>
  <c r="U244" i="118"/>
  <c r="V244" i="118"/>
  <c r="W244" i="118"/>
  <c r="X244" i="118"/>
  <c r="Y244" i="118"/>
  <c r="Z244" i="118"/>
  <c r="BK244" i="118"/>
  <c r="AG95" i="118"/>
  <c r="AD95" i="118"/>
  <c r="AB244" i="118"/>
  <c r="A247" i="118"/>
  <c r="H246" i="118"/>
  <c r="I246" i="118"/>
  <c r="BD246" i="118"/>
  <c r="BK245" i="118"/>
  <c r="J245" i="118"/>
  <c r="K245" i="118"/>
  <c r="L245" i="118"/>
  <c r="M245" i="118"/>
  <c r="N245" i="118"/>
  <c r="O245" i="118"/>
  <c r="P245" i="118"/>
  <c r="Q245" i="118"/>
  <c r="R245" i="118"/>
  <c r="S245" i="118"/>
  <c r="T245" i="118"/>
  <c r="U245" i="118"/>
  <c r="V245" i="118"/>
  <c r="W245" i="118"/>
  <c r="X245" i="118"/>
  <c r="Y245" i="118"/>
  <c r="Z245" i="118"/>
  <c r="BL242" i="118"/>
  <c r="AF242" i="118"/>
  <c r="AE96" i="118"/>
  <c r="AH96" i="118"/>
  <c r="AK96" i="118"/>
  <c r="AL97" i="118"/>
  <c r="F97" i="118"/>
  <c r="AF96" i="118"/>
  <c r="AB245" i="118"/>
  <c r="AC244" i="118"/>
  <c r="BD247" i="118"/>
  <c r="I247" i="118"/>
  <c r="H247" i="118"/>
  <c r="A248" i="118"/>
  <c r="AC243" i="118"/>
  <c r="J246" i="118"/>
  <c r="K246" i="118"/>
  <c r="L246" i="118"/>
  <c r="M246" i="118"/>
  <c r="N246" i="118"/>
  <c r="O246" i="118"/>
  <c r="P246" i="118"/>
  <c r="Q246" i="118"/>
  <c r="R246" i="118"/>
  <c r="S246" i="118"/>
  <c r="T246" i="118"/>
  <c r="U246" i="118"/>
  <c r="V246" i="118"/>
  <c r="W246" i="118"/>
  <c r="X246" i="118"/>
  <c r="Y246" i="118"/>
  <c r="Z246" i="118"/>
  <c r="BK246" i="118"/>
  <c r="AG96" i="118"/>
  <c r="AD96" i="118"/>
  <c r="AF244" i="118"/>
  <c r="BL244" i="118"/>
  <c r="BK247" i="118"/>
  <c r="J247" i="118"/>
  <c r="K247" i="118"/>
  <c r="L247" i="118"/>
  <c r="M247" i="118"/>
  <c r="N247" i="118"/>
  <c r="O247" i="118"/>
  <c r="P247" i="118"/>
  <c r="Q247" i="118"/>
  <c r="R247" i="118"/>
  <c r="S247" i="118"/>
  <c r="T247" i="118"/>
  <c r="U247" i="118"/>
  <c r="V247" i="118"/>
  <c r="W247" i="118"/>
  <c r="X247" i="118"/>
  <c r="Y247" i="118"/>
  <c r="Z247" i="118"/>
  <c r="AB246" i="118"/>
  <c r="AF243" i="118"/>
  <c r="BL243" i="118"/>
  <c r="H248" i="118"/>
  <c r="BD248" i="118"/>
  <c r="I248" i="118"/>
  <c r="A249" i="118"/>
  <c r="AE97" i="118"/>
  <c r="AH97" i="118"/>
  <c r="AK97" i="118"/>
  <c r="AF97" i="118"/>
  <c r="AB247" i="118"/>
  <c r="AC246" i="118"/>
  <c r="J248" i="118"/>
  <c r="K248" i="118"/>
  <c r="L248" i="118"/>
  <c r="M248" i="118"/>
  <c r="N248" i="118"/>
  <c r="O248" i="118"/>
  <c r="P248" i="118"/>
  <c r="Q248" i="118"/>
  <c r="R248" i="118"/>
  <c r="S248" i="118"/>
  <c r="T248" i="118"/>
  <c r="U248" i="118"/>
  <c r="V248" i="118"/>
  <c r="W248" i="118"/>
  <c r="X248" i="118"/>
  <c r="Y248" i="118"/>
  <c r="Z248" i="118"/>
  <c r="BK248" i="118"/>
  <c r="AC245" i="118"/>
  <c r="A250" i="118"/>
  <c r="I249" i="118"/>
  <c r="BD249" i="118"/>
  <c r="H249" i="118"/>
  <c r="AG97" i="118"/>
  <c r="AD97" i="118"/>
  <c r="AL98" i="118"/>
  <c r="F98" i="118"/>
  <c r="AB248" i="118"/>
  <c r="AC247" i="118"/>
  <c r="BK249" i="118"/>
  <c r="J249" i="118"/>
  <c r="K249" i="118"/>
  <c r="L249" i="118"/>
  <c r="M249" i="118"/>
  <c r="N249" i="118"/>
  <c r="O249" i="118"/>
  <c r="P249" i="118"/>
  <c r="Q249" i="118"/>
  <c r="R249" i="118"/>
  <c r="S249" i="118"/>
  <c r="T249" i="118"/>
  <c r="U249" i="118"/>
  <c r="V249" i="118"/>
  <c r="W249" i="118"/>
  <c r="X249" i="118"/>
  <c r="Y249" i="118"/>
  <c r="Z249" i="118"/>
  <c r="A251" i="118"/>
  <c r="H250" i="118"/>
  <c r="I250" i="118"/>
  <c r="BD250" i="118"/>
  <c r="AF246" i="118"/>
  <c r="BL246" i="118"/>
  <c r="BL245" i="118"/>
  <c r="AF245" i="118"/>
  <c r="AF98" i="118"/>
  <c r="AE98" i="118"/>
  <c r="AB249" i="118"/>
  <c r="AC248" i="118"/>
  <c r="BL248" i="118"/>
  <c r="J250" i="118"/>
  <c r="K250" i="118"/>
  <c r="L250" i="118"/>
  <c r="M250" i="118"/>
  <c r="N250" i="118"/>
  <c r="O250" i="118"/>
  <c r="P250" i="118"/>
  <c r="Q250" i="118"/>
  <c r="R250" i="118"/>
  <c r="S250" i="118"/>
  <c r="T250" i="118"/>
  <c r="U250" i="118"/>
  <c r="V250" i="118"/>
  <c r="W250" i="118"/>
  <c r="X250" i="118"/>
  <c r="Y250" i="118"/>
  <c r="Z250" i="118"/>
  <c r="BK250" i="118"/>
  <c r="AF247" i="118"/>
  <c r="BL247" i="118"/>
  <c r="I251" i="118"/>
  <c r="BD251" i="118"/>
  <c r="H251" i="118"/>
  <c r="A252" i="118"/>
  <c r="AG98" i="118"/>
  <c r="AH98" i="118"/>
  <c r="AK98" i="118"/>
  <c r="AF248" i="118"/>
  <c r="AB250" i="118"/>
  <c r="AC249" i="118"/>
  <c r="BK251" i="118"/>
  <c r="J251" i="118"/>
  <c r="K251" i="118"/>
  <c r="L251" i="118"/>
  <c r="M251" i="118"/>
  <c r="N251" i="118"/>
  <c r="O251" i="118"/>
  <c r="P251" i="118"/>
  <c r="Q251" i="118"/>
  <c r="R251" i="118"/>
  <c r="S251" i="118"/>
  <c r="T251" i="118"/>
  <c r="U251" i="118"/>
  <c r="V251" i="118"/>
  <c r="W251" i="118"/>
  <c r="X251" i="118"/>
  <c r="Y251" i="118"/>
  <c r="Z251" i="118"/>
  <c r="H252" i="118"/>
  <c r="A253" i="118"/>
  <c r="I252" i="118"/>
  <c r="BD252" i="118"/>
  <c r="AD98" i="118"/>
  <c r="AE99" i="118"/>
  <c r="AH99" i="118"/>
  <c r="AL99" i="118"/>
  <c r="F99" i="118"/>
  <c r="AB251" i="118"/>
  <c r="AC250" i="118"/>
  <c r="J252" i="118"/>
  <c r="K252" i="118"/>
  <c r="L252" i="118"/>
  <c r="M252" i="118"/>
  <c r="N252" i="118"/>
  <c r="O252" i="118"/>
  <c r="P252" i="118"/>
  <c r="Q252" i="118"/>
  <c r="R252" i="118"/>
  <c r="S252" i="118"/>
  <c r="T252" i="118"/>
  <c r="U252" i="118"/>
  <c r="V252" i="118"/>
  <c r="W252" i="118"/>
  <c r="X252" i="118"/>
  <c r="Y252" i="118"/>
  <c r="Z252" i="118"/>
  <c r="BK252" i="118"/>
  <c r="AF249" i="118"/>
  <c r="BL249" i="118"/>
  <c r="I253" i="118"/>
  <c r="A254" i="118"/>
  <c r="BD253" i="118"/>
  <c r="H253" i="118"/>
  <c r="AF99" i="118"/>
  <c r="AG99" i="118"/>
  <c r="AK99" i="118"/>
  <c r="AL100" i="118"/>
  <c r="F100" i="118"/>
  <c r="AB252" i="118"/>
  <c r="AC251" i="118"/>
  <c r="BL250" i="118"/>
  <c r="AF250" i="118"/>
  <c r="BK253" i="118"/>
  <c r="J253" i="118"/>
  <c r="K253" i="118"/>
  <c r="L253" i="118"/>
  <c r="M253" i="118"/>
  <c r="N253" i="118"/>
  <c r="O253" i="118"/>
  <c r="P253" i="118"/>
  <c r="Q253" i="118"/>
  <c r="R253" i="118"/>
  <c r="S253" i="118"/>
  <c r="T253" i="118"/>
  <c r="U253" i="118"/>
  <c r="V253" i="118"/>
  <c r="W253" i="118"/>
  <c r="X253" i="118"/>
  <c r="Y253" i="118"/>
  <c r="Z253" i="118"/>
  <c r="A255" i="118"/>
  <c r="H254" i="118"/>
  <c r="I254" i="118"/>
  <c r="BD254" i="118"/>
  <c r="AD99" i="118"/>
  <c r="AE100" i="118"/>
  <c r="AH100" i="118"/>
  <c r="AK100" i="118"/>
  <c r="AB253" i="118"/>
  <c r="J254" i="118"/>
  <c r="K254" i="118"/>
  <c r="L254" i="118"/>
  <c r="M254" i="118"/>
  <c r="N254" i="118"/>
  <c r="O254" i="118"/>
  <c r="P254" i="118"/>
  <c r="Q254" i="118"/>
  <c r="R254" i="118"/>
  <c r="S254" i="118"/>
  <c r="T254" i="118"/>
  <c r="U254" i="118"/>
  <c r="V254" i="118"/>
  <c r="W254" i="118"/>
  <c r="X254" i="118"/>
  <c r="Y254" i="118"/>
  <c r="Z254" i="118"/>
  <c r="BK254" i="118"/>
  <c r="H255" i="118"/>
  <c r="I255" i="118"/>
  <c r="A256" i="118"/>
  <c r="BD255" i="118"/>
  <c r="AF251" i="118"/>
  <c r="BL251" i="118"/>
  <c r="AF100" i="118"/>
  <c r="AG100" i="118"/>
  <c r="AD100" i="118"/>
  <c r="AL101" i="118"/>
  <c r="F101" i="118"/>
  <c r="AB254" i="118"/>
  <c r="H256" i="118"/>
  <c r="A257" i="118"/>
  <c r="I256" i="118"/>
  <c r="BD256" i="118"/>
  <c r="BK255" i="118"/>
  <c r="J255" i="118"/>
  <c r="K255" i="118"/>
  <c r="L255" i="118"/>
  <c r="M255" i="118"/>
  <c r="N255" i="118"/>
  <c r="O255" i="118"/>
  <c r="P255" i="118"/>
  <c r="Q255" i="118"/>
  <c r="R255" i="118"/>
  <c r="S255" i="118"/>
  <c r="T255" i="118"/>
  <c r="U255" i="118"/>
  <c r="V255" i="118"/>
  <c r="W255" i="118"/>
  <c r="X255" i="118"/>
  <c r="Y255" i="118"/>
  <c r="Z255" i="118"/>
  <c r="AC252" i="118"/>
  <c r="AF101" i="118"/>
  <c r="AE101" i="118"/>
  <c r="AH101" i="118"/>
  <c r="AK101" i="118"/>
  <c r="AL102" i="118"/>
  <c r="F102" i="118"/>
  <c r="AB255" i="118"/>
  <c r="AC254" i="118"/>
  <c r="BK256" i="118"/>
  <c r="J256" i="118"/>
  <c r="K256" i="118"/>
  <c r="L256" i="118"/>
  <c r="M256" i="118"/>
  <c r="N256" i="118"/>
  <c r="O256" i="118"/>
  <c r="P256" i="118"/>
  <c r="Q256" i="118"/>
  <c r="R256" i="118"/>
  <c r="S256" i="118"/>
  <c r="T256" i="118"/>
  <c r="U256" i="118"/>
  <c r="V256" i="118"/>
  <c r="W256" i="118"/>
  <c r="X256" i="118"/>
  <c r="Y256" i="118"/>
  <c r="Z256" i="118"/>
  <c r="AC253" i="118"/>
  <c r="H257" i="118"/>
  <c r="I257" i="118"/>
  <c r="A258" i="118"/>
  <c r="BD257" i="118"/>
  <c r="AF252" i="118"/>
  <c r="BL252" i="118"/>
  <c r="AG101" i="118"/>
  <c r="AD101" i="118"/>
  <c r="BK257" i="118"/>
  <c r="J257" i="118"/>
  <c r="K257" i="118"/>
  <c r="L257" i="118"/>
  <c r="M257" i="118"/>
  <c r="N257" i="118"/>
  <c r="O257" i="118"/>
  <c r="P257" i="118"/>
  <c r="Q257" i="118"/>
  <c r="R257" i="118"/>
  <c r="S257" i="118"/>
  <c r="T257" i="118"/>
  <c r="U257" i="118"/>
  <c r="V257" i="118"/>
  <c r="W257" i="118"/>
  <c r="X257" i="118"/>
  <c r="Y257" i="118"/>
  <c r="Z257" i="118"/>
  <c r="AB256" i="118"/>
  <c r="BL254" i="118"/>
  <c r="AF254" i="118"/>
  <c r="H258" i="118"/>
  <c r="BD258" i="118"/>
  <c r="I258" i="118"/>
  <c r="A259" i="118"/>
  <c r="AF253" i="118"/>
  <c r="BL253" i="118"/>
  <c r="AF102" i="118"/>
  <c r="AE102" i="118"/>
  <c r="AH102" i="118"/>
  <c r="AK102" i="118"/>
  <c r="AB257" i="118"/>
  <c r="AC256" i="118"/>
  <c r="I259" i="118"/>
  <c r="A260" i="118"/>
  <c r="BD259" i="118"/>
  <c r="H259" i="118"/>
  <c r="AC255" i="118"/>
  <c r="J258" i="118"/>
  <c r="K258" i="118"/>
  <c r="L258" i="118"/>
  <c r="M258" i="118"/>
  <c r="N258" i="118"/>
  <c r="O258" i="118"/>
  <c r="P258" i="118"/>
  <c r="Q258" i="118"/>
  <c r="R258" i="118"/>
  <c r="S258" i="118"/>
  <c r="T258" i="118"/>
  <c r="U258" i="118"/>
  <c r="V258" i="118"/>
  <c r="W258" i="118"/>
  <c r="X258" i="118"/>
  <c r="Y258" i="118"/>
  <c r="Z258" i="118"/>
  <c r="BK258" i="118"/>
  <c r="AG102" i="118"/>
  <c r="AD102" i="118"/>
  <c r="AL103" i="118"/>
  <c r="F103" i="118"/>
  <c r="AB258" i="118"/>
  <c r="AC257" i="118"/>
  <c r="A261" i="118"/>
  <c r="H260" i="118"/>
  <c r="BD260" i="118"/>
  <c r="I260" i="118"/>
  <c r="BK259" i="118"/>
  <c r="J259" i="118"/>
  <c r="K259" i="118"/>
  <c r="L259" i="118"/>
  <c r="M259" i="118"/>
  <c r="N259" i="118"/>
  <c r="O259" i="118"/>
  <c r="P259" i="118"/>
  <c r="Q259" i="118"/>
  <c r="R259" i="118"/>
  <c r="S259" i="118"/>
  <c r="T259" i="118"/>
  <c r="U259" i="118"/>
  <c r="V259" i="118"/>
  <c r="W259" i="118"/>
  <c r="X259" i="118"/>
  <c r="Y259" i="118"/>
  <c r="Z259" i="118"/>
  <c r="AF255" i="118"/>
  <c r="BL255" i="118"/>
  <c r="AF256" i="118"/>
  <c r="BL256" i="118"/>
  <c r="AE103" i="118"/>
  <c r="AH103" i="118"/>
  <c r="AK103" i="118"/>
  <c r="AL104" i="118"/>
  <c r="F104" i="118"/>
  <c r="AF103" i="118"/>
  <c r="AB259" i="118"/>
  <c r="AC258" i="118"/>
  <c r="BK260" i="118"/>
  <c r="J260" i="118"/>
  <c r="K260" i="118"/>
  <c r="L260" i="118"/>
  <c r="M260" i="118"/>
  <c r="N260" i="118"/>
  <c r="O260" i="118"/>
  <c r="P260" i="118"/>
  <c r="Q260" i="118"/>
  <c r="R260" i="118"/>
  <c r="S260" i="118"/>
  <c r="T260" i="118"/>
  <c r="U260" i="118"/>
  <c r="V260" i="118"/>
  <c r="W260" i="118"/>
  <c r="X260" i="118"/>
  <c r="Y260" i="118"/>
  <c r="Z260" i="118"/>
  <c r="I261" i="118"/>
  <c r="BD261" i="118"/>
  <c r="H261" i="118"/>
  <c r="A262" i="118"/>
  <c r="BL257" i="118"/>
  <c r="AF257" i="118"/>
  <c r="AG103" i="118"/>
  <c r="AD103" i="118"/>
  <c r="AF104" i="118"/>
  <c r="AB260" i="118"/>
  <c r="BL258" i="118"/>
  <c r="AF258" i="118"/>
  <c r="BK261" i="118"/>
  <c r="J261" i="118"/>
  <c r="K261" i="118"/>
  <c r="L261" i="118"/>
  <c r="M261" i="118"/>
  <c r="N261" i="118"/>
  <c r="O261" i="118"/>
  <c r="P261" i="118"/>
  <c r="Q261" i="118"/>
  <c r="R261" i="118"/>
  <c r="S261" i="118"/>
  <c r="T261" i="118"/>
  <c r="U261" i="118"/>
  <c r="V261" i="118"/>
  <c r="W261" i="118"/>
  <c r="X261" i="118"/>
  <c r="Y261" i="118"/>
  <c r="Z261" i="118"/>
  <c r="A263" i="118"/>
  <c r="BD262" i="118"/>
  <c r="I262" i="118"/>
  <c r="H262" i="118"/>
  <c r="AE104" i="118"/>
  <c r="AG104" i="118"/>
  <c r="AB261" i="118"/>
  <c r="AC260" i="118"/>
  <c r="AC259" i="118"/>
  <c r="J262" i="118"/>
  <c r="K262" i="118"/>
  <c r="L262" i="118"/>
  <c r="M262" i="118"/>
  <c r="N262" i="118"/>
  <c r="O262" i="118"/>
  <c r="P262" i="118"/>
  <c r="Q262" i="118"/>
  <c r="R262" i="118"/>
  <c r="S262" i="118"/>
  <c r="T262" i="118"/>
  <c r="U262" i="118"/>
  <c r="V262" i="118"/>
  <c r="W262" i="118"/>
  <c r="X262" i="118"/>
  <c r="Y262" i="118"/>
  <c r="Z262" i="118"/>
  <c r="BK262" i="118"/>
  <c r="I263" i="118"/>
  <c r="A264" i="118"/>
  <c r="BD263" i="118"/>
  <c r="H263" i="118"/>
  <c r="AH104" i="118"/>
  <c r="AK104" i="118"/>
  <c r="AL105" i="118"/>
  <c r="F105" i="118"/>
  <c r="AB262" i="118"/>
  <c r="AC261" i="118"/>
  <c r="BK263" i="118"/>
  <c r="J263" i="118"/>
  <c r="K263" i="118"/>
  <c r="L263" i="118"/>
  <c r="M263" i="118"/>
  <c r="N263" i="118"/>
  <c r="O263" i="118"/>
  <c r="P263" i="118"/>
  <c r="Q263" i="118"/>
  <c r="R263" i="118"/>
  <c r="S263" i="118"/>
  <c r="T263" i="118"/>
  <c r="U263" i="118"/>
  <c r="V263" i="118"/>
  <c r="W263" i="118"/>
  <c r="X263" i="118"/>
  <c r="Y263" i="118"/>
  <c r="Z263" i="118"/>
  <c r="AF259" i="118"/>
  <c r="BL259" i="118"/>
  <c r="AF260" i="118"/>
  <c r="BL260" i="118"/>
  <c r="BD264" i="118"/>
  <c r="I264" i="118"/>
  <c r="A265" i="118"/>
  <c r="H264" i="118"/>
  <c r="AD104" i="118"/>
  <c r="AE105" i="118"/>
  <c r="AH105" i="118"/>
  <c r="AK105" i="118"/>
  <c r="AL106" i="118"/>
  <c r="F106" i="118"/>
  <c r="AB263" i="118"/>
  <c r="AC262" i="118"/>
  <c r="BK264" i="118"/>
  <c r="J264" i="118"/>
  <c r="K264" i="118"/>
  <c r="L264" i="118"/>
  <c r="M264" i="118"/>
  <c r="N264" i="118"/>
  <c r="O264" i="118"/>
  <c r="P264" i="118"/>
  <c r="Q264" i="118"/>
  <c r="R264" i="118"/>
  <c r="S264" i="118"/>
  <c r="T264" i="118"/>
  <c r="U264" i="118"/>
  <c r="V264" i="118"/>
  <c r="W264" i="118"/>
  <c r="X264" i="118"/>
  <c r="Y264" i="118"/>
  <c r="Z264" i="118"/>
  <c r="BD265" i="118"/>
  <c r="A266" i="118"/>
  <c r="I265" i="118"/>
  <c r="H265" i="118"/>
  <c r="AF261" i="118"/>
  <c r="BL261" i="118"/>
  <c r="AF105" i="118"/>
  <c r="AG105" i="118"/>
  <c r="AD105" i="118"/>
  <c r="AB264" i="118"/>
  <c r="AC263" i="118"/>
  <c r="BK265" i="118"/>
  <c r="J265" i="118"/>
  <c r="K265" i="118"/>
  <c r="L265" i="118"/>
  <c r="M265" i="118"/>
  <c r="N265" i="118"/>
  <c r="O265" i="118"/>
  <c r="P265" i="118"/>
  <c r="Q265" i="118"/>
  <c r="R265" i="118"/>
  <c r="S265" i="118"/>
  <c r="T265" i="118"/>
  <c r="U265" i="118"/>
  <c r="V265" i="118"/>
  <c r="W265" i="118"/>
  <c r="X265" i="118"/>
  <c r="Y265" i="118"/>
  <c r="Z265" i="118"/>
  <c r="AF262" i="118"/>
  <c r="BL262" i="118"/>
  <c r="I266" i="118"/>
  <c r="BD266" i="118"/>
  <c r="A267" i="118"/>
  <c r="H266" i="118"/>
  <c r="AE106" i="118"/>
  <c r="AH106" i="118"/>
  <c r="AK106" i="118"/>
  <c r="AL107" i="118"/>
  <c r="F107" i="118"/>
  <c r="AF106" i="118"/>
  <c r="AG106" i="118"/>
  <c r="AB265" i="118"/>
  <c r="AC264" i="118"/>
  <c r="J266" i="118"/>
  <c r="K266" i="118"/>
  <c r="L266" i="118"/>
  <c r="M266" i="118"/>
  <c r="N266" i="118"/>
  <c r="O266" i="118"/>
  <c r="P266" i="118"/>
  <c r="Q266" i="118"/>
  <c r="R266" i="118"/>
  <c r="S266" i="118"/>
  <c r="T266" i="118"/>
  <c r="U266" i="118"/>
  <c r="V266" i="118"/>
  <c r="W266" i="118"/>
  <c r="X266" i="118"/>
  <c r="Y266" i="118"/>
  <c r="Z266" i="118"/>
  <c r="BK266" i="118"/>
  <c r="BL263" i="118"/>
  <c r="AF263" i="118"/>
  <c r="A268" i="118"/>
  <c r="I267" i="118"/>
  <c r="BD267" i="118"/>
  <c r="H267" i="118"/>
  <c r="AD106" i="118"/>
  <c r="AE107" i="118"/>
  <c r="AB266" i="118"/>
  <c r="AC265" i="118"/>
  <c r="J267" i="118"/>
  <c r="K267" i="118"/>
  <c r="L267" i="118"/>
  <c r="M267" i="118"/>
  <c r="N267" i="118"/>
  <c r="O267" i="118"/>
  <c r="P267" i="118"/>
  <c r="Q267" i="118"/>
  <c r="R267" i="118"/>
  <c r="S267" i="118"/>
  <c r="T267" i="118"/>
  <c r="U267" i="118"/>
  <c r="V267" i="118"/>
  <c r="W267" i="118"/>
  <c r="X267" i="118"/>
  <c r="Y267" i="118"/>
  <c r="Z267" i="118"/>
  <c r="BK267" i="118"/>
  <c r="BL264" i="118"/>
  <c r="AF264" i="118"/>
  <c r="BD268" i="118"/>
  <c r="I268" i="118"/>
  <c r="A269" i="118"/>
  <c r="H268" i="118"/>
  <c r="AF107" i="118"/>
  <c r="AG107" i="118"/>
  <c r="AH107" i="118"/>
  <c r="AK107" i="118"/>
  <c r="AL108" i="118"/>
  <c r="F108" i="118"/>
  <c r="BL265" i="118"/>
  <c r="AF265" i="118"/>
  <c r="AB267" i="118"/>
  <c r="AC266" i="118"/>
  <c r="H269" i="118"/>
  <c r="BD269" i="118"/>
  <c r="I269" i="118"/>
  <c r="A270" i="118"/>
  <c r="BK268" i="118"/>
  <c r="J268" i="118"/>
  <c r="K268" i="118"/>
  <c r="L268" i="118"/>
  <c r="M268" i="118"/>
  <c r="N268" i="118"/>
  <c r="O268" i="118"/>
  <c r="P268" i="118"/>
  <c r="Q268" i="118"/>
  <c r="R268" i="118"/>
  <c r="S268" i="118"/>
  <c r="T268" i="118"/>
  <c r="U268" i="118"/>
  <c r="V268" i="118"/>
  <c r="W268" i="118"/>
  <c r="X268" i="118"/>
  <c r="Y268" i="118"/>
  <c r="Z268" i="118"/>
  <c r="AD107" i="118"/>
  <c r="AB268" i="118"/>
  <c r="AC267" i="118"/>
  <c r="J269" i="118"/>
  <c r="K269" i="118"/>
  <c r="L269" i="118"/>
  <c r="M269" i="118"/>
  <c r="N269" i="118"/>
  <c r="O269" i="118"/>
  <c r="P269" i="118"/>
  <c r="Q269" i="118"/>
  <c r="R269" i="118"/>
  <c r="S269" i="118"/>
  <c r="T269" i="118"/>
  <c r="U269" i="118"/>
  <c r="V269" i="118"/>
  <c r="W269" i="118"/>
  <c r="X269" i="118"/>
  <c r="Y269" i="118"/>
  <c r="Z269" i="118"/>
  <c r="BK269" i="118"/>
  <c r="BL266" i="118"/>
  <c r="AF266" i="118"/>
  <c r="I270" i="118"/>
  <c r="A271" i="118"/>
  <c r="BD270" i="118"/>
  <c r="H270" i="118"/>
  <c r="AE108" i="118"/>
  <c r="AH108" i="118"/>
  <c r="AK108" i="118"/>
  <c r="AL109" i="118"/>
  <c r="F109" i="118"/>
  <c r="AF108" i="118"/>
  <c r="AB269" i="118"/>
  <c r="AC268" i="118"/>
  <c r="BK270" i="118"/>
  <c r="J270" i="118"/>
  <c r="K270" i="118"/>
  <c r="L270" i="118"/>
  <c r="M270" i="118"/>
  <c r="N270" i="118"/>
  <c r="O270" i="118"/>
  <c r="P270" i="118"/>
  <c r="Q270" i="118"/>
  <c r="R270" i="118"/>
  <c r="S270" i="118"/>
  <c r="T270" i="118"/>
  <c r="U270" i="118"/>
  <c r="V270" i="118"/>
  <c r="W270" i="118"/>
  <c r="X270" i="118"/>
  <c r="Y270" i="118"/>
  <c r="Z270" i="118"/>
  <c r="BL267" i="118"/>
  <c r="AF267" i="118"/>
  <c r="A272" i="118"/>
  <c r="I271" i="118"/>
  <c r="BD271" i="118"/>
  <c r="H271" i="118"/>
  <c r="AG108" i="118"/>
  <c r="AD108" i="118"/>
  <c r="AE109" i="118"/>
  <c r="AH109" i="118"/>
  <c r="AK109" i="118"/>
  <c r="AL110" i="118"/>
  <c r="F110" i="118"/>
  <c r="AB270" i="118"/>
  <c r="AC269" i="118"/>
  <c r="AF269" i="118"/>
  <c r="BL268" i="118"/>
  <c r="AF268" i="118"/>
  <c r="BD272" i="118"/>
  <c r="A273" i="118"/>
  <c r="I272" i="118"/>
  <c r="H272" i="118"/>
  <c r="BK271" i="118"/>
  <c r="J271" i="118"/>
  <c r="K271" i="118"/>
  <c r="L271" i="118"/>
  <c r="M271" i="118"/>
  <c r="N271" i="118"/>
  <c r="O271" i="118"/>
  <c r="P271" i="118"/>
  <c r="Q271" i="118"/>
  <c r="R271" i="118"/>
  <c r="S271" i="118"/>
  <c r="T271" i="118"/>
  <c r="U271" i="118"/>
  <c r="V271" i="118"/>
  <c r="W271" i="118"/>
  <c r="X271" i="118"/>
  <c r="Y271" i="118"/>
  <c r="Z271" i="118"/>
  <c r="AF109" i="118"/>
  <c r="AG109" i="118"/>
  <c r="AD109" i="118"/>
  <c r="AF110" i="118"/>
  <c r="AB271" i="118"/>
  <c r="AC270" i="118"/>
  <c r="BL269" i="118"/>
  <c r="BK272" i="118"/>
  <c r="J272" i="118"/>
  <c r="K272" i="118"/>
  <c r="L272" i="118"/>
  <c r="M272" i="118"/>
  <c r="N272" i="118"/>
  <c r="O272" i="118"/>
  <c r="P272" i="118"/>
  <c r="Q272" i="118"/>
  <c r="R272" i="118"/>
  <c r="S272" i="118"/>
  <c r="T272" i="118"/>
  <c r="U272" i="118"/>
  <c r="V272" i="118"/>
  <c r="W272" i="118"/>
  <c r="X272" i="118"/>
  <c r="Y272" i="118"/>
  <c r="Z272" i="118"/>
  <c r="BD273" i="118"/>
  <c r="A274" i="118"/>
  <c r="I273" i="118"/>
  <c r="H273" i="118"/>
  <c r="AE110" i="118"/>
  <c r="AH110" i="118"/>
  <c r="AK110" i="118"/>
  <c r="AL111" i="118"/>
  <c r="F111" i="118"/>
  <c r="AG110" i="118"/>
  <c r="AB272" i="118"/>
  <c r="AC271" i="118"/>
  <c r="AF271" i="118"/>
  <c r="I274" i="118"/>
  <c r="A275" i="118"/>
  <c r="BD274" i="118"/>
  <c r="H274" i="118"/>
  <c r="BK273" i="118"/>
  <c r="J273" i="118"/>
  <c r="K273" i="118"/>
  <c r="L273" i="118"/>
  <c r="M273" i="118"/>
  <c r="N273" i="118"/>
  <c r="O273" i="118"/>
  <c r="P273" i="118"/>
  <c r="Q273" i="118"/>
  <c r="R273" i="118"/>
  <c r="S273" i="118"/>
  <c r="T273" i="118"/>
  <c r="U273" i="118"/>
  <c r="V273" i="118"/>
  <c r="W273" i="118"/>
  <c r="X273" i="118"/>
  <c r="Y273" i="118"/>
  <c r="Z273" i="118"/>
  <c r="BL270" i="118"/>
  <c r="AF270" i="118"/>
  <c r="AD110" i="118"/>
  <c r="AE111" i="118"/>
  <c r="AH111" i="118"/>
  <c r="AK111" i="118"/>
  <c r="AL112" i="118"/>
  <c r="F112" i="118"/>
  <c r="BL271" i="118"/>
  <c r="AB273" i="118"/>
  <c r="AC272" i="118"/>
  <c r="AF272" i="118"/>
  <c r="BD275" i="118"/>
  <c r="I275" i="118"/>
  <c r="A276" i="118"/>
  <c r="H275" i="118"/>
  <c r="BK274" i="118"/>
  <c r="J274" i="118"/>
  <c r="K274" i="118"/>
  <c r="L274" i="118"/>
  <c r="M274" i="118"/>
  <c r="N274" i="118"/>
  <c r="O274" i="118"/>
  <c r="P274" i="118"/>
  <c r="Q274" i="118"/>
  <c r="R274" i="118"/>
  <c r="S274" i="118"/>
  <c r="T274" i="118"/>
  <c r="U274" i="118"/>
  <c r="V274" i="118"/>
  <c r="W274" i="118"/>
  <c r="X274" i="118"/>
  <c r="Y274" i="118"/>
  <c r="Z274" i="118"/>
  <c r="AF111" i="118"/>
  <c r="AG111" i="118"/>
  <c r="AD111" i="118"/>
  <c r="AF112" i="118"/>
  <c r="BL272" i="118"/>
  <c r="AB274" i="118"/>
  <c r="AC273" i="118"/>
  <c r="BL273" i="118"/>
  <c r="A277" i="118"/>
  <c r="BD276" i="118"/>
  <c r="I276" i="118"/>
  <c r="H276" i="118"/>
  <c r="BK275" i="118"/>
  <c r="J275" i="118"/>
  <c r="K275" i="118"/>
  <c r="L275" i="118"/>
  <c r="M275" i="118"/>
  <c r="N275" i="118"/>
  <c r="O275" i="118"/>
  <c r="P275" i="118"/>
  <c r="Q275" i="118"/>
  <c r="R275" i="118"/>
  <c r="S275" i="118"/>
  <c r="T275" i="118"/>
  <c r="U275" i="118"/>
  <c r="V275" i="118"/>
  <c r="W275" i="118"/>
  <c r="X275" i="118"/>
  <c r="Y275" i="118"/>
  <c r="Z275" i="118"/>
  <c r="AE112" i="118"/>
  <c r="AH112" i="118"/>
  <c r="AK112" i="118"/>
  <c r="AL113" i="118"/>
  <c r="F113" i="118"/>
  <c r="AG112" i="118"/>
  <c r="AB275" i="118"/>
  <c r="AC274" i="118"/>
  <c r="AF273" i="118"/>
  <c r="J276" i="118"/>
  <c r="K276" i="118"/>
  <c r="L276" i="118"/>
  <c r="M276" i="118"/>
  <c r="N276" i="118"/>
  <c r="O276" i="118"/>
  <c r="P276" i="118"/>
  <c r="Q276" i="118"/>
  <c r="R276" i="118"/>
  <c r="S276" i="118"/>
  <c r="T276" i="118"/>
  <c r="U276" i="118"/>
  <c r="V276" i="118"/>
  <c r="W276" i="118"/>
  <c r="X276" i="118"/>
  <c r="Y276" i="118"/>
  <c r="Z276" i="118"/>
  <c r="BK276" i="118"/>
  <c r="A278" i="118"/>
  <c r="BD277" i="118"/>
  <c r="I277" i="118"/>
  <c r="H277" i="118"/>
  <c r="AD112" i="118"/>
  <c r="AE113" i="118"/>
  <c r="AH113" i="118"/>
  <c r="AB276" i="118"/>
  <c r="AC275" i="118"/>
  <c r="I278" i="118"/>
  <c r="BD278" i="118"/>
  <c r="A279" i="118"/>
  <c r="H278" i="118"/>
  <c r="AF274" i="118"/>
  <c r="BL274" i="118"/>
  <c r="BK277" i="118"/>
  <c r="J277" i="118"/>
  <c r="K277" i="118"/>
  <c r="L277" i="118"/>
  <c r="M277" i="118"/>
  <c r="N277" i="118"/>
  <c r="O277" i="118"/>
  <c r="P277" i="118"/>
  <c r="Q277" i="118"/>
  <c r="R277" i="118"/>
  <c r="S277" i="118"/>
  <c r="T277" i="118"/>
  <c r="U277" i="118"/>
  <c r="V277" i="118"/>
  <c r="W277" i="118"/>
  <c r="X277" i="118"/>
  <c r="Y277" i="118"/>
  <c r="Z277" i="118"/>
  <c r="AF113" i="118"/>
  <c r="AG113" i="118"/>
  <c r="AD113" i="118"/>
  <c r="AK113" i="118"/>
  <c r="AB277" i="118"/>
  <c r="AC276" i="118"/>
  <c r="AF276" i="118"/>
  <c r="BK278" i="118"/>
  <c r="J278" i="118"/>
  <c r="K278" i="118"/>
  <c r="L278" i="118"/>
  <c r="M278" i="118"/>
  <c r="N278" i="118"/>
  <c r="O278" i="118"/>
  <c r="P278" i="118"/>
  <c r="Q278" i="118"/>
  <c r="R278" i="118"/>
  <c r="S278" i="118"/>
  <c r="T278" i="118"/>
  <c r="U278" i="118"/>
  <c r="V278" i="118"/>
  <c r="W278" i="118"/>
  <c r="X278" i="118"/>
  <c r="Y278" i="118"/>
  <c r="Z278" i="118"/>
  <c r="AF275" i="118"/>
  <c r="BL275" i="118"/>
  <c r="A280" i="118"/>
  <c r="I279" i="118"/>
  <c r="BD279" i="118"/>
  <c r="H279" i="118"/>
  <c r="AE114" i="118"/>
  <c r="AH114" i="118"/>
  <c r="AF114" i="118"/>
  <c r="AL114" i="118"/>
  <c r="F114" i="118"/>
  <c r="BL276" i="118"/>
  <c r="AB278" i="118"/>
  <c r="AC277" i="118"/>
  <c r="A281" i="118"/>
  <c r="BD280" i="118"/>
  <c r="I280" i="118"/>
  <c r="H280" i="118"/>
  <c r="BK279" i="118"/>
  <c r="J279" i="118"/>
  <c r="K279" i="118"/>
  <c r="L279" i="118"/>
  <c r="M279" i="118"/>
  <c r="N279" i="118"/>
  <c r="O279" i="118"/>
  <c r="P279" i="118"/>
  <c r="Q279" i="118"/>
  <c r="R279" i="118"/>
  <c r="S279" i="118"/>
  <c r="T279" i="118"/>
  <c r="U279" i="118"/>
  <c r="V279" i="118"/>
  <c r="W279" i="118"/>
  <c r="X279" i="118"/>
  <c r="Y279" i="118"/>
  <c r="Z279" i="118"/>
  <c r="AG114" i="118"/>
  <c r="AD114" i="118"/>
  <c r="AK114" i="118"/>
  <c r="AB279" i="118"/>
  <c r="AC278" i="118"/>
  <c r="BL278" i="118"/>
  <c r="BL277" i="118"/>
  <c r="AF277" i="118"/>
  <c r="I281" i="118"/>
  <c r="A282" i="118"/>
  <c r="H281" i="118"/>
  <c r="BD281" i="118"/>
  <c r="BK280" i="118"/>
  <c r="J280" i="118"/>
  <c r="K280" i="118"/>
  <c r="L280" i="118"/>
  <c r="M280" i="118"/>
  <c r="N280" i="118"/>
  <c r="O280" i="118"/>
  <c r="P280" i="118"/>
  <c r="Q280" i="118"/>
  <c r="R280" i="118"/>
  <c r="S280" i="118"/>
  <c r="T280" i="118"/>
  <c r="U280" i="118"/>
  <c r="V280" i="118"/>
  <c r="W280" i="118"/>
  <c r="X280" i="118"/>
  <c r="Y280" i="118"/>
  <c r="Z280" i="118"/>
  <c r="AL115" i="118"/>
  <c r="F115" i="118"/>
  <c r="AE115" i="118"/>
  <c r="AH115" i="118"/>
  <c r="AF115" i="118"/>
  <c r="AB280" i="118"/>
  <c r="AC279" i="118"/>
  <c r="AF278" i="118"/>
  <c r="BD282" i="118"/>
  <c r="A283" i="118"/>
  <c r="I282" i="118"/>
  <c r="H282" i="118"/>
  <c r="BK281" i="118"/>
  <c r="J281" i="118"/>
  <c r="K281" i="118"/>
  <c r="L281" i="118"/>
  <c r="M281" i="118"/>
  <c r="N281" i="118"/>
  <c r="O281" i="118"/>
  <c r="P281" i="118"/>
  <c r="Q281" i="118"/>
  <c r="R281" i="118"/>
  <c r="S281" i="118"/>
  <c r="T281" i="118"/>
  <c r="U281" i="118"/>
  <c r="V281" i="118"/>
  <c r="W281" i="118"/>
  <c r="X281" i="118"/>
  <c r="Y281" i="118"/>
  <c r="Z281" i="118"/>
  <c r="AG115" i="118"/>
  <c r="AD115" i="118"/>
  <c r="AE116" i="118"/>
  <c r="AH116" i="118"/>
  <c r="AK115" i="118"/>
  <c r="AL116" i="118"/>
  <c r="F116" i="118"/>
  <c r="BL279" i="118"/>
  <c r="AF279" i="118"/>
  <c r="AB281" i="118"/>
  <c r="J282" i="118"/>
  <c r="K282" i="118"/>
  <c r="L282" i="118"/>
  <c r="M282" i="118"/>
  <c r="N282" i="118"/>
  <c r="O282" i="118"/>
  <c r="P282" i="118"/>
  <c r="Q282" i="118"/>
  <c r="R282" i="118"/>
  <c r="S282" i="118"/>
  <c r="T282" i="118"/>
  <c r="U282" i="118"/>
  <c r="V282" i="118"/>
  <c r="W282" i="118"/>
  <c r="X282" i="118"/>
  <c r="Y282" i="118"/>
  <c r="Z282" i="118"/>
  <c r="BK282" i="118"/>
  <c r="BD283" i="118"/>
  <c r="A284" i="118"/>
  <c r="I283" i="118"/>
  <c r="H283" i="118"/>
  <c r="AF116" i="118"/>
  <c r="AG116" i="118"/>
  <c r="AD116" i="118"/>
  <c r="AE117" i="118"/>
  <c r="AH117" i="118"/>
  <c r="AK116" i="118"/>
  <c r="AB282" i="118"/>
  <c r="AC281" i="118"/>
  <c r="BK283" i="118"/>
  <c r="J283" i="118"/>
  <c r="K283" i="118"/>
  <c r="L283" i="118"/>
  <c r="M283" i="118"/>
  <c r="N283" i="118"/>
  <c r="O283" i="118"/>
  <c r="P283" i="118"/>
  <c r="Q283" i="118"/>
  <c r="R283" i="118"/>
  <c r="S283" i="118"/>
  <c r="T283" i="118"/>
  <c r="U283" i="118"/>
  <c r="V283" i="118"/>
  <c r="W283" i="118"/>
  <c r="X283" i="118"/>
  <c r="Y283" i="118"/>
  <c r="Z283" i="118"/>
  <c r="AC280" i="118"/>
  <c r="I284" i="118"/>
  <c r="BD284" i="118"/>
  <c r="A285" i="118"/>
  <c r="H284" i="118"/>
  <c r="AF117" i="118"/>
  <c r="AG117" i="118"/>
  <c r="AL117" i="118"/>
  <c r="F117" i="118"/>
  <c r="AB283" i="118"/>
  <c r="AC282" i="118"/>
  <c r="A286" i="118"/>
  <c r="BD285" i="118"/>
  <c r="I285" i="118"/>
  <c r="H285" i="118"/>
  <c r="AF280" i="118"/>
  <c r="BL280" i="118"/>
  <c r="BL281" i="118"/>
  <c r="AF281" i="118"/>
  <c r="BK284" i="118"/>
  <c r="J284" i="118"/>
  <c r="K284" i="118"/>
  <c r="L284" i="118"/>
  <c r="M284" i="118"/>
  <c r="N284" i="118"/>
  <c r="O284" i="118"/>
  <c r="P284" i="118"/>
  <c r="Q284" i="118"/>
  <c r="R284" i="118"/>
  <c r="S284" i="118"/>
  <c r="T284" i="118"/>
  <c r="U284" i="118"/>
  <c r="V284" i="118"/>
  <c r="W284" i="118"/>
  <c r="X284" i="118"/>
  <c r="Y284" i="118"/>
  <c r="Z284" i="118"/>
  <c r="AD117" i="118"/>
  <c r="AE118" i="118"/>
  <c r="AH118" i="118"/>
  <c r="AK117" i="118"/>
  <c r="AL118" i="118"/>
  <c r="F118" i="118"/>
  <c r="AB284" i="118"/>
  <c r="AC283" i="118"/>
  <c r="J285" i="118"/>
  <c r="K285" i="118"/>
  <c r="L285" i="118"/>
  <c r="M285" i="118"/>
  <c r="N285" i="118"/>
  <c r="O285" i="118"/>
  <c r="P285" i="118"/>
  <c r="Q285" i="118"/>
  <c r="R285" i="118"/>
  <c r="S285" i="118"/>
  <c r="T285" i="118"/>
  <c r="U285" i="118"/>
  <c r="V285" i="118"/>
  <c r="W285" i="118"/>
  <c r="X285" i="118"/>
  <c r="Y285" i="118"/>
  <c r="Z285" i="118"/>
  <c r="BK285" i="118"/>
  <c r="BD286" i="118"/>
  <c r="A287" i="118"/>
  <c r="I286" i="118"/>
  <c r="H286" i="118"/>
  <c r="BL282" i="118"/>
  <c r="AF282" i="118"/>
  <c r="AF118" i="118"/>
  <c r="AG118" i="118"/>
  <c r="AD118" i="118"/>
  <c r="AE119" i="118"/>
  <c r="AH119" i="118"/>
  <c r="AK118" i="118"/>
  <c r="AL119" i="118"/>
  <c r="F119" i="118"/>
  <c r="AB285" i="118"/>
  <c r="AC284" i="118"/>
  <c r="BK286" i="118"/>
  <c r="J286" i="118"/>
  <c r="K286" i="118"/>
  <c r="L286" i="118"/>
  <c r="M286" i="118"/>
  <c r="N286" i="118"/>
  <c r="O286" i="118"/>
  <c r="P286" i="118"/>
  <c r="Q286" i="118"/>
  <c r="R286" i="118"/>
  <c r="S286" i="118"/>
  <c r="T286" i="118"/>
  <c r="U286" i="118"/>
  <c r="V286" i="118"/>
  <c r="W286" i="118"/>
  <c r="X286" i="118"/>
  <c r="Y286" i="118"/>
  <c r="Z286" i="118"/>
  <c r="AF283" i="118"/>
  <c r="BL283" i="118"/>
  <c r="BD287" i="118"/>
  <c r="A288" i="118"/>
  <c r="I287" i="118"/>
  <c r="H287" i="118"/>
  <c r="AK119" i="118"/>
  <c r="AL120" i="118"/>
  <c r="F120" i="118"/>
  <c r="AF119" i="118"/>
  <c r="AG119" i="118"/>
  <c r="AD119" i="118"/>
  <c r="AB286" i="118"/>
  <c r="AC285" i="118"/>
  <c r="AF284" i="118"/>
  <c r="BL284" i="118"/>
  <c r="A289" i="118"/>
  <c r="I288" i="118"/>
  <c r="BD288" i="118"/>
  <c r="H288" i="118"/>
  <c r="BK287" i="118"/>
  <c r="J287" i="118"/>
  <c r="K287" i="118"/>
  <c r="L287" i="118"/>
  <c r="M287" i="118"/>
  <c r="N287" i="118"/>
  <c r="O287" i="118"/>
  <c r="P287" i="118"/>
  <c r="Q287" i="118"/>
  <c r="R287" i="118"/>
  <c r="S287" i="118"/>
  <c r="T287" i="118"/>
  <c r="U287" i="118"/>
  <c r="V287" i="118"/>
  <c r="W287" i="118"/>
  <c r="X287" i="118"/>
  <c r="Y287" i="118"/>
  <c r="Z287" i="118"/>
  <c r="AE120" i="118"/>
  <c r="AH120" i="118"/>
  <c r="AK120" i="118"/>
  <c r="AL121" i="118"/>
  <c r="F121" i="118"/>
  <c r="AF120" i="118"/>
  <c r="AF285" i="118"/>
  <c r="BL285" i="118"/>
  <c r="J288" i="118"/>
  <c r="K288" i="118"/>
  <c r="L288" i="118"/>
  <c r="M288" i="118"/>
  <c r="N288" i="118"/>
  <c r="O288" i="118"/>
  <c r="P288" i="118"/>
  <c r="Q288" i="118"/>
  <c r="R288" i="118"/>
  <c r="S288" i="118"/>
  <c r="T288" i="118"/>
  <c r="U288" i="118"/>
  <c r="V288" i="118"/>
  <c r="W288" i="118"/>
  <c r="X288" i="118"/>
  <c r="Y288" i="118"/>
  <c r="Z288" i="118"/>
  <c r="BK288" i="118"/>
  <c r="AB287" i="118"/>
  <c r="A290" i="118"/>
  <c r="I289" i="118"/>
  <c r="BD289" i="118"/>
  <c r="H289" i="118"/>
  <c r="AG120" i="118"/>
  <c r="AD120" i="118"/>
  <c r="AB288" i="118"/>
  <c r="AC287" i="118"/>
  <c r="AC286" i="118"/>
  <c r="BK289" i="118"/>
  <c r="J289" i="118"/>
  <c r="K289" i="118"/>
  <c r="L289" i="118"/>
  <c r="M289" i="118"/>
  <c r="N289" i="118"/>
  <c r="O289" i="118"/>
  <c r="P289" i="118"/>
  <c r="Q289" i="118"/>
  <c r="R289" i="118"/>
  <c r="S289" i="118"/>
  <c r="T289" i="118"/>
  <c r="U289" i="118"/>
  <c r="V289" i="118"/>
  <c r="W289" i="118"/>
  <c r="X289" i="118"/>
  <c r="Y289" i="118"/>
  <c r="Z289" i="118"/>
  <c r="BD290" i="118"/>
  <c r="H290" i="118"/>
  <c r="I290" i="118"/>
  <c r="A291" i="118"/>
  <c r="AE121" i="118"/>
  <c r="AH121" i="118"/>
  <c r="AK121" i="118"/>
  <c r="AF121" i="118"/>
  <c r="AB289" i="118"/>
  <c r="AC288" i="118"/>
  <c r="I291" i="118"/>
  <c r="BD291" i="118"/>
  <c r="A292" i="118"/>
  <c r="H291" i="118"/>
  <c r="BK290" i="118"/>
  <c r="J290" i="118"/>
  <c r="K290" i="118"/>
  <c r="L290" i="118"/>
  <c r="M290" i="118"/>
  <c r="N290" i="118"/>
  <c r="O290" i="118"/>
  <c r="P290" i="118"/>
  <c r="Q290" i="118"/>
  <c r="R290" i="118"/>
  <c r="S290" i="118"/>
  <c r="T290" i="118"/>
  <c r="U290" i="118"/>
  <c r="V290" i="118"/>
  <c r="W290" i="118"/>
  <c r="X290" i="118"/>
  <c r="Y290" i="118"/>
  <c r="Z290" i="118"/>
  <c r="AF287" i="118"/>
  <c r="BL287" i="118"/>
  <c r="BL286" i="118"/>
  <c r="AF286" i="118"/>
  <c r="AG121" i="118"/>
  <c r="AD121" i="118"/>
  <c r="AF122" i="118"/>
  <c r="AL122" i="118"/>
  <c r="F122" i="118"/>
  <c r="H292" i="118"/>
  <c r="I292" i="118"/>
  <c r="A293" i="118"/>
  <c r="BD292" i="118"/>
  <c r="AB290" i="118"/>
  <c r="AF288" i="118"/>
  <c r="BL288" i="118"/>
  <c r="BK291" i="118"/>
  <c r="J291" i="118"/>
  <c r="K291" i="118"/>
  <c r="L291" i="118"/>
  <c r="M291" i="118"/>
  <c r="N291" i="118"/>
  <c r="O291" i="118"/>
  <c r="P291" i="118"/>
  <c r="Q291" i="118"/>
  <c r="R291" i="118"/>
  <c r="S291" i="118"/>
  <c r="T291" i="118"/>
  <c r="U291" i="118"/>
  <c r="V291" i="118"/>
  <c r="W291" i="118"/>
  <c r="X291" i="118"/>
  <c r="Y291" i="118"/>
  <c r="Z291" i="118"/>
  <c r="AE122" i="118"/>
  <c r="AG122" i="118"/>
  <c r="J292" i="118"/>
  <c r="K292" i="118"/>
  <c r="L292" i="118"/>
  <c r="M292" i="118"/>
  <c r="N292" i="118"/>
  <c r="O292" i="118"/>
  <c r="P292" i="118"/>
  <c r="Q292" i="118"/>
  <c r="R292" i="118"/>
  <c r="S292" i="118"/>
  <c r="T292" i="118"/>
  <c r="U292" i="118"/>
  <c r="V292" i="118"/>
  <c r="W292" i="118"/>
  <c r="X292" i="118"/>
  <c r="Y292" i="118"/>
  <c r="Z292" i="118"/>
  <c r="BK292" i="118"/>
  <c r="AB291" i="118"/>
  <c r="AC290" i="118"/>
  <c r="AC289" i="118"/>
  <c r="H293" i="118"/>
  <c r="A294" i="118"/>
  <c r="I293" i="118"/>
  <c r="BD293" i="118"/>
  <c r="AH122" i="118"/>
  <c r="AK122" i="118"/>
  <c r="AL123" i="118"/>
  <c r="F123" i="118"/>
  <c r="AB292" i="118"/>
  <c r="AC291" i="118"/>
  <c r="BL290" i="118"/>
  <c r="AF290" i="118"/>
  <c r="BK293" i="118"/>
  <c r="J293" i="118"/>
  <c r="K293" i="118"/>
  <c r="L293" i="118"/>
  <c r="M293" i="118"/>
  <c r="N293" i="118"/>
  <c r="O293" i="118"/>
  <c r="P293" i="118"/>
  <c r="Q293" i="118"/>
  <c r="R293" i="118"/>
  <c r="S293" i="118"/>
  <c r="T293" i="118"/>
  <c r="U293" i="118"/>
  <c r="V293" i="118"/>
  <c r="W293" i="118"/>
  <c r="X293" i="118"/>
  <c r="Y293" i="118"/>
  <c r="Z293" i="118"/>
  <c r="AF289" i="118"/>
  <c r="BL289" i="118"/>
  <c r="H294" i="118"/>
  <c r="A295" i="118"/>
  <c r="I294" i="118"/>
  <c r="BD294" i="118"/>
  <c r="AD122" i="118"/>
  <c r="AE123" i="118"/>
  <c r="BL291" i="118"/>
  <c r="AF291" i="118"/>
  <c r="AB293" i="118"/>
  <c r="AC292" i="118"/>
  <c r="J294" i="118"/>
  <c r="K294" i="118"/>
  <c r="L294" i="118"/>
  <c r="M294" i="118"/>
  <c r="N294" i="118"/>
  <c r="O294" i="118"/>
  <c r="P294" i="118"/>
  <c r="Q294" i="118"/>
  <c r="R294" i="118"/>
  <c r="S294" i="118"/>
  <c r="T294" i="118"/>
  <c r="U294" i="118"/>
  <c r="V294" i="118"/>
  <c r="W294" i="118"/>
  <c r="X294" i="118"/>
  <c r="Y294" i="118"/>
  <c r="Z294" i="118"/>
  <c r="BK294" i="118"/>
  <c r="I295" i="118"/>
  <c r="BD295" i="118"/>
  <c r="H295" i="118"/>
  <c r="A296" i="118"/>
  <c r="AF123" i="118"/>
  <c r="AG123" i="118"/>
  <c r="AH123" i="118"/>
  <c r="AK123" i="118"/>
  <c r="AB294" i="118"/>
  <c r="AC293" i="118"/>
  <c r="BL293" i="118"/>
  <c r="BL292" i="118"/>
  <c r="AF292" i="118"/>
  <c r="H296" i="118"/>
  <c r="I296" i="118"/>
  <c r="A297" i="118"/>
  <c r="BD296" i="118"/>
  <c r="BK295" i="118"/>
  <c r="J295" i="118"/>
  <c r="K295" i="118"/>
  <c r="L295" i="118"/>
  <c r="M295" i="118"/>
  <c r="N295" i="118"/>
  <c r="O295" i="118"/>
  <c r="P295" i="118"/>
  <c r="Q295" i="118"/>
  <c r="R295" i="118"/>
  <c r="S295" i="118"/>
  <c r="T295" i="118"/>
  <c r="U295" i="118"/>
  <c r="V295" i="118"/>
  <c r="W295" i="118"/>
  <c r="X295" i="118"/>
  <c r="Y295" i="118"/>
  <c r="Z295" i="118"/>
  <c r="AL124" i="118"/>
  <c r="F124" i="118"/>
  <c r="AD123" i="118"/>
  <c r="AF293" i="118"/>
  <c r="AB295" i="118"/>
  <c r="AC294" i="118"/>
  <c r="H297" i="118"/>
  <c r="BD297" i="118"/>
  <c r="A298" i="118"/>
  <c r="I297" i="118"/>
  <c r="BK296" i="118"/>
  <c r="J296" i="118"/>
  <c r="K296" i="118"/>
  <c r="L296" i="118"/>
  <c r="M296" i="118"/>
  <c r="N296" i="118"/>
  <c r="O296" i="118"/>
  <c r="P296" i="118"/>
  <c r="Q296" i="118"/>
  <c r="R296" i="118"/>
  <c r="S296" i="118"/>
  <c r="T296" i="118"/>
  <c r="U296" i="118"/>
  <c r="V296" i="118"/>
  <c r="W296" i="118"/>
  <c r="X296" i="118"/>
  <c r="Y296" i="118"/>
  <c r="Z296" i="118"/>
  <c r="AF124" i="118"/>
  <c r="AE124" i="118"/>
  <c r="AH124" i="118"/>
  <c r="AK124" i="118"/>
  <c r="AB296" i="118"/>
  <c r="AC295" i="118"/>
  <c r="BL294" i="118"/>
  <c r="AF294" i="118"/>
  <c r="J297" i="118"/>
  <c r="K297" i="118"/>
  <c r="L297" i="118"/>
  <c r="M297" i="118"/>
  <c r="N297" i="118"/>
  <c r="O297" i="118"/>
  <c r="P297" i="118"/>
  <c r="Q297" i="118"/>
  <c r="R297" i="118"/>
  <c r="S297" i="118"/>
  <c r="T297" i="118"/>
  <c r="U297" i="118"/>
  <c r="V297" i="118"/>
  <c r="W297" i="118"/>
  <c r="X297" i="118"/>
  <c r="Y297" i="118"/>
  <c r="Z297" i="118"/>
  <c r="BK297" i="118"/>
  <c r="BD298" i="118"/>
  <c r="H298" i="118"/>
  <c r="I298" i="118"/>
  <c r="A299" i="118"/>
  <c r="AG124" i="118"/>
  <c r="AD124" i="118"/>
  <c r="AE125" i="118"/>
  <c r="AL125" i="118"/>
  <c r="F125" i="118"/>
  <c r="AB297" i="118"/>
  <c r="AC296" i="118"/>
  <c r="AF295" i="118"/>
  <c r="BL295" i="118"/>
  <c r="I299" i="118"/>
  <c r="BD299" i="118"/>
  <c r="H299" i="118"/>
  <c r="A300" i="118"/>
  <c r="BK298" i="118"/>
  <c r="J298" i="118"/>
  <c r="K298" i="118"/>
  <c r="L298" i="118"/>
  <c r="M298" i="118"/>
  <c r="N298" i="118"/>
  <c r="O298" i="118"/>
  <c r="P298" i="118"/>
  <c r="Q298" i="118"/>
  <c r="R298" i="118"/>
  <c r="S298" i="118"/>
  <c r="T298" i="118"/>
  <c r="U298" i="118"/>
  <c r="V298" i="118"/>
  <c r="W298" i="118"/>
  <c r="X298" i="118"/>
  <c r="Y298" i="118"/>
  <c r="Z298" i="118"/>
  <c r="AF125" i="118"/>
  <c r="AG125" i="118"/>
  <c r="AH125" i="118"/>
  <c r="AK125" i="118"/>
  <c r="AB298" i="118"/>
  <c r="AC297" i="118"/>
  <c r="BK299" i="118"/>
  <c r="J299" i="118"/>
  <c r="K299" i="118"/>
  <c r="L299" i="118"/>
  <c r="M299" i="118"/>
  <c r="N299" i="118"/>
  <c r="O299" i="118"/>
  <c r="P299" i="118"/>
  <c r="Q299" i="118"/>
  <c r="R299" i="118"/>
  <c r="S299" i="118"/>
  <c r="T299" i="118"/>
  <c r="U299" i="118"/>
  <c r="V299" i="118"/>
  <c r="W299" i="118"/>
  <c r="X299" i="118"/>
  <c r="Y299" i="118"/>
  <c r="Z299" i="118"/>
  <c r="H300" i="118"/>
  <c r="I300" i="118"/>
  <c r="A301" i="118"/>
  <c r="BD300" i="118"/>
  <c r="AF296" i="118"/>
  <c r="BL296" i="118"/>
  <c r="AD125" i="118"/>
  <c r="AE126" i="118"/>
  <c r="AH126" i="118"/>
  <c r="AF126" i="118"/>
  <c r="AL126" i="118"/>
  <c r="F126" i="118"/>
  <c r="AB299" i="118"/>
  <c r="AC298" i="118"/>
  <c r="H301" i="118"/>
  <c r="BD301" i="118"/>
  <c r="I301" i="118"/>
  <c r="A302" i="118"/>
  <c r="J300" i="118"/>
  <c r="K300" i="118"/>
  <c r="L300" i="118"/>
  <c r="M300" i="118"/>
  <c r="N300" i="118"/>
  <c r="O300" i="118"/>
  <c r="P300" i="118"/>
  <c r="Q300" i="118"/>
  <c r="R300" i="118"/>
  <c r="S300" i="118"/>
  <c r="T300" i="118"/>
  <c r="U300" i="118"/>
  <c r="V300" i="118"/>
  <c r="W300" i="118"/>
  <c r="X300" i="118"/>
  <c r="Y300" i="118"/>
  <c r="Z300" i="118"/>
  <c r="BK300" i="118"/>
  <c r="BL297" i="118"/>
  <c r="AF297" i="118"/>
  <c r="AK126" i="118"/>
  <c r="AG126" i="118"/>
  <c r="AD126" i="118"/>
  <c r="AB300" i="118"/>
  <c r="AC299" i="118"/>
  <c r="BL299" i="118"/>
  <c r="BK301" i="118"/>
  <c r="J301" i="118"/>
  <c r="K301" i="118"/>
  <c r="L301" i="118"/>
  <c r="M301" i="118"/>
  <c r="N301" i="118"/>
  <c r="O301" i="118"/>
  <c r="P301" i="118"/>
  <c r="Q301" i="118"/>
  <c r="R301" i="118"/>
  <c r="S301" i="118"/>
  <c r="T301" i="118"/>
  <c r="U301" i="118"/>
  <c r="V301" i="118"/>
  <c r="W301" i="118"/>
  <c r="X301" i="118"/>
  <c r="Y301" i="118"/>
  <c r="Z301" i="118"/>
  <c r="AF298" i="118"/>
  <c r="BL298" i="118"/>
  <c r="BD302" i="118"/>
  <c r="H302" i="118"/>
  <c r="I302" i="118"/>
  <c r="A303" i="118"/>
  <c r="AE127" i="118"/>
  <c r="AF127" i="118"/>
  <c r="AL127" i="118"/>
  <c r="F127" i="118"/>
  <c r="AF299" i="118"/>
  <c r="AB301" i="118"/>
  <c r="AC300" i="118"/>
  <c r="J302" i="118"/>
  <c r="K302" i="118"/>
  <c r="L302" i="118"/>
  <c r="M302" i="118"/>
  <c r="N302" i="118"/>
  <c r="O302" i="118"/>
  <c r="P302" i="118"/>
  <c r="Q302" i="118"/>
  <c r="R302" i="118"/>
  <c r="S302" i="118"/>
  <c r="T302" i="118"/>
  <c r="U302" i="118"/>
  <c r="V302" i="118"/>
  <c r="W302" i="118"/>
  <c r="X302" i="118"/>
  <c r="Y302" i="118"/>
  <c r="Z302" i="118"/>
  <c r="BK302" i="118"/>
  <c r="BD303" i="118"/>
  <c r="H303" i="118"/>
  <c r="I303" i="118"/>
  <c r="A304" i="118"/>
  <c r="AG127" i="118"/>
  <c r="AH127" i="118"/>
  <c r="J303" i="118"/>
  <c r="K303" i="118"/>
  <c r="L303" i="118"/>
  <c r="M303" i="118"/>
  <c r="N303" i="118"/>
  <c r="O303" i="118"/>
  <c r="P303" i="118"/>
  <c r="Q303" i="118"/>
  <c r="R303" i="118"/>
  <c r="S303" i="118"/>
  <c r="T303" i="118"/>
  <c r="U303" i="118"/>
  <c r="V303" i="118"/>
  <c r="W303" i="118"/>
  <c r="X303" i="118"/>
  <c r="Y303" i="118"/>
  <c r="Z303" i="118"/>
  <c r="BK303" i="118"/>
  <c r="AB302" i="118"/>
  <c r="AF300" i="118"/>
  <c r="BL300" i="118"/>
  <c r="I304" i="118"/>
  <c r="BD304" i="118"/>
  <c r="H304" i="118"/>
  <c r="A305" i="118"/>
  <c r="AD127" i="118"/>
  <c r="AE128" i="118"/>
  <c r="AF128" i="118"/>
  <c r="AK127" i="118"/>
  <c r="AL128" i="118"/>
  <c r="F128" i="118"/>
  <c r="AC301" i="118"/>
  <c r="AB303" i="118"/>
  <c r="J304" i="118"/>
  <c r="K304" i="118"/>
  <c r="L304" i="118"/>
  <c r="M304" i="118"/>
  <c r="N304" i="118"/>
  <c r="O304" i="118"/>
  <c r="P304" i="118"/>
  <c r="Q304" i="118"/>
  <c r="R304" i="118"/>
  <c r="S304" i="118"/>
  <c r="T304" i="118"/>
  <c r="U304" i="118"/>
  <c r="V304" i="118"/>
  <c r="W304" i="118"/>
  <c r="X304" i="118"/>
  <c r="Y304" i="118"/>
  <c r="Z304" i="118"/>
  <c r="BK304" i="118"/>
  <c r="BD305" i="118"/>
  <c r="H305" i="118"/>
  <c r="I305" i="118"/>
  <c r="A306" i="118"/>
  <c r="AG128" i="118"/>
  <c r="AH128" i="118"/>
  <c r="AK128" i="118"/>
  <c r="AL129" i="118"/>
  <c r="F129" i="118"/>
  <c r="AF129" i="118"/>
  <c r="AB304" i="118"/>
  <c r="AC303" i="118"/>
  <c r="AF301" i="118"/>
  <c r="BL301" i="118"/>
  <c r="J305" i="118"/>
  <c r="K305" i="118"/>
  <c r="L305" i="118"/>
  <c r="M305" i="118"/>
  <c r="N305" i="118"/>
  <c r="O305" i="118"/>
  <c r="P305" i="118"/>
  <c r="Q305" i="118"/>
  <c r="R305" i="118"/>
  <c r="S305" i="118"/>
  <c r="T305" i="118"/>
  <c r="U305" i="118"/>
  <c r="V305" i="118"/>
  <c r="W305" i="118"/>
  <c r="X305" i="118"/>
  <c r="Y305" i="118"/>
  <c r="Z305" i="118"/>
  <c r="AB305" i="118"/>
  <c r="BK305" i="118"/>
  <c r="H306" i="118"/>
  <c r="BD306" i="118"/>
  <c r="A307" i="118"/>
  <c r="I306" i="118"/>
  <c r="AC302" i="118"/>
  <c r="AD128" i="118"/>
  <c r="AE129" i="118"/>
  <c r="AG129" i="118"/>
  <c r="AC304" i="118"/>
  <c r="BL302" i="118"/>
  <c r="AF302" i="118"/>
  <c r="BL303" i="118"/>
  <c r="AF303" i="118"/>
  <c r="A308" i="118"/>
  <c r="I307" i="118"/>
  <c r="BD307" i="118"/>
  <c r="H307" i="118"/>
  <c r="BK306" i="118"/>
  <c r="J306" i="118"/>
  <c r="K306" i="118"/>
  <c r="L306" i="118"/>
  <c r="M306" i="118"/>
  <c r="N306" i="118"/>
  <c r="O306" i="118"/>
  <c r="P306" i="118"/>
  <c r="Q306" i="118"/>
  <c r="R306" i="118"/>
  <c r="S306" i="118"/>
  <c r="T306" i="118"/>
  <c r="U306" i="118"/>
  <c r="V306" i="118"/>
  <c r="W306" i="118"/>
  <c r="X306" i="118"/>
  <c r="Y306" i="118"/>
  <c r="Z306" i="118"/>
  <c r="AH129" i="118"/>
  <c r="AK129" i="118"/>
  <c r="AL130" i="118"/>
  <c r="F130" i="118"/>
  <c r="AF304" i="118"/>
  <c r="BL304" i="118"/>
  <c r="AB306" i="118"/>
  <c r="J307" i="118"/>
  <c r="K307" i="118"/>
  <c r="L307" i="118"/>
  <c r="M307" i="118"/>
  <c r="N307" i="118"/>
  <c r="O307" i="118"/>
  <c r="P307" i="118"/>
  <c r="Q307" i="118"/>
  <c r="R307" i="118"/>
  <c r="S307" i="118"/>
  <c r="T307" i="118"/>
  <c r="U307" i="118"/>
  <c r="V307" i="118"/>
  <c r="W307" i="118"/>
  <c r="X307" i="118"/>
  <c r="Y307" i="118"/>
  <c r="Z307" i="118"/>
  <c r="BK307" i="118"/>
  <c r="BD308" i="118"/>
  <c r="A309" i="118"/>
  <c r="H308" i="118"/>
  <c r="I308" i="118"/>
  <c r="AD129" i="118"/>
  <c r="AE130" i="118"/>
  <c r="AH130" i="118"/>
  <c r="AK130" i="118"/>
  <c r="AF130" i="118"/>
  <c r="AB307" i="118"/>
  <c r="AC306" i="118"/>
  <c r="BK308" i="118"/>
  <c r="J308" i="118"/>
  <c r="K308" i="118"/>
  <c r="L308" i="118"/>
  <c r="M308" i="118"/>
  <c r="N308" i="118"/>
  <c r="O308" i="118"/>
  <c r="P308" i="118"/>
  <c r="Q308" i="118"/>
  <c r="R308" i="118"/>
  <c r="S308" i="118"/>
  <c r="T308" i="118"/>
  <c r="U308" i="118"/>
  <c r="V308" i="118"/>
  <c r="W308" i="118"/>
  <c r="X308" i="118"/>
  <c r="Y308" i="118"/>
  <c r="Z308" i="118"/>
  <c r="AC305" i="118"/>
  <c r="H309" i="118"/>
  <c r="I309" i="118"/>
  <c r="A310" i="118"/>
  <c r="BD309" i="118"/>
  <c r="AL131" i="118"/>
  <c r="F131" i="118"/>
  <c r="AG130" i="118"/>
  <c r="AD130" i="118"/>
  <c r="AB308" i="118"/>
  <c r="AC307" i="118"/>
  <c r="BL306" i="118"/>
  <c r="AF306" i="118"/>
  <c r="BD310" i="118"/>
  <c r="I310" i="118"/>
  <c r="H310" i="118"/>
  <c r="A311" i="118"/>
  <c r="AF305" i="118"/>
  <c r="BL305" i="118"/>
  <c r="J309" i="118"/>
  <c r="K309" i="118"/>
  <c r="L309" i="118"/>
  <c r="M309" i="118"/>
  <c r="N309" i="118"/>
  <c r="O309" i="118"/>
  <c r="P309" i="118"/>
  <c r="Q309" i="118"/>
  <c r="R309" i="118"/>
  <c r="S309" i="118"/>
  <c r="T309" i="118"/>
  <c r="U309" i="118"/>
  <c r="V309" i="118"/>
  <c r="W309" i="118"/>
  <c r="X309" i="118"/>
  <c r="Y309" i="118"/>
  <c r="Z309" i="118"/>
  <c r="BK309" i="118"/>
  <c r="AE131" i="118"/>
  <c r="AH131" i="118"/>
  <c r="AK131" i="118"/>
  <c r="AF131" i="118"/>
  <c r="AB309" i="118"/>
  <c r="AC308" i="118"/>
  <c r="AF307" i="118"/>
  <c r="BL307" i="118"/>
  <c r="A312" i="118"/>
  <c r="I311" i="118"/>
  <c r="BD311" i="118"/>
  <c r="H311" i="118"/>
  <c r="BK310" i="118"/>
  <c r="J310" i="118"/>
  <c r="K310" i="118"/>
  <c r="L310" i="118"/>
  <c r="M310" i="118"/>
  <c r="N310" i="118"/>
  <c r="O310" i="118"/>
  <c r="P310" i="118"/>
  <c r="Q310" i="118"/>
  <c r="R310" i="118"/>
  <c r="S310" i="118"/>
  <c r="T310" i="118"/>
  <c r="U310" i="118"/>
  <c r="V310" i="118"/>
  <c r="W310" i="118"/>
  <c r="X310" i="118"/>
  <c r="Y310" i="118"/>
  <c r="Z310" i="118"/>
  <c r="AL132" i="118"/>
  <c r="F132" i="118"/>
  <c r="AG131" i="118"/>
  <c r="AD131" i="118"/>
  <c r="AB310" i="118"/>
  <c r="AC309" i="118"/>
  <c r="J311" i="118"/>
  <c r="K311" i="118"/>
  <c r="L311" i="118"/>
  <c r="M311" i="118"/>
  <c r="N311" i="118"/>
  <c r="O311" i="118"/>
  <c r="P311" i="118"/>
  <c r="Q311" i="118"/>
  <c r="R311" i="118"/>
  <c r="S311" i="118"/>
  <c r="T311" i="118"/>
  <c r="U311" i="118"/>
  <c r="V311" i="118"/>
  <c r="W311" i="118"/>
  <c r="X311" i="118"/>
  <c r="Y311" i="118"/>
  <c r="Z311" i="118"/>
  <c r="BK311" i="118"/>
  <c r="AF308" i="118"/>
  <c r="BL308" i="118"/>
  <c r="BD312" i="118"/>
  <c r="A313" i="118"/>
  <c r="H312" i="118"/>
  <c r="I312" i="118"/>
  <c r="AF132" i="118"/>
  <c r="AE132" i="118"/>
  <c r="AH132" i="118"/>
  <c r="AK132" i="118"/>
  <c r="AB311" i="118"/>
  <c r="AC310" i="118"/>
  <c r="BD313" i="118"/>
  <c r="H313" i="118"/>
  <c r="I313" i="118"/>
  <c r="A314" i="118"/>
  <c r="BK312" i="118"/>
  <c r="J312" i="118"/>
  <c r="K312" i="118"/>
  <c r="L312" i="118"/>
  <c r="M312" i="118"/>
  <c r="N312" i="118"/>
  <c r="O312" i="118"/>
  <c r="P312" i="118"/>
  <c r="Q312" i="118"/>
  <c r="R312" i="118"/>
  <c r="S312" i="118"/>
  <c r="T312" i="118"/>
  <c r="U312" i="118"/>
  <c r="V312" i="118"/>
  <c r="W312" i="118"/>
  <c r="X312" i="118"/>
  <c r="Y312" i="118"/>
  <c r="Z312" i="118"/>
  <c r="AF309" i="118"/>
  <c r="BL309" i="118"/>
  <c r="AG132" i="118"/>
  <c r="AD132" i="118"/>
  <c r="AF133" i="118"/>
  <c r="AL133" i="118"/>
  <c r="F133" i="118"/>
  <c r="AB312" i="118"/>
  <c r="I314" i="118"/>
  <c r="BD314" i="118"/>
  <c r="H314" i="118"/>
  <c r="A315" i="118"/>
  <c r="BL310" i="118"/>
  <c r="AF310" i="118"/>
  <c r="J313" i="118"/>
  <c r="K313" i="118"/>
  <c r="L313" i="118"/>
  <c r="M313" i="118"/>
  <c r="N313" i="118"/>
  <c r="O313" i="118"/>
  <c r="P313" i="118"/>
  <c r="Q313" i="118"/>
  <c r="R313" i="118"/>
  <c r="S313" i="118"/>
  <c r="T313" i="118"/>
  <c r="U313" i="118"/>
  <c r="V313" i="118"/>
  <c r="W313" i="118"/>
  <c r="X313" i="118"/>
  <c r="Y313" i="118"/>
  <c r="Z313" i="118"/>
  <c r="BK313" i="118"/>
  <c r="AE133" i="118"/>
  <c r="AG133" i="118"/>
  <c r="AB313" i="118"/>
  <c r="AC312" i="118"/>
  <c r="BK314" i="118"/>
  <c r="J314" i="118"/>
  <c r="K314" i="118"/>
  <c r="L314" i="118"/>
  <c r="M314" i="118"/>
  <c r="N314" i="118"/>
  <c r="O314" i="118"/>
  <c r="P314" i="118"/>
  <c r="Q314" i="118"/>
  <c r="R314" i="118"/>
  <c r="S314" i="118"/>
  <c r="T314" i="118"/>
  <c r="U314" i="118"/>
  <c r="V314" i="118"/>
  <c r="W314" i="118"/>
  <c r="X314" i="118"/>
  <c r="Y314" i="118"/>
  <c r="Z314" i="118"/>
  <c r="AC311" i="118"/>
  <c r="A316" i="118"/>
  <c r="I315" i="118"/>
  <c r="BD315" i="118"/>
  <c r="H315" i="118"/>
  <c r="AH133" i="118"/>
  <c r="AK133" i="118"/>
  <c r="AL134" i="118"/>
  <c r="F134" i="118"/>
  <c r="AB314" i="118"/>
  <c r="AC313" i="118"/>
  <c r="AF312" i="118"/>
  <c r="BL312" i="118"/>
  <c r="J315" i="118"/>
  <c r="K315" i="118"/>
  <c r="L315" i="118"/>
  <c r="M315" i="118"/>
  <c r="N315" i="118"/>
  <c r="O315" i="118"/>
  <c r="P315" i="118"/>
  <c r="Q315" i="118"/>
  <c r="R315" i="118"/>
  <c r="S315" i="118"/>
  <c r="T315" i="118"/>
  <c r="U315" i="118"/>
  <c r="V315" i="118"/>
  <c r="W315" i="118"/>
  <c r="X315" i="118"/>
  <c r="Y315" i="118"/>
  <c r="Z315" i="118"/>
  <c r="BK315" i="118"/>
  <c r="H316" i="118"/>
  <c r="BD316" i="118"/>
  <c r="A317" i="118"/>
  <c r="I316" i="118"/>
  <c r="BL311" i="118"/>
  <c r="AF311" i="118"/>
  <c r="AD133" i="118"/>
  <c r="AF134" i="118"/>
  <c r="AB315" i="118"/>
  <c r="AC314" i="118"/>
  <c r="AF313" i="118"/>
  <c r="BL313" i="118"/>
  <c r="BK316" i="118"/>
  <c r="J316" i="118"/>
  <c r="K316" i="118"/>
  <c r="L316" i="118"/>
  <c r="M316" i="118"/>
  <c r="N316" i="118"/>
  <c r="O316" i="118"/>
  <c r="P316" i="118"/>
  <c r="Q316" i="118"/>
  <c r="R316" i="118"/>
  <c r="S316" i="118"/>
  <c r="T316" i="118"/>
  <c r="U316" i="118"/>
  <c r="V316" i="118"/>
  <c r="W316" i="118"/>
  <c r="X316" i="118"/>
  <c r="Y316" i="118"/>
  <c r="Z316" i="118"/>
  <c r="BD317" i="118"/>
  <c r="I317" i="118"/>
  <c r="H317" i="118"/>
  <c r="A318" i="118"/>
  <c r="AE134" i="118"/>
  <c r="AG134" i="118"/>
  <c r="AB316" i="118"/>
  <c r="AC315" i="118"/>
  <c r="J317" i="118"/>
  <c r="K317" i="118"/>
  <c r="L317" i="118"/>
  <c r="M317" i="118"/>
  <c r="N317" i="118"/>
  <c r="O317" i="118"/>
  <c r="P317" i="118"/>
  <c r="Q317" i="118"/>
  <c r="R317" i="118"/>
  <c r="S317" i="118"/>
  <c r="T317" i="118"/>
  <c r="U317" i="118"/>
  <c r="V317" i="118"/>
  <c r="W317" i="118"/>
  <c r="X317" i="118"/>
  <c r="Y317" i="118"/>
  <c r="Z317" i="118"/>
  <c r="BK317" i="118"/>
  <c r="BL314" i="118"/>
  <c r="AF314" i="118"/>
  <c r="H318" i="118"/>
  <c r="I318" i="118"/>
  <c r="A319" i="118"/>
  <c r="BD318" i="118"/>
  <c r="AH134" i="118"/>
  <c r="AK134" i="118"/>
  <c r="AL135" i="118"/>
  <c r="F135" i="118"/>
  <c r="AB317" i="118"/>
  <c r="AC316" i="118"/>
  <c r="AF315" i="118"/>
  <c r="BL315" i="118"/>
  <c r="H319" i="118"/>
  <c r="I319" i="118"/>
  <c r="BD319" i="118"/>
  <c r="A320" i="118"/>
  <c r="BK318" i="118"/>
  <c r="J318" i="118"/>
  <c r="K318" i="118"/>
  <c r="L318" i="118"/>
  <c r="M318" i="118"/>
  <c r="N318" i="118"/>
  <c r="O318" i="118"/>
  <c r="P318" i="118"/>
  <c r="Q318" i="118"/>
  <c r="R318" i="118"/>
  <c r="S318" i="118"/>
  <c r="T318" i="118"/>
  <c r="U318" i="118"/>
  <c r="V318" i="118"/>
  <c r="W318" i="118"/>
  <c r="X318" i="118"/>
  <c r="Y318" i="118"/>
  <c r="Z318" i="118"/>
  <c r="AD134" i="118"/>
  <c r="AE135" i="118"/>
  <c r="AH135" i="118"/>
  <c r="AK135" i="118"/>
  <c r="AB318" i="118"/>
  <c r="AC317" i="118"/>
  <c r="BK319" i="118"/>
  <c r="J319" i="118"/>
  <c r="K319" i="118"/>
  <c r="L319" i="118"/>
  <c r="M319" i="118"/>
  <c r="N319" i="118"/>
  <c r="O319" i="118"/>
  <c r="P319" i="118"/>
  <c r="Q319" i="118"/>
  <c r="R319" i="118"/>
  <c r="S319" i="118"/>
  <c r="T319" i="118"/>
  <c r="U319" i="118"/>
  <c r="V319" i="118"/>
  <c r="W319" i="118"/>
  <c r="X319" i="118"/>
  <c r="Y319" i="118"/>
  <c r="Z319" i="118"/>
  <c r="I320" i="118"/>
  <c r="A321" i="118"/>
  <c r="H320" i="118"/>
  <c r="BD320" i="118"/>
  <c r="AF316" i="118"/>
  <c r="BL316" i="118"/>
  <c r="AF135" i="118"/>
  <c r="AG135" i="118"/>
  <c r="AD135" i="118"/>
  <c r="AE136" i="118"/>
  <c r="AH136" i="118"/>
  <c r="AL136" i="118"/>
  <c r="F136" i="118"/>
  <c r="AB319" i="118"/>
  <c r="AC318" i="118"/>
  <c r="BL318" i="118"/>
  <c r="AF317" i="118"/>
  <c r="BL317" i="118"/>
  <c r="H321" i="118"/>
  <c r="I321" i="118"/>
  <c r="BD321" i="118"/>
  <c r="A322" i="118"/>
  <c r="BK320" i="118"/>
  <c r="J320" i="118"/>
  <c r="K320" i="118"/>
  <c r="L320" i="118"/>
  <c r="M320" i="118"/>
  <c r="N320" i="118"/>
  <c r="O320" i="118"/>
  <c r="P320" i="118"/>
  <c r="Q320" i="118"/>
  <c r="R320" i="118"/>
  <c r="S320" i="118"/>
  <c r="T320" i="118"/>
  <c r="U320" i="118"/>
  <c r="V320" i="118"/>
  <c r="W320" i="118"/>
  <c r="X320" i="118"/>
  <c r="Y320" i="118"/>
  <c r="Z320" i="118"/>
  <c r="AF136" i="118"/>
  <c r="AG136" i="118"/>
  <c r="AD136" i="118"/>
  <c r="AK136" i="118"/>
  <c r="AL137" i="118"/>
  <c r="F137" i="118"/>
  <c r="AB320" i="118"/>
  <c r="AC319" i="118"/>
  <c r="AF318" i="118"/>
  <c r="J321" i="118"/>
  <c r="K321" i="118"/>
  <c r="L321" i="118"/>
  <c r="M321" i="118"/>
  <c r="N321" i="118"/>
  <c r="O321" i="118"/>
  <c r="P321" i="118"/>
  <c r="Q321" i="118"/>
  <c r="R321" i="118"/>
  <c r="S321" i="118"/>
  <c r="T321" i="118"/>
  <c r="U321" i="118"/>
  <c r="V321" i="118"/>
  <c r="W321" i="118"/>
  <c r="X321" i="118"/>
  <c r="Y321" i="118"/>
  <c r="Z321" i="118"/>
  <c r="BK321" i="118"/>
  <c r="BD322" i="118"/>
  <c r="H322" i="118"/>
  <c r="I322" i="118"/>
  <c r="A323" i="118"/>
  <c r="AF137" i="118"/>
  <c r="AE137" i="118"/>
  <c r="AB321" i="118"/>
  <c r="AC320" i="118"/>
  <c r="BK322" i="118"/>
  <c r="J322" i="118"/>
  <c r="K322" i="118"/>
  <c r="L322" i="118"/>
  <c r="M322" i="118"/>
  <c r="N322" i="118"/>
  <c r="O322" i="118"/>
  <c r="P322" i="118"/>
  <c r="Q322" i="118"/>
  <c r="R322" i="118"/>
  <c r="S322" i="118"/>
  <c r="T322" i="118"/>
  <c r="U322" i="118"/>
  <c r="V322" i="118"/>
  <c r="W322" i="118"/>
  <c r="X322" i="118"/>
  <c r="Y322" i="118"/>
  <c r="Z322" i="118"/>
  <c r="AF319" i="118"/>
  <c r="BL319" i="118"/>
  <c r="H323" i="118"/>
  <c r="BD323" i="118"/>
  <c r="I323" i="118"/>
  <c r="A324" i="118"/>
  <c r="AG137" i="118"/>
  <c r="AH137" i="118"/>
  <c r="AK137" i="118"/>
  <c r="AB322" i="118"/>
  <c r="AC321" i="118"/>
  <c r="AF321" i="118"/>
  <c r="J323" i="118"/>
  <c r="K323" i="118"/>
  <c r="L323" i="118"/>
  <c r="M323" i="118"/>
  <c r="N323" i="118"/>
  <c r="O323" i="118"/>
  <c r="P323" i="118"/>
  <c r="Q323" i="118"/>
  <c r="R323" i="118"/>
  <c r="S323" i="118"/>
  <c r="T323" i="118"/>
  <c r="U323" i="118"/>
  <c r="V323" i="118"/>
  <c r="W323" i="118"/>
  <c r="X323" i="118"/>
  <c r="Y323" i="118"/>
  <c r="Z323" i="118"/>
  <c r="BK323" i="118"/>
  <c r="H324" i="118"/>
  <c r="BD324" i="118"/>
  <c r="A325" i="118"/>
  <c r="I324" i="118"/>
  <c r="AF320" i="118"/>
  <c r="BL320" i="118"/>
  <c r="AD137" i="118"/>
  <c r="AF138" i="118"/>
  <c r="AL138" i="118"/>
  <c r="F138" i="118"/>
  <c r="BL321" i="118"/>
  <c r="AB323" i="118"/>
  <c r="AC322" i="118"/>
  <c r="AF322" i="118"/>
  <c r="H325" i="118"/>
  <c r="I325" i="118"/>
  <c r="BD325" i="118"/>
  <c r="BK324" i="118"/>
  <c r="J324" i="118"/>
  <c r="K324" i="118"/>
  <c r="L324" i="118"/>
  <c r="M324" i="118"/>
  <c r="N324" i="118"/>
  <c r="O324" i="118"/>
  <c r="P324" i="118"/>
  <c r="Q324" i="118"/>
  <c r="R324" i="118"/>
  <c r="S324" i="118"/>
  <c r="T324" i="118"/>
  <c r="U324" i="118"/>
  <c r="V324" i="118"/>
  <c r="W324" i="118"/>
  <c r="X324" i="118"/>
  <c r="Y324" i="118"/>
  <c r="Z324" i="118"/>
  <c r="AE138" i="118"/>
  <c r="AH138" i="118"/>
  <c r="AK138" i="118"/>
  <c r="BL322" i="118"/>
  <c r="AB324" i="118"/>
  <c r="J325" i="118"/>
  <c r="K325" i="118"/>
  <c r="L325" i="118"/>
  <c r="M325" i="118"/>
  <c r="N325" i="118"/>
  <c r="O325" i="118"/>
  <c r="P325" i="118"/>
  <c r="Q325" i="118"/>
  <c r="R325" i="118"/>
  <c r="S325" i="118"/>
  <c r="T325" i="118"/>
  <c r="U325" i="118"/>
  <c r="V325" i="118"/>
  <c r="W325" i="118"/>
  <c r="X325" i="118"/>
  <c r="Y325" i="118"/>
  <c r="Z325" i="118"/>
  <c r="BK325" i="118"/>
  <c r="AG138" i="118"/>
  <c r="AD138" i="118"/>
  <c r="AE139" i="118"/>
  <c r="AF139" i="118"/>
  <c r="AL139" i="118"/>
  <c r="F139" i="118"/>
  <c r="AB325" i="118"/>
  <c r="AC325" i="118"/>
  <c r="AC323" i="118"/>
  <c r="AG139" i="118"/>
  <c r="AH139" i="118"/>
  <c r="AK139" i="118"/>
  <c r="AC324" i="118"/>
  <c r="BL324" i="118"/>
  <c r="BL325" i="118"/>
  <c r="AF325" i="118"/>
  <c r="AF323" i="118"/>
  <c r="BL323" i="118"/>
  <c r="AL140" i="118"/>
  <c r="F140" i="118"/>
  <c r="AD139" i="118"/>
  <c r="AF324" i="118"/>
  <c r="AE140" i="118"/>
  <c r="AH140" i="118"/>
  <c r="AF140" i="118"/>
  <c r="AK140" i="118"/>
  <c r="AG140" i="118"/>
  <c r="AD140" i="118"/>
  <c r="AF141" i="118"/>
  <c r="AE141" i="118"/>
  <c r="AL141" i="118"/>
  <c r="F141" i="118"/>
  <c r="AG141" i="118"/>
  <c r="AH141" i="118"/>
  <c r="AK141" i="118"/>
  <c r="AL142" i="118"/>
  <c r="F142" i="118"/>
  <c r="AD141" i="118"/>
  <c r="AF142" i="118"/>
  <c r="AE142" i="118"/>
  <c r="AG142" i="118"/>
  <c r="AH142" i="118"/>
  <c r="AK142" i="118"/>
  <c r="AL143" i="118"/>
  <c r="F143" i="118"/>
  <c r="AD142" i="118"/>
  <c r="AE143" i="118"/>
  <c r="AH143" i="118"/>
  <c r="AF143" i="118"/>
  <c r="AK143" i="118"/>
  <c r="AG143" i="118"/>
  <c r="AD143" i="118"/>
  <c r="AL144" i="118"/>
  <c r="F144" i="118"/>
  <c r="AF144" i="118"/>
  <c r="AE144" i="118"/>
  <c r="AH144" i="118"/>
  <c r="AK144" i="118"/>
  <c r="AL145" i="118"/>
  <c r="F145" i="118"/>
  <c r="AG144" i="118"/>
  <c r="AD144" i="118"/>
  <c r="AF145" i="118"/>
  <c r="AE145" i="118"/>
  <c r="AG145" i="118"/>
  <c r="AH145" i="118"/>
  <c r="AK145" i="118"/>
  <c r="AD145" i="118"/>
  <c r="AE146" i="118"/>
  <c r="AL146" i="118"/>
  <c r="F146" i="118"/>
  <c r="AF146" i="118"/>
  <c r="AG146" i="118"/>
  <c r="AH146" i="118"/>
  <c r="AD146" i="118"/>
  <c r="AK146" i="118"/>
  <c r="AL147" i="118"/>
  <c r="F147" i="118"/>
  <c r="AF147" i="118"/>
  <c r="AE147" i="118"/>
  <c r="AH147" i="118"/>
  <c r="AK147" i="118"/>
  <c r="AL148" i="118"/>
  <c r="F148" i="118"/>
  <c r="AG147" i="118"/>
  <c r="AD147" i="118"/>
  <c r="AF148" i="118"/>
  <c r="AE148" i="118"/>
  <c r="AG148" i="118"/>
  <c r="AH148" i="118"/>
  <c r="AK148" i="118"/>
  <c r="AD148" i="118"/>
  <c r="AL149" i="118"/>
  <c r="F149" i="118"/>
  <c r="AE149" i="118"/>
  <c r="AH149" i="118"/>
  <c r="AF149" i="118"/>
  <c r="AK149" i="118"/>
  <c r="AG149" i="118"/>
  <c r="AD149" i="118"/>
  <c r="AF150" i="118"/>
  <c r="AE150" i="118"/>
  <c r="AL150" i="118"/>
  <c r="F150" i="118"/>
  <c r="AG150" i="118"/>
  <c r="AH150" i="118"/>
  <c r="AK150" i="118"/>
  <c r="AL151" i="118"/>
  <c r="F151" i="118"/>
  <c r="AD150" i="118"/>
  <c r="AF151" i="118"/>
  <c r="AE151" i="118"/>
  <c r="AG151" i="118"/>
  <c r="AH151" i="118"/>
  <c r="AK151" i="118"/>
  <c r="AL152" i="118"/>
  <c r="F152" i="118"/>
  <c r="AD151" i="118"/>
  <c r="AE152" i="118"/>
  <c r="AF152" i="118"/>
  <c r="AG152" i="118"/>
  <c r="AH152" i="118"/>
  <c r="AD152" i="118"/>
  <c r="AK152" i="118"/>
  <c r="AL153" i="118"/>
  <c r="F153" i="118"/>
  <c r="AF153" i="118"/>
  <c r="AE153" i="118"/>
  <c r="AG153" i="118"/>
  <c r="AH153" i="118"/>
  <c r="AD153" i="118"/>
  <c r="AE154" i="118"/>
  <c r="AK153" i="118"/>
  <c r="AL154" i="118"/>
  <c r="F154" i="118"/>
  <c r="AF154" i="118"/>
  <c r="AG154" i="118"/>
  <c r="AH154" i="118"/>
  <c r="AK154" i="118"/>
  <c r="AL155" i="118"/>
  <c r="F155" i="118"/>
  <c r="AD154" i="118"/>
  <c r="AE155" i="118"/>
  <c r="AH155" i="118"/>
  <c r="AF155" i="118"/>
  <c r="AG155" i="118"/>
  <c r="AD155" i="118"/>
  <c r="AK155" i="118"/>
  <c r="AF156" i="118"/>
  <c r="AE156" i="118"/>
  <c r="AH156" i="118"/>
  <c r="AL156" i="118"/>
  <c r="F156" i="118"/>
  <c r="AG156" i="118"/>
  <c r="AD156" i="118"/>
  <c r="AE157" i="118"/>
  <c r="AH157" i="118"/>
  <c r="AK156" i="118"/>
  <c r="AL157" i="118"/>
  <c r="F157" i="118"/>
  <c r="AF157" i="118"/>
  <c r="AK157" i="118"/>
  <c r="AG157" i="118"/>
  <c r="AD157" i="118"/>
  <c r="AF158" i="118"/>
  <c r="AL158" i="118"/>
  <c r="F158" i="118"/>
  <c r="AE158" i="118"/>
  <c r="AG158" i="118"/>
  <c r="AH158" i="118"/>
  <c r="AK158" i="118"/>
  <c r="AL159" i="118"/>
  <c r="F159" i="118"/>
  <c r="AD158" i="118"/>
  <c r="AE159" i="118"/>
  <c r="AG159" i="118"/>
  <c r="AH159" i="118"/>
  <c r="AK159" i="118"/>
  <c r="AL160" i="118"/>
  <c r="AD159" i="118"/>
  <c r="AE160" i="118"/>
  <c r="AG160" i="118"/>
  <c r="F160" i="118"/>
  <c r="AH160" i="118"/>
  <c r="AD160" i="118"/>
  <c r="AK160" i="118"/>
  <c r="AL161" i="118"/>
  <c r="AE161" i="118"/>
  <c r="AG161" i="118"/>
  <c r="AH161" i="118"/>
  <c r="AK161" i="118"/>
  <c r="F161" i="118"/>
  <c r="AL162" i="118"/>
  <c r="AD161" i="118"/>
  <c r="AE162" i="118"/>
  <c r="AG162" i="118"/>
  <c r="F162" i="118"/>
  <c r="AH162" i="118"/>
  <c r="AK162" i="118"/>
  <c r="AL163" i="118"/>
  <c r="AD162" i="118"/>
  <c r="AE163" i="118"/>
  <c r="AG163" i="118"/>
  <c r="F163" i="118"/>
  <c r="AH163" i="118"/>
  <c r="AK163" i="118"/>
  <c r="AL164" i="118"/>
  <c r="AD163" i="118"/>
  <c r="AE164" i="118"/>
  <c r="AG164" i="118"/>
  <c r="F164" i="118"/>
  <c r="AH164" i="118"/>
  <c r="AK164" i="118"/>
  <c r="AL165" i="118"/>
  <c r="AD164" i="118"/>
  <c r="AE165" i="118"/>
  <c r="AG165" i="118"/>
  <c r="F165" i="118"/>
  <c r="AH165" i="118"/>
  <c r="AK165" i="118"/>
  <c r="AL166" i="118"/>
  <c r="AD165" i="118"/>
  <c r="AE166" i="118"/>
  <c r="AG166" i="118"/>
  <c r="F166" i="118"/>
  <c r="AH166" i="118"/>
  <c r="AK166" i="118"/>
  <c r="AD166" i="118"/>
  <c r="AL167" i="118"/>
  <c r="F167" i="118"/>
  <c r="AE167" i="118"/>
  <c r="AG167" i="118"/>
  <c r="AH167" i="118"/>
  <c r="AD167" i="118"/>
  <c r="AK167" i="118"/>
  <c r="AL168" i="118"/>
  <c r="AE168" i="118"/>
  <c r="AG168" i="118"/>
  <c r="AH168" i="118"/>
  <c r="AK168" i="118"/>
  <c r="F168" i="118"/>
  <c r="AD168" i="118"/>
  <c r="AE169" i="118"/>
  <c r="AG169" i="118"/>
  <c r="AL169" i="118"/>
  <c r="F169" i="118"/>
  <c r="AH169" i="118"/>
  <c r="AK169" i="118"/>
  <c r="AL170" i="118"/>
  <c r="AD169" i="118"/>
  <c r="F170" i="118"/>
  <c r="AE170" i="118"/>
  <c r="AG170" i="118"/>
  <c r="AH170" i="118"/>
  <c r="AK170" i="118"/>
  <c r="AL171" i="118"/>
  <c r="AD170" i="118"/>
  <c r="F171" i="118"/>
  <c r="AE171" i="118"/>
  <c r="AG171" i="118"/>
  <c r="AH171" i="118"/>
  <c r="AK171" i="118"/>
  <c r="AL172" i="118"/>
  <c r="F172" i="118"/>
  <c r="AD171" i="118"/>
  <c r="AE172" i="118"/>
  <c r="AG172" i="118"/>
  <c r="AH172" i="118"/>
  <c r="AK172" i="118"/>
  <c r="AL173" i="118"/>
  <c r="F173" i="118"/>
  <c r="AD172" i="118"/>
  <c r="AE173" i="118"/>
  <c r="AG173" i="118"/>
  <c r="AH173" i="118"/>
  <c r="AD173" i="118"/>
  <c r="AK173" i="118"/>
  <c r="AL174" i="118"/>
  <c r="AE174" i="118"/>
  <c r="AG174" i="118"/>
  <c r="AH174" i="118"/>
  <c r="F174" i="118"/>
  <c r="AD174" i="118"/>
  <c r="AK174" i="118"/>
  <c r="AL175" i="118"/>
  <c r="AE175" i="118"/>
  <c r="AG175" i="118"/>
  <c r="AH175" i="118"/>
  <c r="AK175" i="118"/>
  <c r="F175" i="118"/>
  <c r="AL176" i="118"/>
  <c r="AD175" i="118"/>
  <c r="F176" i="118"/>
  <c r="AE176" i="118"/>
  <c r="AG176" i="118"/>
  <c r="AH176" i="118"/>
  <c r="AK176" i="118"/>
  <c r="AL177" i="118"/>
  <c r="AD176" i="118"/>
  <c r="AH177" i="118"/>
  <c r="AK177" i="118"/>
  <c r="F177" i="118"/>
  <c r="AE177" i="118"/>
  <c r="AG177" i="118"/>
  <c r="AD177" i="118"/>
  <c r="AL178" i="118"/>
  <c r="AE178" i="118"/>
  <c r="AG178" i="118"/>
  <c r="AH178" i="118"/>
  <c r="AK178" i="118"/>
  <c r="AL179" i="118"/>
  <c r="F178" i="118"/>
  <c r="AD178" i="118"/>
  <c r="AH179" i="118"/>
  <c r="AK179" i="118"/>
  <c r="F179" i="118"/>
  <c r="AE179" i="118"/>
  <c r="AG179" i="118"/>
  <c r="AD179" i="118"/>
  <c r="AH180" i="118"/>
  <c r="AL180" i="118"/>
  <c r="AE180" i="118"/>
  <c r="AG180" i="118"/>
  <c r="AD180" i="118"/>
  <c r="AE181" i="118"/>
  <c r="AG181" i="118"/>
  <c r="AK180" i="118"/>
  <c r="AL181" i="118"/>
  <c r="F180" i="118"/>
  <c r="AH181" i="118"/>
  <c r="AD181" i="118"/>
  <c r="F181" i="118"/>
  <c r="AK181" i="118"/>
  <c r="AL182" i="118"/>
  <c r="F182" i="118"/>
  <c r="AE182" i="118"/>
  <c r="AG182" i="118"/>
  <c r="AH182" i="118"/>
  <c r="AD182" i="118"/>
  <c r="AE183" i="118"/>
  <c r="AG183" i="118"/>
  <c r="AK182" i="118"/>
  <c r="AH183" i="118"/>
  <c r="AD183" i="118"/>
  <c r="AL183" i="118"/>
  <c r="AK183" i="118"/>
  <c r="AL184" i="118"/>
  <c r="AH184" i="118"/>
  <c r="AE184" i="118"/>
  <c r="AG184" i="118"/>
  <c r="F183" i="118"/>
  <c r="AK184" i="118"/>
  <c r="AL185" i="118"/>
  <c r="F185" i="118"/>
  <c r="AD184" i="118"/>
  <c r="AE185" i="118"/>
  <c r="AG185" i="118"/>
  <c r="F184" i="118"/>
  <c r="AH185" i="118"/>
  <c r="AK185" i="118"/>
  <c r="AL186" i="118"/>
  <c r="F186" i="118"/>
  <c r="AD185" i="118"/>
  <c r="AE186" i="118"/>
  <c r="AG186" i="118"/>
  <c r="AH186" i="118"/>
  <c r="AK186" i="118"/>
  <c r="AL187" i="118"/>
  <c r="F187" i="118"/>
  <c r="AD186" i="118"/>
  <c r="AE187" i="118"/>
  <c r="AG187" i="118"/>
  <c r="AH187" i="118"/>
  <c r="AK187" i="118"/>
  <c r="AL188" i="118"/>
  <c r="AD187" i="118"/>
  <c r="AE188" i="118"/>
  <c r="AG188" i="118"/>
  <c r="F188" i="118"/>
  <c r="AH188" i="118"/>
  <c r="AK188" i="118"/>
  <c r="AL189" i="118"/>
  <c r="F189" i="118"/>
  <c r="AD188" i="118"/>
  <c r="AH189" i="118"/>
  <c r="AK189" i="118"/>
  <c r="AL190" i="118"/>
  <c r="AE189" i="118"/>
  <c r="AG189" i="118"/>
  <c r="AD189" i="118"/>
  <c r="F190" i="118"/>
  <c r="AE190" i="118"/>
  <c r="AG190" i="118"/>
  <c r="AH190" i="118"/>
  <c r="AD190" i="118"/>
  <c r="AK190" i="118"/>
  <c r="AH191" i="118"/>
  <c r="AE191" i="118"/>
  <c r="AG191" i="118"/>
  <c r="AL191" i="118"/>
  <c r="AK191" i="118"/>
  <c r="AL192" i="118"/>
  <c r="F191" i="118"/>
  <c r="AD191" i="118"/>
  <c r="AE192" i="118"/>
  <c r="AG192" i="118"/>
  <c r="AH192" i="118"/>
  <c r="AK192" i="118"/>
  <c r="F192" i="118"/>
  <c r="AD192" i="118"/>
  <c r="AH193" i="118"/>
  <c r="AL193" i="118"/>
  <c r="AK193" i="118"/>
  <c r="AL194" i="118"/>
  <c r="AE193" i="118"/>
  <c r="AG193" i="118"/>
  <c r="AD193" i="118"/>
  <c r="AE194" i="118"/>
  <c r="AG194" i="118"/>
  <c r="F193" i="118"/>
  <c r="AH194" i="118"/>
  <c r="AD194" i="118"/>
  <c r="AE195" i="118"/>
  <c r="AG195" i="118"/>
  <c r="F194" i="118"/>
  <c r="AK194" i="118"/>
  <c r="AL195" i="118"/>
  <c r="AH195" i="118"/>
  <c r="AD195" i="118"/>
  <c r="AK195" i="118"/>
  <c r="AL196" i="118"/>
  <c r="F196" i="118"/>
  <c r="AE196" i="118"/>
  <c r="AG196" i="118"/>
  <c r="AH196" i="118"/>
  <c r="F195" i="118"/>
  <c r="AK196" i="118"/>
  <c r="AL197" i="118"/>
  <c r="AD196" i="118"/>
  <c r="AE197" i="118"/>
  <c r="AG197" i="118"/>
  <c r="F197" i="118"/>
  <c r="AH197" i="118"/>
  <c r="AK197" i="118"/>
  <c r="AL198" i="118"/>
  <c r="F198" i="118"/>
  <c r="AD197" i="118"/>
  <c r="AH198" i="118"/>
  <c r="AK198" i="118"/>
  <c r="AL199" i="118"/>
  <c r="F199" i="118"/>
  <c r="AE198" i="118"/>
  <c r="AG198" i="118"/>
  <c r="AD198" i="118"/>
  <c r="AE199" i="118"/>
  <c r="AG199" i="118"/>
  <c r="AH199" i="118"/>
  <c r="AD199" i="118"/>
  <c r="AE200" i="118"/>
  <c r="AG200" i="118"/>
  <c r="AK199" i="118"/>
  <c r="AL200" i="118"/>
  <c r="AH200" i="118"/>
  <c r="AD200" i="118"/>
  <c r="AE201" i="118"/>
  <c r="AG201" i="118"/>
  <c r="AH201" i="118"/>
  <c r="AD201" i="118"/>
  <c r="AE202" i="118"/>
  <c r="AG202" i="118"/>
  <c r="F200" i="118"/>
  <c r="AK200" i="118"/>
  <c r="AL201" i="118"/>
  <c r="F201" i="118"/>
  <c r="AK201" i="118"/>
  <c r="AL202" i="118"/>
  <c r="F202" i="118"/>
  <c r="AH202" i="118"/>
  <c r="AK202" i="118"/>
  <c r="AL203" i="118"/>
  <c r="AD202" i="118"/>
  <c r="AH203" i="118"/>
  <c r="AK203" i="118"/>
  <c r="AL204" i="118"/>
  <c r="F203" i="118"/>
  <c r="AE203" i="118"/>
  <c r="AG203" i="118"/>
  <c r="AD203" i="118"/>
  <c r="F204" i="118"/>
  <c r="AH204" i="118"/>
  <c r="AK204" i="118"/>
  <c r="AL205" i="118"/>
  <c r="AE204" i="118"/>
  <c r="AG204" i="118"/>
  <c r="AD204" i="118"/>
  <c r="AH205" i="118"/>
  <c r="AK205" i="118"/>
  <c r="AL206" i="118"/>
  <c r="F206" i="118"/>
  <c r="F205" i="118"/>
  <c r="AE205" i="118"/>
  <c r="AG205" i="118"/>
  <c r="AD205" i="118"/>
  <c r="AH206" i="118"/>
  <c r="AK206" i="118"/>
  <c r="AL207" i="118"/>
  <c r="AE206" i="118"/>
  <c r="AG206" i="118"/>
  <c r="AD206" i="118"/>
  <c r="AH207" i="118"/>
  <c r="AK207" i="118"/>
  <c r="AL208" i="118"/>
  <c r="F208" i="118"/>
  <c r="F207" i="118"/>
  <c r="AE207" i="118"/>
  <c r="AG207" i="118"/>
  <c r="AD207" i="118"/>
  <c r="AH208" i="118"/>
  <c r="AK208" i="118"/>
  <c r="AL209" i="118"/>
  <c r="AE208" i="118"/>
  <c r="AG208" i="118"/>
  <c r="AD208" i="118"/>
  <c r="AE209" i="118"/>
  <c r="AG209" i="118"/>
  <c r="F209" i="118"/>
  <c r="AH209" i="118"/>
  <c r="AK209" i="118"/>
  <c r="AL210" i="118"/>
  <c r="AD209" i="118"/>
  <c r="F210" i="118"/>
  <c r="AH210" i="118"/>
  <c r="AK210" i="118"/>
  <c r="AL211" i="118"/>
  <c r="F211" i="118"/>
  <c r="AE210" i="118"/>
  <c r="AG210" i="118"/>
  <c r="AD210" i="118"/>
  <c r="AE211" i="118"/>
  <c r="AG211" i="118"/>
  <c r="AH211" i="118"/>
  <c r="AK211" i="118"/>
  <c r="AL212" i="118"/>
  <c r="F212" i="118"/>
  <c r="AD211" i="118"/>
  <c r="AH212" i="118"/>
  <c r="AK212" i="118"/>
  <c r="AL213" i="118"/>
  <c r="AE212" i="118"/>
  <c r="AG212" i="118"/>
  <c r="AD212" i="118"/>
  <c r="AH213" i="118"/>
  <c r="AK213" i="118"/>
  <c r="AL214" i="118"/>
  <c r="F213" i="118"/>
  <c r="AE213" i="118"/>
  <c r="AG213" i="118"/>
  <c r="AD213" i="118"/>
  <c r="AH214" i="118"/>
  <c r="AK214" i="118"/>
  <c r="AL215" i="118"/>
  <c r="F214" i="118"/>
  <c r="AE214" i="118"/>
  <c r="AG214" i="118"/>
  <c r="AD214" i="118"/>
  <c r="AE215" i="118"/>
  <c r="AG215" i="118"/>
  <c r="F215" i="118"/>
  <c r="AH215" i="118"/>
  <c r="AK215" i="118"/>
  <c r="AL216" i="118"/>
  <c r="F216" i="118"/>
  <c r="AD215" i="118"/>
  <c r="AH216" i="118"/>
  <c r="AK216" i="118"/>
  <c r="AL217" i="118"/>
  <c r="AE216" i="118"/>
  <c r="AG216" i="118"/>
  <c r="AD216" i="118"/>
  <c r="AH217" i="118"/>
  <c r="AK217" i="118"/>
  <c r="AL218" i="118"/>
  <c r="F217" i="118"/>
  <c r="F218" i="118"/>
  <c r="AE217" i="118"/>
  <c r="AG217" i="118"/>
  <c r="AD217" i="118"/>
  <c r="AH218" i="118"/>
  <c r="AK218" i="118"/>
  <c r="AL219" i="118"/>
  <c r="F219" i="118"/>
  <c r="AE218" i="118"/>
  <c r="AG218" i="118"/>
  <c r="AD218" i="118"/>
  <c r="AE219" i="118"/>
  <c r="AG219" i="118"/>
  <c r="AH219" i="118"/>
  <c r="AK219" i="118"/>
  <c r="AL220" i="118"/>
  <c r="AD219" i="118"/>
  <c r="AH220" i="118"/>
  <c r="F220" i="118"/>
  <c r="AE220" i="118"/>
  <c r="AG220" i="118"/>
  <c r="AD220" i="118"/>
  <c r="AH221" i="118"/>
  <c r="AK220" i="118"/>
  <c r="AE221" i="118"/>
  <c r="AG221" i="118"/>
  <c r="AD221" i="118"/>
  <c r="AL221" i="118"/>
  <c r="F221" i="118"/>
  <c r="AH222" i="118"/>
  <c r="AE222" i="118"/>
  <c r="AG222" i="118"/>
  <c r="AK221" i="118"/>
  <c r="AD222" i="118"/>
  <c r="AH223" i="118"/>
  <c r="AL222" i="118"/>
  <c r="AK222" i="118"/>
  <c r="AL223" i="118"/>
  <c r="AE223" i="118"/>
  <c r="AG223" i="118"/>
  <c r="AD223" i="118"/>
  <c r="AK223" i="118"/>
  <c r="F223" i="118"/>
  <c r="F222" i="118"/>
  <c r="AE224" i="118"/>
  <c r="AG224" i="118"/>
  <c r="AH224" i="118"/>
  <c r="AL224" i="118"/>
  <c r="AK224" i="118"/>
  <c r="AL225" i="118"/>
  <c r="F225" i="118"/>
  <c r="AD224" i="118"/>
  <c r="AE225" i="118"/>
  <c r="AG225" i="118"/>
  <c r="F224" i="118"/>
  <c r="AH225" i="118"/>
  <c r="AK225" i="118"/>
  <c r="AL226" i="118"/>
  <c r="F226" i="118"/>
  <c r="AD225" i="118"/>
  <c r="AH226" i="118"/>
  <c r="AK226" i="118"/>
  <c r="AE226" i="118"/>
  <c r="AG226" i="118"/>
  <c r="AD226" i="118"/>
  <c r="AH227" i="118"/>
  <c r="AL227" i="118"/>
  <c r="AE227" i="118"/>
  <c r="AG227" i="118"/>
  <c r="AD227" i="118"/>
  <c r="AH228" i="118"/>
  <c r="AK227" i="118"/>
  <c r="AL228" i="118"/>
  <c r="F227" i="118"/>
  <c r="AE228" i="118"/>
  <c r="AG228" i="118"/>
  <c r="AD228" i="118"/>
  <c r="AK228" i="118"/>
  <c r="AL229" i="118"/>
  <c r="F229" i="118"/>
  <c r="F228" i="118"/>
  <c r="AH229" i="118"/>
  <c r="AK229" i="118"/>
  <c r="AL230" i="118"/>
  <c r="F230" i="118"/>
  <c r="AE229" i="118"/>
  <c r="AG229" i="118"/>
  <c r="AD229" i="118"/>
  <c r="AH230" i="118"/>
  <c r="AK230" i="118"/>
  <c r="AL231" i="118"/>
  <c r="F231" i="118"/>
  <c r="AE230" i="118"/>
  <c r="AG230" i="118"/>
  <c r="AD230" i="118"/>
  <c r="AE231" i="118"/>
  <c r="AG231" i="118"/>
  <c r="AH231" i="118"/>
  <c r="AK231" i="118"/>
  <c r="AL232" i="118"/>
  <c r="F232" i="118"/>
  <c r="AD231" i="118"/>
  <c r="AH232" i="118"/>
  <c r="AK232" i="118"/>
  <c r="AL233" i="118"/>
  <c r="F233" i="118"/>
  <c r="AE232" i="118"/>
  <c r="AG232" i="118"/>
  <c r="AD232" i="118"/>
  <c r="AH233" i="118"/>
  <c r="AK233" i="118"/>
  <c r="AL234" i="118"/>
  <c r="F234" i="118"/>
  <c r="AE233" i="118"/>
  <c r="AG233" i="118"/>
  <c r="AD233" i="118"/>
  <c r="AH234" i="118"/>
  <c r="AK234" i="118"/>
  <c r="AL235" i="118"/>
  <c r="F235" i="118"/>
  <c r="AE234" i="118"/>
  <c r="AG234" i="118"/>
  <c r="AD234" i="118"/>
  <c r="AE235" i="118"/>
  <c r="AG235" i="118"/>
  <c r="AH235" i="118"/>
  <c r="AK235" i="118"/>
  <c r="AL236" i="118"/>
  <c r="F236" i="118"/>
  <c r="AD235" i="118"/>
  <c r="AE236" i="118"/>
  <c r="AG236" i="118"/>
  <c r="AH236" i="118"/>
  <c r="AK236" i="118"/>
  <c r="AL237" i="118"/>
  <c r="F237" i="118"/>
  <c r="AD236" i="118"/>
  <c r="AE237" i="118"/>
  <c r="AG237" i="118"/>
  <c r="AH237" i="118"/>
  <c r="AK237" i="118"/>
  <c r="AL238" i="118"/>
  <c r="F238" i="118"/>
  <c r="AD237" i="118"/>
  <c r="AE238" i="118"/>
  <c r="AG238" i="118"/>
  <c r="AH238" i="118"/>
  <c r="AK238" i="118"/>
  <c r="AL239" i="118"/>
  <c r="F239" i="118"/>
  <c r="AD238" i="118"/>
  <c r="AE239" i="118"/>
  <c r="AG239" i="118"/>
  <c r="AH239" i="118"/>
  <c r="AK239" i="118"/>
  <c r="AL240" i="118"/>
  <c r="F240" i="118"/>
  <c r="AD239" i="118"/>
  <c r="AE240" i="118"/>
  <c r="AG240" i="118"/>
  <c r="AH240" i="118"/>
  <c r="AK240" i="118"/>
  <c r="AL241" i="118"/>
  <c r="F241" i="118"/>
  <c r="AD240" i="118"/>
  <c r="AH241" i="118"/>
  <c r="AK241" i="118"/>
  <c r="AL242" i="118"/>
  <c r="AE241" i="118"/>
  <c r="AG241" i="118"/>
  <c r="AD241" i="118"/>
  <c r="AH242" i="118"/>
  <c r="AK242" i="118"/>
  <c r="AL243" i="118"/>
  <c r="F242" i="118"/>
  <c r="F243" i="118"/>
  <c r="AE242" i="118"/>
  <c r="AG242" i="118"/>
  <c r="AD242" i="118"/>
  <c r="AE243" i="118"/>
  <c r="AG243" i="118"/>
  <c r="AH243" i="118"/>
  <c r="AK243" i="118"/>
  <c r="AL244" i="118"/>
  <c r="F244" i="118"/>
  <c r="AD243" i="118"/>
  <c r="AE244" i="118"/>
  <c r="AG244" i="118"/>
  <c r="AH244" i="118"/>
  <c r="AK244" i="118"/>
  <c r="AL245" i="118"/>
  <c r="F245" i="118"/>
  <c r="AD244" i="118"/>
  <c r="AE245" i="118"/>
  <c r="AG245" i="118"/>
  <c r="AH245" i="118"/>
  <c r="AK245" i="118"/>
  <c r="AL246" i="118"/>
  <c r="F246" i="118"/>
  <c r="AD245" i="118"/>
  <c r="AE246" i="118"/>
  <c r="AG246" i="118"/>
  <c r="AH246" i="118"/>
  <c r="AK246" i="118"/>
  <c r="AL247" i="118"/>
  <c r="AD246" i="118"/>
  <c r="AE247" i="118"/>
  <c r="AG247" i="118"/>
  <c r="F247" i="118"/>
  <c r="AH247" i="118"/>
  <c r="AK247" i="118"/>
  <c r="AL248" i="118"/>
  <c r="AD247" i="118"/>
  <c r="AE248" i="118"/>
  <c r="AG248" i="118"/>
  <c r="F248" i="118"/>
  <c r="AH248" i="118"/>
  <c r="AK248" i="118"/>
  <c r="AL249" i="118"/>
  <c r="F249" i="118"/>
  <c r="AD248" i="118"/>
  <c r="AH249" i="118"/>
  <c r="AK249" i="118"/>
  <c r="AL250" i="118"/>
  <c r="F250" i="118"/>
  <c r="AE249" i="118"/>
  <c r="AG249" i="118"/>
  <c r="AD249" i="118"/>
  <c r="AE250" i="118"/>
  <c r="AG250" i="118"/>
  <c r="AH250" i="118"/>
  <c r="AK250" i="118"/>
  <c r="AL251" i="118"/>
  <c r="F251" i="118"/>
  <c r="AD250" i="118"/>
  <c r="AH251" i="118"/>
  <c r="AK251" i="118"/>
  <c r="AL252" i="118"/>
  <c r="F252" i="118"/>
  <c r="AE251" i="118"/>
  <c r="AG251" i="118"/>
  <c r="AD251" i="118"/>
  <c r="AH252" i="118"/>
  <c r="AK252" i="118"/>
  <c r="AL253" i="118"/>
  <c r="F253" i="118"/>
  <c r="AE252" i="118"/>
  <c r="AG252" i="118"/>
  <c r="AD252" i="118"/>
  <c r="AH253" i="118"/>
  <c r="AK253" i="118"/>
  <c r="AL254" i="118"/>
  <c r="F254" i="118"/>
  <c r="AE253" i="118"/>
  <c r="AG253" i="118"/>
  <c r="AD253" i="118"/>
  <c r="AE254" i="118"/>
  <c r="AG254" i="118"/>
  <c r="AH254" i="118"/>
  <c r="AK254" i="118"/>
  <c r="AL255" i="118"/>
  <c r="AD254" i="118"/>
  <c r="AH255" i="118"/>
  <c r="AK255" i="118"/>
  <c r="AL256" i="118"/>
  <c r="F256" i="118"/>
  <c r="F255" i="118"/>
  <c r="AE255" i="118"/>
  <c r="AG255" i="118"/>
  <c r="AD255" i="118"/>
  <c r="AE256" i="118"/>
  <c r="AG256" i="118"/>
  <c r="AH256" i="118"/>
  <c r="AD256" i="118"/>
  <c r="AH257" i="118"/>
  <c r="AK256" i="118"/>
  <c r="AL257" i="118"/>
  <c r="AK257" i="118"/>
  <c r="AL258" i="118"/>
  <c r="F258" i="118"/>
  <c r="AE257" i="118"/>
  <c r="AG257" i="118"/>
  <c r="AD257" i="118"/>
  <c r="AE258" i="118"/>
  <c r="AG258" i="118"/>
  <c r="F257" i="118"/>
  <c r="AH258" i="118"/>
  <c r="AD258" i="118"/>
  <c r="AE259" i="118"/>
  <c r="AG259" i="118"/>
  <c r="AK258" i="118"/>
  <c r="AL259" i="118"/>
  <c r="F259" i="118"/>
  <c r="AH259" i="118"/>
  <c r="AD259" i="118"/>
  <c r="AE260" i="118"/>
  <c r="AG260" i="118"/>
  <c r="AK259" i="118"/>
  <c r="AL260" i="118"/>
  <c r="F260" i="118"/>
  <c r="AH260" i="118"/>
  <c r="AD260" i="118"/>
  <c r="AE261" i="118"/>
  <c r="AG261" i="118"/>
  <c r="AH261" i="118"/>
  <c r="AD261" i="118"/>
  <c r="AE262" i="118"/>
  <c r="AG262" i="118"/>
  <c r="AK260" i="118"/>
  <c r="AL261" i="118"/>
  <c r="AK261" i="118"/>
  <c r="AL262" i="118"/>
  <c r="AH262" i="118"/>
  <c r="AD262" i="118"/>
  <c r="AE263" i="118"/>
  <c r="AG263" i="118"/>
  <c r="F261" i="118"/>
  <c r="AH263" i="118"/>
  <c r="AD263" i="118"/>
  <c r="AE264" i="118"/>
  <c r="AG264" i="118"/>
  <c r="F262" i="118"/>
  <c r="AK262" i="118"/>
  <c r="AH264" i="118"/>
  <c r="AD264" i="118"/>
  <c r="AL263" i="118"/>
  <c r="F263" i="118"/>
  <c r="AH265" i="118"/>
  <c r="AE265" i="118"/>
  <c r="AG265" i="118"/>
  <c r="AK263" i="118"/>
  <c r="AD265" i="118"/>
  <c r="AE266" i="118"/>
  <c r="AG266" i="118"/>
  <c r="AL264" i="118"/>
  <c r="AH266" i="118"/>
  <c r="AD266" i="118"/>
  <c r="F264" i="118"/>
  <c r="AK264" i="118"/>
  <c r="AL265" i="118"/>
  <c r="AE267" i="118"/>
  <c r="AG267" i="118"/>
  <c r="AH267" i="118"/>
  <c r="AD267" i="118"/>
  <c r="AH268" i="118"/>
  <c r="F265" i="118"/>
  <c r="AK265" i="118"/>
  <c r="AE268" i="118"/>
  <c r="AG268" i="118"/>
  <c r="AD268" i="118"/>
  <c r="AL266" i="118"/>
  <c r="F266" i="118"/>
  <c r="AH269" i="118"/>
  <c r="AE269" i="118"/>
  <c r="AG269" i="118"/>
  <c r="AK266" i="118"/>
  <c r="AD269" i="118"/>
  <c r="AH270" i="118"/>
  <c r="AL267" i="118"/>
  <c r="AK267" i="118"/>
  <c r="AE270" i="118"/>
  <c r="AG270" i="118"/>
  <c r="AD270" i="118"/>
  <c r="AL268" i="118"/>
  <c r="F267" i="118"/>
  <c r="AE271" i="118"/>
  <c r="AG271" i="118"/>
  <c r="AH271" i="118"/>
  <c r="F268" i="118"/>
  <c r="AK268" i="118"/>
  <c r="AL269" i="118"/>
  <c r="AD271" i="118"/>
  <c r="F269" i="118"/>
  <c r="AH272" i="118"/>
  <c r="AE272" i="118"/>
  <c r="AG272" i="118"/>
  <c r="AK269" i="118"/>
  <c r="AD272" i="118"/>
  <c r="AE273" i="118"/>
  <c r="AG273" i="118"/>
  <c r="AL270" i="118"/>
  <c r="AK270" i="118"/>
  <c r="AH273" i="118"/>
  <c r="AD273" i="118"/>
  <c r="AE274" i="118"/>
  <c r="AG274" i="118"/>
  <c r="AL271" i="118"/>
  <c r="AK271" i="118"/>
  <c r="F270" i="118"/>
  <c r="AH274" i="118"/>
  <c r="AD274" i="118"/>
  <c r="AL272" i="118"/>
  <c r="F272" i="118"/>
  <c r="F271" i="118"/>
  <c r="AH275" i="118"/>
  <c r="AE275" i="118"/>
  <c r="AG275" i="118"/>
  <c r="AK272" i="118"/>
  <c r="AL273" i="118"/>
  <c r="F273" i="118"/>
  <c r="AD275" i="118"/>
  <c r="AK273" i="118"/>
  <c r="AL274" i="118"/>
  <c r="F274" i="118"/>
  <c r="AH276" i="118"/>
  <c r="AE276" i="118"/>
  <c r="AG276" i="118"/>
  <c r="AK274" i="118"/>
  <c r="AD276" i="118"/>
  <c r="AL275" i="118"/>
  <c r="F275" i="118"/>
  <c r="AE277" i="118"/>
  <c r="AG277" i="118"/>
  <c r="AH277" i="118"/>
  <c r="AD277" i="118"/>
  <c r="AE278" i="118"/>
  <c r="AG278" i="118"/>
  <c r="AK275" i="118"/>
  <c r="AH278" i="118"/>
  <c r="AD278" i="118"/>
  <c r="AL276" i="118"/>
  <c r="F276" i="118"/>
  <c r="AE279" i="118"/>
  <c r="AG279" i="118"/>
  <c r="AH279" i="118"/>
  <c r="AK276" i="118"/>
  <c r="AL277" i="118"/>
  <c r="F277" i="118"/>
  <c r="AD279" i="118"/>
  <c r="AK277" i="118"/>
  <c r="AL278" i="118"/>
  <c r="F278" i="118"/>
  <c r="AE280" i="118"/>
  <c r="AG280" i="118"/>
  <c r="AH280" i="118"/>
  <c r="AD280" i="118"/>
  <c r="AE281" i="118"/>
  <c r="AG281" i="118"/>
  <c r="AK278" i="118"/>
  <c r="AH281" i="118"/>
  <c r="AD281" i="118"/>
  <c r="AE282" i="118"/>
  <c r="AG282" i="118"/>
  <c r="AL279" i="118"/>
  <c r="F279" i="118"/>
  <c r="AH282" i="118"/>
  <c r="AD282" i="118"/>
  <c r="AK279" i="118"/>
  <c r="AE283" i="118"/>
  <c r="AG283" i="118"/>
  <c r="AH283" i="118"/>
  <c r="AL280" i="118"/>
  <c r="F280" i="118"/>
  <c r="AK280" i="118"/>
  <c r="AD283" i="118"/>
  <c r="AH284" i="118"/>
  <c r="AE284" i="118"/>
  <c r="AG284" i="118"/>
  <c r="AL281" i="118"/>
  <c r="F281" i="118"/>
  <c r="AK281" i="118"/>
  <c r="AD284" i="118"/>
  <c r="AL282" i="118"/>
  <c r="F282" i="118"/>
  <c r="AH285" i="118"/>
  <c r="AE285" i="118"/>
  <c r="AG285" i="118"/>
  <c r="AD285" i="118"/>
  <c r="AE286" i="118"/>
  <c r="AG286" i="118"/>
  <c r="AK282" i="118"/>
  <c r="AH286" i="118"/>
  <c r="AD286" i="118"/>
  <c r="AL283" i="118"/>
  <c r="F283" i="118"/>
  <c r="AE287" i="118"/>
  <c r="AG287" i="118"/>
  <c r="AH287" i="118"/>
  <c r="AK283" i="118"/>
  <c r="AD287" i="118"/>
  <c r="AE288" i="118"/>
  <c r="AG288" i="118"/>
  <c r="AL284" i="118"/>
  <c r="F284" i="118"/>
  <c r="AH288" i="118"/>
  <c r="AD288" i="118"/>
  <c r="AK284" i="118"/>
  <c r="AE289" i="118"/>
  <c r="AG289" i="118"/>
  <c r="AH289" i="118"/>
  <c r="AL285" i="118"/>
  <c r="F285" i="118"/>
  <c r="AD289" i="118"/>
  <c r="AH290" i="118"/>
  <c r="AK285" i="118"/>
  <c r="AE290" i="118"/>
  <c r="AG290" i="118"/>
  <c r="AD290" i="118"/>
  <c r="AL286" i="118"/>
  <c r="F286" i="118"/>
  <c r="AH291" i="118"/>
  <c r="AE291" i="118"/>
  <c r="AG291" i="118"/>
  <c r="AK286" i="118"/>
  <c r="AD291" i="118"/>
  <c r="AH292" i="118"/>
  <c r="AL287" i="118"/>
  <c r="AE292" i="118"/>
  <c r="AG292" i="118"/>
  <c r="AD292" i="118"/>
  <c r="AE293" i="118"/>
  <c r="AG293" i="118"/>
  <c r="F287" i="118"/>
  <c r="AK287" i="118"/>
  <c r="AH293" i="118"/>
  <c r="AD293" i="118"/>
  <c r="AE294" i="118"/>
  <c r="AG294" i="118"/>
  <c r="AL288" i="118"/>
  <c r="AK288" i="118"/>
  <c r="AH294" i="118"/>
  <c r="AD294" i="118"/>
  <c r="AL289" i="118"/>
  <c r="F289" i="118"/>
  <c r="F288" i="118"/>
  <c r="AH295" i="118"/>
  <c r="AE295" i="118"/>
  <c r="AG295" i="118"/>
  <c r="AK289" i="118"/>
  <c r="AL290" i="118"/>
  <c r="F290" i="118"/>
  <c r="AD295" i="118"/>
  <c r="AE296" i="118"/>
  <c r="AG296" i="118"/>
  <c r="AH296" i="118"/>
  <c r="AK290" i="118"/>
  <c r="AD296" i="118"/>
  <c r="AH297" i="118"/>
  <c r="AL291" i="118"/>
  <c r="F291" i="118"/>
  <c r="AE297" i="118"/>
  <c r="AG297" i="118"/>
  <c r="AD297" i="118"/>
  <c r="AK291" i="118"/>
  <c r="AL292" i="118"/>
  <c r="F292" i="118"/>
  <c r="AH298" i="118"/>
  <c r="AE298" i="118"/>
  <c r="AG298" i="118"/>
  <c r="AD298" i="118"/>
  <c r="AE299" i="118"/>
  <c r="AG299" i="118"/>
  <c r="AK292" i="118"/>
  <c r="AH299" i="118"/>
  <c r="AD299" i="118"/>
  <c r="AL293" i="118"/>
  <c r="F293" i="118"/>
  <c r="AE300" i="118"/>
  <c r="AG300" i="118"/>
  <c r="AH300" i="118"/>
  <c r="AK293" i="118"/>
  <c r="AD300" i="118"/>
  <c r="AE301" i="118"/>
  <c r="AG301" i="118"/>
  <c r="AL294" i="118"/>
  <c r="F294" i="118"/>
  <c r="AH301" i="118"/>
  <c r="AD301" i="118"/>
  <c r="AK294" i="118"/>
  <c r="AE302" i="118"/>
  <c r="AG302" i="118"/>
  <c r="AH302" i="118"/>
  <c r="AL295" i="118"/>
  <c r="AK295" i="118"/>
  <c r="AL296" i="118"/>
  <c r="F296" i="118"/>
  <c r="F295" i="118"/>
  <c r="AD302" i="118"/>
  <c r="AE303" i="118"/>
  <c r="AG303" i="118"/>
  <c r="AH303" i="118"/>
  <c r="AK296" i="118"/>
  <c r="AL297" i="118"/>
  <c r="F297" i="118"/>
  <c r="AD303" i="118"/>
  <c r="AK297" i="118"/>
  <c r="AL298" i="118"/>
  <c r="F298" i="118"/>
  <c r="AE304" i="118"/>
  <c r="AG304" i="118"/>
  <c r="AH304" i="118"/>
  <c r="AK298" i="118"/>
  <c r="AD304" i="118"/>
  <c r="AL299" i="118"/>
  <c r="F299" i="118"/>
  <c r="AE305" i="118"/>
  <c r="AG305" i="118"/>
  <c r="AH305" i="118"/>
  <c r="AK299" i="118"/>
  <c r="AL300" i="118"/>
  <c r="F300" i="118"/>
  <c r="AD305" i="118"/>
  <c r="AE306" i="118"/>
  <c r="AG306" i="118"/>
  <c r="AH306" i="118"/>
  <c r="AD306" i="118"/>
  <c r="AE307" i="118"/>
  <c r="AG307" i="118"/>
  <c r="AK300" i="118"/>
  <c r="AL301" i="118"/>
  <c r="F301" i="118"/>
  <c r="AH307" i="118"/>
  <c r="AD307" i="118"/>
  <c r="AK301" i="118"/>
  <c r="AL302" i="118"/>
  <c r="F302" i="118"/>
  <c r="AE308" i="118"/>
  <c r="AG308" i="118"/>
  <c r="AH308" i="118"/>
  <c r="AD308" i="118"/>
  <c r="AK302" i="118"/>
  <c r="AE309" i="118"/>
  <c r="AG309" i="118"/>
  <c r="AH309" i="118"/>
  <c r="AL303" i="118"/>
  <c r="F303" i="118"/>
  <c r="AD309" i="118"/>
  <c r="AE310" i="118"/>
  <c r="AG310" i="118"/>
  <c r="AK303" i="118"/>
  <c r="AH310" i="118"/>
  <c r="AD310" i="118"/>
  <c r="AL304" i="118"/>
  <c r="F304" i="118"/>
  <c r="AH311" i="118"/>
  <c r="AE311" i="118"/>
  <c r="AG311" i="118"/>
  <c r="AK304" i="118"/>
  <c r="AL305" i="118"/>
  <c r="F305" i="118"/>
  <c r="AD311" i="118"/>
  <c r="AE312" i="118"/>
  <c r="AG312" i="118"/>
  <c r="AH312" i="118"/>
  <c r="AK305" i="118"/>
  <c r="AD312" i="118"/>
  <c r="AH313" i="118"/>
  <c r="AL306" i="118"/>
  <c r="F306" i="118"/>
  <c r="AE313" i="118"/>
  <c r="AG313" i="118"/>
  <c r="AD313" i="118"/>
  <c r="AE314" i="118"/>
  <c r="AG314" i="118"/>
  <c r="AK306" i="118"/>
  <c r="AL307" i="118"/>
  <c r="F307" i="118"/>
  <c r="AH314" i="118"/>
  <c r="AD314" i="118"/>
  <c r="AK307" i="118"/>
  <c r="AL308" i="118"/>
  <c r="F308" i="118"/>
  <c r="AE315" i="118"/>
  <c r="AG315" i="118"/>
  <c r="AH315" i="118"/>
  <c r="AD315" i="118"/>
  <c r="AK308" i="118"/>
  <c r="AH316" i="118"/>
  <c r="AE316" i="118"/>
  <c r="AG316" i="118"/>
  <c r="AL309" i="118"/>
  <c r="F309" i="118"/>
  <c r="AK309" i="118"/>
  <c r="AD316" i="118"/>
  <c r="AL310" i="118"/>
  <c r="F310" i="118"/>
  <c r="AE317" i="118"/>
  <c r="AG317" i="118"/>
  <c r="AH317" i="118"/>
  <c r="AD317" i="118"/>
  <c r="AK310" i="118"/>
  <c r="AE318" i="118"/>
  <c r="AG318" i="118"/>
  <c r="AH318" i="118"/>
  <c r="AL311" i="118"/>
  <c r="F311" i="118"/>
  <c r="AD318" i="118"/>
  <c r="AH319" i="118"/>
  <c r="AK311" i="118"/>
  <c r="AE319" i="118"/>
  <c r="AG319" i="118"/>
  <c r="AD319" i="118"/>
  <c r="AL312" i="118"/>
  <c r="F312" i="118"/>
  <c r="AE320" i="118"/>
  <c r="AG320" i="118"/>
  <c r="AH320" i="118"/>
  <c r="AK312" i="118"/>
  <c r="AL313" i="118"/>
  <c r="F313" i="118"/>
  <c r="AD320" i="118"/>
  <c r="AE321" i="118"/>
  <c r="AG321" i="118"/>
  <c r="AH321" i="118"/>
  <c r="AK313" i="118"/>
  <c r="AL314" i="118"/>
  <c r="F314" i="118"/>
  <c r="AD321" i="118"/>
  <c r="AH322" i="118"/>
  <c r="AE322" i="118"/>
  <c r="AG322" i="118"/>
  <c r="AK314" i="118"/>
  <c r="AL315" i="118"/>
  <c r="F315" i="118"/>
  <c r="AD322" i="118"/>
  <c r="AE323" i="118"/>
  <c r="AG323" i="118"/>
  <c r="AH323" i="118"/>
  <c r="AK315" i="118"/>
  <c r="AL316" i="118"/>
  <c r="F316" i="118"/>
  <c r="AD323" i="118"/>
  <c r="AE324" i="118"/>
  <c r="AG324" i="118"/>
  <c r="AH324" i="118"/>
  <c r="AK316" i="118"/>
  <c r="AL317" i="118"/>
  <c r="F317" i="118"/>
  <c r="AD324" i="118"/>
  <c r="AE325" i="118"/>
  <c r="AG325" i="118"/>
  <c r="AH325" i="118"/>
  <c r="AK317" i="118"/>
  <c r="AD325" i="118"/>
  <c r="AL318" i="118"/>
  <c r="F318" i="118"/>
  <c r="AK318" i="118"/>
  <c r="AL319" i="118"/>
  <c r="F319" i="118"/>
  <c r="AK319" i="118"/>
  <c r="AL320" i="118"/>
  <c r="F320" i="118"/>
  <c r="AK320" i="118"/>
  <c r="AL321" i="118"/>
  <c r="F321" i="118"/>
  <c r="AK321" i="118"/>
  <c r="AL322" i="118"/>
  <c r="F322" i="118"/>
  <c r="AK322" i="118"/>
  <c r="AL323" i="118"/>
  <c r="F323" i="118"/>
  <c r="AK323" i="118"/>
  <c r="AL324" i="118"/>
  <c r="F324" i="118"/>
  <c r="AK324" i="118"/>
  <c r="AL325" i="118"/>
  <c r="F325" i="118"/>
  <c r="AK325" i="118"/>
  <c r="S27" i="41"/>
  <c r="T26" i="41"/>
  <c r="W26" i="41"/>
  <c r="X26" i="41"/>
  <c r="Y26" i="41"/>
  <c r="Z26" i="41"/>
  <c r="AA26" i="41"/>
  <c r="U26" i="41"/>
  <c r="T27" i="41"/>
  <c r="V27" i="41"/>
  <c r="W27" i="41"/>
  <c r="X27" i="41"/>
  <c r="Y27" i="41"/>
  <c r="Z27" i="41"/>
  <c r="AA27" i="41"/>
  <c r="U27" i="41"/>
  <c r="T28" i="41"/>
  <c r="V28" i="41"/>
  <c r="W28" i="41"/>
  <c r="X28" i="41"/>
  <c r="Y28" i="41"/>
  <c r="Z28" i="41"/>
  <c r="AA28" i="41"/>
  <c r="U28" i="41"/>
  <c r="T29" i="41"/>
  <c r="V29" i="41"/>
  <c r="W29" i="41"/>
  <c r="X29" i="41"/>
  <c r="Y29" i="41"/>
  <c r="Z29" i="41"/>
  <c r="AA29" i="41"/>
  <c r="U29" i="41"/>
  <c r="T30" i="41"/>
  <c r="V30" i="41"/>
  <c r="W30" i="41"/>
  <c r="X30" i="41"/>
  <c r="Y30" i="41"/>
  <c r="Z30" i="41"/>
  <c r="AA30" i="41"/>
  <c r="U30" i="41"/>
  <c r="V31" i="41"/>
  <c r="W31" i="41"/>
  <c r="X31" i="41"/>
  <c r="Y31" i="41"/>
  <c r="Z31" i="41"/>
  <c r="AA31" i="41"/>
  <c r="U31" i="41"/>
  <c r="V32" i="41"/>
  <c r="W32" i="41"/>
  <c r="X32" i="41"/>
  <c r="Y32" i="41"/>
  <c r="Z32" i="41"/>
  <c r="AA32" i="41"/>
  <c r="U32" i="41"/>
  <c r="V33" i="41"/>
  <c r="W33" i="41"/>
  <c r="X33" i="41"/>
  <c r="Y33" i="41"/>
  <c r="Z33" i="41"/>
  <c r="AA33" i="41"/>
  <c r="U33" i="41"/>
  <c r="V34" i="41"/>
  <c r="W34" i="41"/>
  <c r="X34" i="41"/>
  <c r="Y34" i="41"/>
  <c r="Z34" i="41"/>
  <c r="AA34" i="41"/>
  <c r="U34" i="41"/>
  <c r="V35" i="41"/>
  <c r="W35" i="41"/>
  <c r="X35" i="41"/>
  <c r="Y35" i="41"/>
  <c r="Z35" i="41"/>
  <c r="AA35" i="41"/>
  <c r="U35" i="41"/>
  <c r="V36" i="41"/>
  <c r="W36" i="41"/>
  <c r="X36" i="41"/>
  <c r="Y36" i="41"/>
  <c r="AB26" i="41"/>
  <c r="AC27" i="41"/>
  <c r="AB27" i="41"/>
  <c r="AC28" i="41"/>
  <c r="AB28" i="41"/>
  <c r="AC29" i="41"/>
  <c r="AB29" i="41"/>
  <c r="AC30" i="41"/>
  <c r="AB30" i="41"/>
  <c r="AC31" i="41"/>
  <c r="AB31" i="41"/>
  <c r="AC32" i="41"/>
  <c r="AB32" i="41"/>
  <c r="AC33" i="41"/>
  <c r="AB33" i="41"/>
  <c r="AC34" i="41"/>
  <c r="AB34" i="41"/>
  <c r="AC35" i="41"/>
  <c r="AB35" i="41"/>
  <c r="AC36" i="41"/>
  <c r="AD36" i="41"/>
  <c r="AK36" i="41"/>
  <c r="AR36" i="41"/>
  <c r="AL36" i="41"/>
  <c r="AM36" i="41"/>
  <c r="AF36" i="41"/>
  <c r="AS36" i="41"/>
  <c r="AD35" i="41"/>
  <c r="AD34" i="41"/>
  <c r="AD33" i="41"/>
  <c r="AD32" i="41"/>
  <c r="AD31" i="41"/>
  <c r="AD30" i="41"/>
  <c r="AD29" i="41"/>
  <c r="AD28" i="41"/>
  <c r="AD27" i="41"/>
  <c r="AD26" i="41"/>
  <c r="AN26" i="41"/>
  <c r="AN27" i="41"/>
  <c r="AN28" i="41"/>
  <c r="AN29" i="41"/>
  <c r="AN30" i="41"/>
  <c r="AN31" i="41"/>
  <c r="AN32" i="41"/>
  <c r="AN33" i="41"/>
  <c r="AN34" i="41"/>
  <c r="AN35" i="41"/>
  <c r="AN36" i="41"/>
  <c r="AQ36" i="41"/>
  <c r="Z36" i="41"/>
  <c r="AA36" i="41"/>
  <c r="U36" i="41"/>
  <c r="AK35" i="41"/>
  <c r="AF35" i="41"/>
  <c r="AQ35" i="41"/>
  <c r="AR35" i="41"/>
  <c r="AS35" i="41"/>
  <c r="AL35" i="41"/>
  <c r="AM35" i="41"/>
  <c r="AB36" i="41"/>
  <c r="AG36" i="41"/>
  <c r="AK34" i="41"/>
  <c r="AL34" i="41"/>
  <c r="AM34" i="41"/>
  <c r="AF34" i="41"/>
  <c r="AR34" i="41"/>
  <c r="AQ34" i="41"/>
  <c r="AS34" i="41"/>
  <c r="AG35" i="41"/>
  <c r="AR33" i="41"/>
  <c r="AQ33" i="41"/>
  <c r="AL33" i="41"/>
  <c r="AM33" i="41"/>
  <c r="AF33" i="41"/>
  <c r="AK33" i="41"/>
  <c r="AS33" i="41"/>
  <c r="AG34" i="41"/>
  <c r="AF32" i="41"/>
  <c r="AL32" i="41"/>
  <c r="AM32" i="41"/>
  <c r="AS32" i="41"/>
  <c r="AK32" i="41"/>
  <c r="AR32" i="41"/>
  <c r="AQ32" i="41"/>
  <c r="AG33" i="41"/>
  <c r="AQ31" i="41"/>
  <c r="AL31" i="41"/>
  <c r="AM31" i="41"/>
  <c r="AF31" i="41"/>
  <c r="AK31" i="41"/>
  <c r="AR31" i="41"/>
  <c r="AS31" i="41"/>
  <c r="AG32" i="41"/>
  <c r="AL30" i="41"/>
  <c r="AM30" i="41"/>
  <c r="AQ30" i="41"/>
  <c r="AS30" i="41"/>
  <c r="AK30" i="41"/>
  <c r="AR30" i="41"/>
  <c r="AF30" i="41"/>
  <c r="AG31" i="41"/>
  <c r="AF29" i="41"/>
  <c r="AS29" i="41"/>
  <c r="AQ29" i="41"/>
  <c r="AL29" i="41"/>
  <c r="AM29" i="41"/>
  <c r="AR29" i="41"/>
  <c r="AK29" i="41"/>
  <c r="AG30" i="41"/>
  <c r="AL28" i="41"/>
  <c r="AM28" i="41"/>
  <c r="AR28" i="41"/>
  <c r="AF28" i="41"/>
  <c r="AS28" i="41"/>
  <c r="AK28" i="41"/>
  <c r="AQ28" i="41"/>
  <c r="AG29" i="41"/>
  <c r="AF27" i="41"/>
  <c r="AR27" i="41"/>
  <c r="AL27" i="41"/>
  <c r="AM27" i="41"/>
  <c r="AK27" i="41"/>
  <c r="AS27" i="41"/>
  <c r="AQ27" i="41"/>
  <c r="AG28" i="41"/>
  <c r="AR26" i="41"/>
  <c r="AK26" i="41"/>
  <c r="AF26" i="41"/>
  <c r="AQ26" i="41"/>
  <c r="AL26" i="41"/>
  <c r="AM26" i="41"/>
  <c r="AS26" i="41"/>
  <c r="AG27" i="41"/>
  <c r="S14" i="41"/>
  <c r="E24" i="118" l="1"/>
  <c r="AI24" i="118"/>
  <c r="AI24" i="117"/>
  <c r="E24" i="117"/>
  <c r="E24" i="104"/>
  <c r="AI24" i="104"/>
  <c r="C24" i="117" l="1"/>
  <c r="D24" i="117"/>
  <c r="AM25" i="117"/>
  <c r="AN25" i="117" s="1"/>
  <c r="AJ25" i="117"/>
  <c r="AI25" i="117" s="1"/>
  <c r="AJ25" i="104"/>
  <c r="AI25" i="104" s="1"/>
  <c r="AM25" i="104"/>
  <c r="AN25" i="104" s="1"/>
  <c r="AM25" i="118"/>
  <c r="AN25" i="118" s="1"/>
  <c r="AJ25" i="118"/>
  <c r="AI25" i="118" s="1"/>
  <c r="AU24" i="104"/>
  <c r="AV24" i="104" s="1"/>
  <c r="C24" i="104"/>
  <c r="D24" i="104"/>
  <c r="I8" i="103"/>
  <c r="AT24" i="104"/>
  <c r="BQ24" i="104" s="1"/>
  <c r="BA24" i="104"/>
  <c r="BB24" i="104"/>
  <c r="BC24" i="104" s="1"/>
  <c r="D24" i="118"/>
  <c r="C24" i="118"/>
  <c r="AJ26" i="117" l="1"/>
  <c r="AI26" i="117" s="1"/>
  <c r="AM26" i="117"/>
  <c r="AJ26" i="104"/>
  <c r="AI26" i="104" s="1"/>
  <c r="AM26" i="104"/>
  <c r="AN26" i="104" s="1"/>
  <c r="AO26" i="104"/>
  <c r="E25" i="118"/>
  <c r="AO26" i="118"/>
  <c r="E25" i="117"/>
  <c r="AJ26" i="118"/>
  <c r="AI26" i="118" s="1"/>
  <c r="AM26" i="118"/>
  <c r="AN26" i="118" s="1"/>
  <c r="E25" i="104"/>
  <c r="AO26" i="117"/>
  <c r="AN26" i="117" s="1"/>
  <c r="AO27" i="117" l="1"/>
  <c r="AO27" i="104"/>
  <c r="AJ27" i="104"/>
  <c r="AM27" i="104"/>
  <c r="AN27" i="104" s="1"/>
  <c r="AO27" i="118"/>
  <c r="AM27" i="118"/>
  <c r="AJ27" i="118"/>
  <c r="AM27" i="117"/>
  <c r="AN27" i="117" s="1"/>
  <c r="AJ27" i="117"/>
  <c r="AI27" i="117" s="1"/>
  <c r="AT25" i="104"/>
  <c r="BQ25" i="104" s="1"/>
  <c r="BB25" i="104"/>
  <c r="BC25" i="104" s="1"/>
  <c r="BA25" i="104"/>
  <c r="D25" i="104"/>
  <c r="I9" i="103"/>
  <c r="AU25" i="104"/>
  <c r="AV25" i="104" s="1"/>
  <c r="C25" i="104"/>
  <c r="D25" i="118"/>
  <c r="C25" i="118"/>
  <c r="E26" i="104"/>
  <c r="E26" i="118"/>
  <c r="C25" i="117"/>
  <c r="D25" i="117"/>
  <c r="E26" i="117"/>
  <c r="E27" i="118" l="1"/>
  <c r="AN27" i="118"/>
  <c r="AO28" i="118" s="1"/>
  <c r="AO28" i="117"/>
  <c r="AO28" i="104"/>
  <c r="E27" i="117"/>
  <c r="AI27" i="118"/>
  <c r="C26" i="118"/>
  <c r="D26" i="118"/>
  <c r="E27" i="104"/>
  <c r="C26" i="117"/>
  <c r="D26" i="117"/>
  <c r="BB26" i="104"/>
  <c r="BC26" i="104" s="1"/>
  <c r="AT26" i="104"/>
  <c r="BQ26" i="104" s="1"/>
  <c r="AU26" i="104"/>
  <c r="AV26" i="104" s="1"/>
  <c r="C26" i="104"/>
  <c r="BA26" i="104"/>
  <c r="D26" i="104"/>
  <c r="AJ28" i="117"/>
  <c r="E28" i="117" s="1"/>
  <c r="AM28" i="117"/>
  <c r="AN28" i="117" s="1"/>
  <c r="C27" i="118"/>
  <c r="D27" i="118"/>
  <c r="AI27" i="104"/>
  <c r="AO29" i="117" l="1"/>
  <c r="C28" i="117"/>
  <c r="D28" i="117"/>
  <c r="AI28" i="117"/>
  <c r="BA27" i="104"/>
  <c r="AU27" i="104"/>
  <c r="AV27" i="104" s="1"/>
  <c r="C27" i="104"/>
  <c r="BB27" i="104"/>
  <c r="BC27" i="104" s="1"/>
  <c r="D27" i="104"/>
  <c r="AT27" i="104"/>
  <c r="BQ27" i="104" s="1"/>
  <c r="AJ28" i="104"/>
  <c r="AM28" i="104"/>
  <c r="AN28" i="104" s="1"/>
  <c r="AJ28" i="118"/>
  <c r="AI28" i="118" s="1"/>
  <c r="AM28" i="118"/>
  <c r="AN28" i="118" s="1"/>
  <c r="C27" i="117"/>
  <c r="D27" i="117"/>
  <c r="E28" i="104" l="1"/>
  <c r="AM29" i="118"/>
  <c r="AJ29" i="118"/>
  <c r="AI29" i="118" s="1"/>
  <c r="AO29" i="118"/>
  <c r="AO29" i="104"/>
  <c r="AJ29" i="117"/>
  <c r="AI29" i="117" s="1"/>
  <c r="AM29" i="117"/>
  <c r="AN29" i="117" s="1"/>
  <c r="E28" i="118"/>
  <c r="AI28" i="104"/>
  <c r="AN29" i="118" l="1"/>
  <c r="AM30" i="117"/>
  <c r="AJ30" i="117"/>
  <c r="AO30" i="118"/>
  <c r="D28" i="118"/>
  <c r="C28" i="118"/>
  <c r="AJ30" i="118"/>
  <c r="AI30" i="118"/>
  <c r="AM30" i="118"/>
  <c r="AO30" i="117"/>
  <c r="AN30" i="117" s="1"/>
  <c r="E29" i="117"/>
  <c r="AM29" i="104"/>
  <c r="AN29" i="104" s="1"/>
  <c r="AJ29" i="104"/>
  <c r="E29" i="118"/>
  <c r="BB28" i="104"/>
  <c r="BC28" i="104" s="1"/>
  <c r="AT28" i="104"/>
  <c r="BQ28" i="104" s="1"/>
  <c r="D28" i="104"/>
  <c r="BA28" i="104"/>
  <c r="C28" i="104"/>
  <c r="AU28" i="104"/>
  <c r="AV28" i="104" s="1"/>
  <c r="AN30" i="118" l="1"/>
  <c r="AO31" i="118"/>
  <c r="AO31" i="117"/>
  <c r="C29" i="117"/>
  <c r="D29" i="117"/>
  <c r="AJ31" i="118"/>
  <c r="E31" i="118" s="1"/>
  <c r="AM31" i="118"/>
  <c r="AN31" i="118" s="1"/>
  <c r="AO30" i="104"/>
  <c r="E30" i="118"/>
  <c r="E30" i="117"/>
  <c r="E29" i="104"/>
  <c r="C29" i="118"/>
  <c r="D29" i="118"/>
  <c r="AI29" i="104"/>
  <c r="AI30" i="117"/>
  <c r="AI31" i="118" l="1"/>
  <c r="AO32" i="118"/>
  <c r="AJ31" i="117"/>
  <c r="AM31" i="117"/>
  <c r="AN31" i="117" s="1"/>
  <c r="AM30" i="104"/>
  <c r="AN30" i="104" s="1"/>
  <c r="AJ30" i="104"/>
  <c r="AI30" i="104" s="1"/>
  <c r="BA29" i="104"/>
  <c r="AT29" i="104"/>
  <c r="BQ29" i="104" s="1"/>
  <c r="BB29" i="104"/>
  <c r="BC29" i="104" s="1"/>
  <c r="D29" i="104"/>
  <c r="AU29" i="104"/>
  <c r="AV29" i="104" s="1"/>
  <c r="C29" i="104"/>
  <c r="C30" i="118"/>
  <c r="D30" i="118"/>
  <c r="AJ32" i="118"/>
  <c r="AI32" i="118" s="1"/>
  <c r="AM32" i="118"/>
  <c r="C30" i="117"/>
  <c r="D30" i="117"/>
  <c r="C31" i="118"/>
  <c r="D31" i="118"/>
  <c r="AN32" i="118" l="1"/>
  <c r="AO33" i="118"/>
  <c r="AN33" i="118" s="1"/>
  <c r="AM33" i="118"/>
  <c r="AJ33" i="118"/>
  <c r="AI33" i="118"/>
  <c r="AO31" i="104"/>
  <c r="E31" i="117"/>
  <c r="AJ31" i="104"/>
  <c r="AM31" i="104"/>
  <c r="AO32" i="117"/>
  <c r="E32" i="118"/>
  <c r="E30" i="104"/>
  <c r="AI31" i="117"/>
  <c r="AN31" i="104" l="1"/>
  <c r="E31" i="104"/>
  <c r="AO32" i="104"/>
  <c r="AO34" i="118"/>
  <c r="AI31" i="104"/>
  <c r="C31" i="117"/>
  <c r="D31" i="117"/>
  <c r="E33" i="118"/>
  <c r="AU30" i="104"/>
  <c r="AV30" i="104" s="1"/>
  <c r="AT30" i="104"/>
  <c r="BQ30" i="104" s="1"/>
  <c r="BB30" i="104"/>
  <c r="BC30" i="104" s="1"/>
  <c r="BA30" i="104"/>
  <c r="C30" i="104"/>
  <c r="D30" i="104"/>
  <c r="AJ32" i="117"/>
  <c r="AM32" i="117"/>
  <c r="AN32" i="117" s="1"/>
  <c r="AI32" i="117"/>
  <c r="C32" i="118"/>
  <c r="D32" i="118"/>
  <c r="BA31" i="104"/>
  <c r="C31" i="104"/>
  <c r="D31" i="104"/>
  <c r="BB31" i="104"/>
  <c r="BC31" i="104" s="1"/>
  <c r="AU31" i="104"/>
  <c r="AV31" i="104" s="1"/>
  <c r="AT31" i="104"/>
  <c r="BQ31" i="104" s="1"/>
  <c r="AM34" i="118"/>
  <c r="AJ34" i="118"/>
  <c r="E34" i="118" s="1"/>
  <c r="AI34" i="118" l="1"/>
  <c r="AN34" i="118"/>
  <c r="AO35" i="118" s="1"/>
  <c r="AN35" i="118" s="1"/>
  <c r="AJ35" i="118"/>
  <c r="AI35" i="118" s="1"/>
  <c r="AM35" i="118"/>
  <c r="D34" i="118"/>
  <c r="C34" i="118"/>
  <c r="E32" i="117"/>
  <c r="C33" i="118"/>
  <c r="D33" i="118"/>
  <c r="AM33" i="117"/>
  <c r="AN33" i="117" s="1"/>
  <c r="AJ33" i="117"/>
  <c r="AO33" i="117"/>
  <c r="AJ32" i="104"/>
  <c r="E32" i="104" s="1"/>
  <c r="AM32" i="104"/>
  <c r="AN32" i="104" s="1"/>
  <c r="E33" i="117" l="1"/>
  <c r="AO34" i="117"/>
  <c r="AO36" i="118"/>
  <c r="AI32" i="104"/>
  <c r="AJ36" i="118"/>
  <c r="E36" i="118" s="1"/>
  <c r="AM36" i="118"/>
  <c r="AN36" i="118" s="1"/>
  <c r="AI33" i="117"/>
  <c r="D32" i="117"/>
  <c r="C32" i="117"/>
  <c r="AO33" i="104"/>
  <c r="E35" i="118"/>
  <c r="C32" i="104"/>
  <c r="D32" i="104"/>
  <c r="AU32" i="104"/>
  <c r="AV32" i="104" s="1"/>
  <c r="BA32" i="104"/>
  <c r="AT32" i="104"/>
  <c r="BQ32" i="104" s="1"/>
  <c r="BB32" i="104"/>
  <c r="BC32" i="104" s="1"/>
  <c r="D33" i="117"/>
  <c r="C33" i="117"/>
  <c r="AO37" i="118" l="1"/>
  <c r="AI36" i="118"/>
  <c r="D35" i="118"/>
  <c r="C35" i="118"/>
  <c r="D36" i="118"/>
  <c r="C36" i="118"/>
  <c r="AJ34" i="117"/>
  <c r="E34" i="117" s="1"/>
  <c r="AI34" i="117"/>
  <c r="AM34" i="117"/>
  <c r="AN34" i="117" s="1"/>
  <c r="AM33" i="104"/>
  <c r="AN33" i="104" s="1"/>
  <c r="AJ33" i="104"/>
  <c r="E33" i="104" s="1"/>
  <c r="AI33" i="104"/>
  <c r="AM34" i="104" l="1"/>
  <c r="AJ34" i="104"/>
  <c r="D34" i="117"/>
  <c r="C34" i="117"/>
  <c r="C33" i="104"/>
  <c r="D33" i="104"/>
  <c r="AT33" i="104"/>
  <c r="BQ33" i="104" s="1"/>
  <c r="AU33" i="104"/>
  <c r="AV33" i="104" s="1"/>
  <c r="BB33" i="104"/>
  <c r="BC33" i="104" s="1"/>
  <c r="BA33" i="104"/>
  <c r="AM37" i="118"/>
  <c r="AN37" i="118" s="1"/>
  <c r="AJ37" i="118"/>
  <c r="E37" i="118" s="1"/>
  <c r="AO34" i="104"/>
  <c r="AN34" i="104" s="1"/>
  <c r="AO35" i="117"/>
  <c r="AN35" i="117" s="1"/>
  <c r="AM35" i="117"/>
  <c r="AJ35" i="117"/>
  <c r="E35" i="117" s="1"/>
  <c r="AI35" i="117" l="1"/>
  <c r="AO36" i="117"/>
  <c r="AO35" i="104"/>
  <c r="C35" i="117"/>
  <c r="D35" i="117"/>
  <c r="AO38" i="118"/>
  <c r="AJ36" i="117"/>
  <c r="AM36" i="117"/>
  <c r="AN36" i="117" s="1"/>
  <c r="AI37" i="118"/>
  <c r="E34" i="104"/>
  <c r="D37" i="118"/>
  <c r="C37" i="118"/>
  <c r="AI34" i="104"/>
  <c r="E36" i="117" l="1"/>
  <c r="D36" i="117" s="1"/>
  <c r="AO37" i="117"/>
  <c r="C36" i="117"/>
  <c r="AJ35" i="104"/>
  <c r="E35" i="104" s="1"/>
  <c r="AI35" i="104"/>
  <c r="AM35" i="104"/>
  <c r="AN35" i="104" s="1"/>
  <c r="AM38" i="118"/>
  <c r="AN38" i="118" s="1"/>
  <c r="AJ38" i="118"/>
  <c r="E38" i="118" s="1"/>
  <c r="BB34" i="104"/>
  <c r="BC34" i="104" s="1"/>
  <c r="AU34" i="104"/>
  <c r="AV34" i="104" s="1"/>
  <c r="BA34" i="104"/>
  <c r="AT34" i="104"/>
  <c r="BQ34" i="104" s="1"/>
  <c r="D34" i="104"/>
  <c r="C34" i="104"/>
  <c r="AI36" i="117"/>
  <c r="AI38" i="118" l="1"/>
  <c r="AM39" i="118" s="1"/>
  <c r="AN39" i="118" s="1"/>
  <c r="AO36" i="104"/>
  <c r="AJ37" i="117"/>
  <c r="E37" i="117" s="1"/>
  <c r="AM37" i="117"/>
  <c r="AN37" i="117" s="1"/>
  <c r="C38" i="118"/>
  <c r="D38" i="118"/>
  <c r="AM36" i="104"/>
  <c r="AJ36" i="104"/>
  <c r="AI36" i="104" s="1"/>
  <c r="AO39" i="118"/>
  <c r="C35" i="104"/>
  <c r="AU35" i="104"/>
  <c r="AV35" i="104" s="1"/>
  <c r="AT35" i="104"/>
  <c r="BQ35" i="104" s="1"/>
  <c r="D35" i="104"/>
  <c r="BB35" i="104"/>
  <c r="BC35" i="104" s="1"/>
  <c r="BA35" i="104"/>
  <c r="AJ39" i="118" l="1"/>
  <c r="E39" i="118" s="1"/>
  <c r="AI39" i="118"/>
  <c r="AM40" i="118" s="1"/>
  <c r="AN40" i="118" s="1"/>
  <c r="AN36" i="104"/>
  <c r="AO40" i="118"/>
  <c r="AO37" i="104"/>
  <c r="AM37" i="104"/>
  <c r="AN37" i="104" s="1"/>
  <c r="AJ37" i="104"/>
  <c r="AO38" i="117"/>
  <c r="E36" i="104"/>
  <c r="AI37" i="117"/>
  <c r="C37" i="117"/>
  <c r="D37" i="117"/>
  <c r="AJ40" i="118" l="1"/>
  <c r="E40" i="118" s="1"/>
  <c r="D40" i="118" s="1"/>
  <c r="E37" i="104"/>
  <c r="AI37" i="104"/>
  <c r="AO41" i="118"/>
  <c r="AO38" i="104"/>
  <c r="C40" i="118"/>
  <c r="D39" i="118"/>
  <c r="C39" i="118"/>
  <c r="AM38" i="117"/>
  <c r="AN38" i="117" s="1"/>
  <c r="AJ38" i="117"/>
  <c r="E38" i="117" s="1"/>
  <c r="AI38" i="117"/>
  <c r="AT37" i="104"/>
  <c r="BQ37" i="104" s="1"/>
  <c r="D37" i="104"/>
  <c r="C37" i="104"/>
  <c r="BA37" i="104"/>
  <c r="BB37" i="104"/>
  <c r="BC37" i="104" s="1"/>
  <c r="AU37" i="104"/>
  <c r="C36" i="104"/>
  <c r="AT36" i="104"/>
  <c r="BQ36" i="104" s="1"/>
  <c r="BA36" i="104"/>
  <c r="AU36" i="104"/>
  <c r="AV36" i="104" s="1"/>
  <c r="BB36" i="104"/>
  <c r="BC36" i="104" s="1"/>
  <c r="D36" i="104"/>
  <c r="AJ38" i="104"/>
  <c r="E38" i="104" s="1"/>
  <c r="AM38" i="104"/>
  <c r="AN38" i="104" s="1"/>
  <c r="AI40" i="118"/>
  <c r="AI38" i="104" l="1"/>
  <c r="AV37" i="104"/>
  <c r="AO39" i="104"/>
  <c r="AJ39" i="104"/>
  <c r="AI39" i="104" s="1"/>
  <c r="AM39" i="104"/>
  <c r="AN39" i="104" s="1"/>
  <c r="AI39" i="117"/>
  <c r="AJ39" i="117"/>
  <c r="AM39" i="117"/>
  <c r="AN39" i="117" s="1"/>
  <c r="AJ41" i="118"/>
  <c r="E41" i="118" s="1"/>
  <c r="AM41" i="118"/>
  <c r="AN41" i="118" s="1"/>
  <c r="BB38" i="104"/>
  <c r="BC38" i="104" s="1"/>
  <c r="C38" i="104"/>
  <c r="AT38" i="104"/>
  <c r="BQ38" i="104" s="1"/>
  <c r="D38" i="104"/>
  <c r="AU38" i="104"/>
  <c r="AV38" i="104" s="1"/>
  <c r="BA38" i="104"/>
  <c r="D38" i="117"/>
  <c r="C38" i="117"/>
  <c r="AO39" i="117"/>
  <c r="AI41" i="118" l="1"/>
  <c r="AO40" i="104"/>
  <c r="AM40" i="104"/>
  <c r="AN40" i="104" s="1"/>
  <c r="AJ40" i="104"/>
  <c r="E40" i="104" s="1"/>
  <c r="AO40" i="117"/>
  <c r="AM42" i="118"/>
  <c r="AJ42" i="118"/>
  <c r="E39" i="117"/>
  <c r="E39" i="104"/>
  <c r="AO42" i="118"/>
  <c r="AM40" i="117"/>
  <c r="AN40" i="117" s="1"/>
  <c r="AJ40" i="117"/>
  <c r="E40" i="117" s="1"/>
  <c r="C41" i="118"/>
  <c r="D41" i="118"/>
  <c r="AN42" i="118" l="1"/>
  <c r="E42" i="118"/>
  <c r="AI40" i="104"/>
  <c r="AO41" i="117"/>
  <c r="AO43" i="118"/>
  <c r="AJ41" i="104"/>
  <c r="AI41" i="104" s="1"/>
  <c r="AM41" i="104"/>
  <c r="AN41" i="104" s="1"/>
  <c r="D39" i="104"/>
  <c r="BB39" i="104"/>
  <c r="BC39" i="104" s="1"/>
  <c r="AT39" i="104"/>
  <c r="BQ39" i="104" s="1"/>
  <c r="BA39" i="104"/>
  <c r="C39" i="104"/>
  <c r="AU39" i="104"/>
  <c r="AV39" i="104" s="1"/>
  <c r="C39" i="117"/>
  <c r="D39" i="117"/>
  <c r="D40" i="117"/>
  <c r="C40" i="117"/>
  <c r="C42" i="118"/>
  <c r="D42" i="118"/>
  <c r="AO41" i="104"/>
  <c r="AI40" i="117"/>
  <c r="AI42" i="118"/>
  <c r="AT40" i="104"/>
  <c r="BQ40" i="104" s="1"/>
  <c r="C40" i="104"/>
  <c r="AU40" i="104"/>
  <c r="D40" i="104"/>
  <c r="BA40" i="104"/>
  <c r="BB40" i="104"/>
  <c r="BC40" i="104" s="1"/>
  <c r="AV40" i="104" l="1"/>
  <c r="AI43" i="118"/>
  <c r="AJ43" i="118"/>
  <c r="E43" i="118" s="1"/>
  <c r="AM43" i="118"/>
  <c r="AN43" i="118" s="1"/>
  <c r="AM41" i="117"/>
  <c r="AN41" i="117" s="1"/>
  <c r="AJ41" i="117"/>
  <c r="E41" i="117" s="1"/>
  <c r="AO42" i="104"/>
  <c r="AJ42" i="104"/>
  <c r="E42" i="104" s="1"/>
  <c r="AM42" i="104"/>
  <c r="AN42" i="104" s="1"/>
  <c r="E41" i="104"/>
  <c r="AI42" i="104" l="1"/>
  <c r="AO43" i="104"/>
  <c r="AO42" i="117"/>
  <c r="AU41" i="104"/>
  <c r="AV41" i="104" s="1"/>
  <c r="D41" i="104"/>
  <c r="C41" i="104"/>
  <c r="BB41" i="104"/>
  <c r="BC41" i="104" s="1"/>
  <c r="BA41" i="104"/>
  <c r="AT41" i="104"/>
  <c r="BQ41" i="104" s="1"/>
  <c r="AI41" i="117"/>
  <c r="AT42" i="104"/>
  <c r="BQ42" i="104" s="1"/>
  <c r="BA42" i="104"/>
  <c r="AU42" i="104"/>
  <c r="BB42" i="104"/>
  <c r="BC42" i="104" s="1"/>
  <c r="C42" i="104"/>
  <c r="D42" i="104"/>
  <c r="AO44" i="118"/>
  <c r="C41" i="117"/>
  <c r="D41" i="117"/>
  <c r="D43" i="118"/>
  <c r="C43" i="118"/>
  <c r="AM43" i="104"/>
  <c r="AN43" i="104" s="1"/>
  <c r="AJ43" i="104"/>
  <c r="E43" i="104" s="1"/>
  <c r="AM44" i="118"/>
  <c r="AN44" i="118" s="1"/>
  <c r="AJ44" i="118"/>
  <c r="AV42" i="104" l="1"/>
  <c r="AO45" i="118"/>
  <c r="AO44" i="104"/>
  <c r="C43" i="104"/>
  <c r="BB43" i="104"/>
  <c r="BC43" i="104" s="1"/>
  <c r="BA43" i="104"/>
  <c r="AT43" i="104"/>
  <c r="BQ43" i="104" s="1"/>
  <c r="AU43" i="104"/>
  <c r="AV43" i="104" s="1"/>
  <c r="D43" i="104"/>
  <c r="E44" i="118"/>
  <c r="AI43" i="104"/>
  <c r="AJ42" i="117"/>
  <c r="E42" i="117" s="1"/>
  <c r="AM42" i="117"/>
  <c r="AN42" i="117" s="1"/>
  <c r="AI44" i="118"/>
  <c r="AI42" i="117" l="1"/>
  <c r="C44" i="118"/>
  <c r="D44" i="118"/>
  <c r="AO43" i="117"/>
  <c r="AM43" i="117"/>
  <c r="AJ43" i="117"/>
  <c r="D42" i="117"/>
  <c r="C42" i="117"/>
  <c r="AJ45" i="118"/>
  <c r="E45" i="118" s="1"/>
  <c r="AM45" i="118"/>
  <c r="AN45" i="118" s="1"/>
  <c r="AJ44" i="104"/>
  <c r="E44" i="104" s="1"/>
  <c r="AM44" i="104"/>
  <c r="AN44" i="104" s="1"/>
  <c r="E43" i="117" l="1"/>
  <c r="AN43" i="117"/>
  <c r="AI43" i="117"/>
  <c r="AO44" i="117"/>
  <c r="AJ44" i="117"/>
  <c r="AM44" i="117"/>
  <c r="AO46" i="118"/>
  <c r="AO45" i="104"/>
  <c r="AI45" i="118"/>
  <c r="D43" i="117"/>
  <c r="C43" i="117"/>
  <c r="AI44" i="104"/>
  <c r="C45" i="118"/>
  <c r="D45" i="118"/>
  <c r="D44" i="104"/>
  <c r="AU44" i="104"/>
  <c r="AV44" i="104" s="1"/>
  <c r="C44" i="104"/>
  <c r="BA44" i="104"/>
  <c r="BB44" i="104"/>
  <c r="BC44" i="104" s="1"/>
  <c r="AT44" i="104"/>
  <c r="BQ44" i="104" s="1"/>
  <c r="AN44" i="117" l="1"/>
  <c r="AO45" i="117"/>
  <c r="E44" i="117"/>
  <c r="AI44" i="117"/>
  <c r="AM46" i="118"/>
  <c r="AN46" i="118" s="1"/>
  <c r="AJ46" i="118"/>
  <c r="E46" i="118" s="1"/>
  <c r="AJ45" i="104"/>
  <c r="E45" i="104" s="1"/>
  <c r="AI45" i="104"/>
  <c r="AM45" i="104"/>
  <c r="AN45" i="104" s="1"/>
  <c r="AO47" i="118" l="1"/>
  <c r="AT45" i="104"/>
  <c r="BQ45" i="104" s="1"/>
  <c r="D45" i="104"/>
  <c r="BB45" i="104"/>
  <c r="BC45" i="104" s="1"/>
  <c r="AU45" i="104"/>
  <c r="AV45" i="104" s="1"/>
  <c r="C45" i="104"/>
  <c r="BA45" i="104"/>
  <c r="AM45" i="117"/>
  <c r="AN45" i="117" s="1"/>
  <c r="AJ45" i="117"/>
  <c r="E45" i="117" s="1"/>
  <c r="C46" i="118"/>
  <c r="D46" i="118"/>
  <c r="C44" i="117"/>
  <c r="D44" i="117"/>
  <c r="AO46" i="104"/>
  <c r="AJ46" i="104"/>
  <c r="AM46" i="104"/>
  <c r="AN46" i="104" s="1"/>
  <c r="AI46" i="118"/>
  <c r="E46" i="104" l="1"/>
  <c r="AO47" i="104"/>
  <c r="D45" i="117"/>
  <c r="C45" i="117"/>
  <c r="AJ47" i="118"/>
  <c r="E47" i="118" s="1"/>
  <c r="AM47" i="118"/>
  <c r="AN47" i="118" s="1"/>
  <c r="AO46" i="117"/>
  <c r="BB46" i="104"/>
  <c r="BC46" i="104" s="1"/>
  <c r="AU46" i="104"/>
  <c r="AV46" i="104" s="1"/>
  <c r="AT46" i="104"/>
  <c r="BQ46" i="104" s="1"/>
  <c r="C46" i="104"/>
  <c r="D46" i="104"/>
  <c r="BA46" i="104"/>
  <c r="AI45" i="117"/>
  <c r="AI46" i="104"/>
  <c r="AJ46" i="117" l="1"/>
  <c r="E46" i="117" s="1"/>
  <c r="AM46" i="117"/>
  <c r="AN46" i="117" s="1"/>
  <c r="AI47" i="118"/>
  <c r="AO48" i="118"/>
  <c r="AM47" i="104"/>
  <c r="AN47" i="104" s="1"/>
  <c r="AJ47" i="104"/>
  <c r="E47" i="104" s="1"/>
  <c r="C47" i="118"/>
  <c r="D47" i="118"/>
  <c r="AI47" i="104" l="1"/>
  <c r="C47" i="104"/>
  <c r="AU47" i="104"/>
  <c r="AV47" i="104" s="1"/>
  <c r="AT47" i="104"/>
  <c r="BQ47" i="104" s="1"/>
  <c r="BB47" i="104"/>
  <c r="BC47" i="104" s="1"/>
  <c r="D47" i="104"/>
  <c r="BA47" i="104"/>
  <c r="AJ48" i="118"/>
  <c r="E48" i="118" s="1"/>
  <c r="AM48" i="118"/>
  <c r="AN48" i="118" s="1"/>
  <c r="AO48" i="104"/>
  <c r="AI46" i="117"/>
  <c r="AO47" i="117"/>
  <c r="AJ48" i="104"/>
  <c r="AM48" i="104"/>
  <c r="AN48" i="104" s="1"/>
  <c r="C46" i="117"/>
  <c r="D46" i="117"/>
  <c r="E48" i="104" l="1"/>
  <c r="BB48" i="104" s="1"/>
  <c r="BC48" i="104" s="1"/>
  <c r="AO49" i="104"/>
  <c r="C48" i="104"/>
  <c r="BA48" i="104"/>
  <c r="AU48" i="104"/>
  <c r="AV48" i="104" s="1"/>
  <c r="D48" i="104"/>
  <c r="AT48" i="104"/>
  <c r="BQ48" i="104" s="1"/>
  <c r="C48" i="118"/>
  <c r="D48" i="118"/>
  <c r="AO49" i="118"/>
  <c r="AI48" i="104"/>
  <c r="AM47" i="117"/>
  <c r="AN47" i="117" s="1"/>
  <c r="AJ47" i="117"/>
  <c r="E47" i="117" s="1"/>
  <c r="AI48" i="118"/>
  <c r="AJ49" i="118" l="1"/>
  <c r="E49" i="118" s="1"/>
  <c r="AM49" i="118"/>
  <c r="AN49" i="118" s="1"/>
  <c r="AI47" i="117"/>
  <c r="AM49" i="104"/>
  <c r="AN49" i="104" s="1"/>
  <c r="AJ49" i="104"/>
  <c r="E49" i="104" s="1"/>
  <c r="AO48" i="117"/>
  <c r="C47" i="117"/>
  <c r="D47" i="117"/>
  <c r="AJ48" i="117" l="1"/>
  <c r="E48" i="117" s="1"/>
  <c r="AM48" i="117"/>
  <c r="AN48" i="117" s="1"/>
  <c r="AT49" i="104"/>
  <c r="BQ49" i="104" s="1"/>
  <c r="BA49" i="104"/>
  <c r="C49" i="104"/>
  <c r="D49" i="104"/>
  <c r="AU49" i="104"/>
  <c r="AV49" i="104" s="1"/>
  <c r="BB49" i="104"/>
  <c r="BC49" i="104" s="1"/>
  <c r="AI49" i="104"/>
  <c r="AI49" i="118"/>
  <c r="AO50" i="118"/>
  <c r="AO50" i="104"/>
  <c r="D49" i="118"/>
  <c r="C49" i="118"/>
  <c r="AI48" i="117" l="1"/>
  <c r="AM50" i="118"/>
  <c r="AN50" i="118" s="1"/>
  <c r="AJ50" i="118"/>
  <c r="E50" i="118" s="1"/>
  <c r="AM49" i="117"/>
  <c r="AJ49" i="117"/>
  <c r="AO49" i="117"/>
  <c r="AN49" i="117" s="1"/>
  <c r="AM50" i="104"/>
  <c r="AN50" i="104" s="1"/>
  <c r="AJ50" i="104"/>
  <c r="E50" i="104" s="1"/>
  <c r="D48" i="117"/>
  <c r="C48" i="117"/>
  <c r="AI50" i="104" l="1"/>
  <c r="AM51" i="104" s="1"/>
  <c r="AO50" i="117"/>
  <c r="AI51" i="104"/>
  <c r="AJ51" i="104"/>
  <c r="D50" i="118"/>
  <c r="C50" i="118"/>
  <c r="AT50" i="104"/>
  <c r="BQ50" i="104" s="1"/>
  <c r="AU50" i="104"/>
  <c r="AV50" i="104" s="1"/>
  <c r="C50" i="104"/>
  <c r="D50" i="104"/>
  <c r="BB50" i="104"/>
  <c r="BC50" i="104" s="1"/>
  <c r="BA50" i="104"/>
  <c r="E49" i="117"/>
  <c r="AI50" i="118"/>
  <c r="AO51" i="104"/>
  <c r="AI49" i="117"/>
  <c r="AO51" i="118"/>
  <c r="AN51" i="104" l="1"/>
  <c r="AO52" i="104"/>
  <c r="AJ52" i="104"/>
  <c r="AM52" i="104"/>
  <c r="AN52" i="104" s="1"/>
  <c r="AM51" i="118"/>
  <c r="AN51" i="118" s="1"/>
  <c r="AJ51" i="118"/>
  <c r="E51" i="118" s="1"/>
  <c r="AM50" i="117"/>
  <c r="AN50" i="117" s="1"/>
  <c r="AJ50" i="117"/>
  <c r="E50" i="117" s="1"/>
  <c r="C49" i="117"/>
  <c r="D49" i="117"/>
  <c r="E51" i="104"/>
  <c r="E52" i="104" l="1"/>
  <c r="I11" i="103" s="1"/>
  <c r="AO53" i="104"/>
  <c r="D52" i="104"/>
  <c r="AT52" i="104"/>
  <c r="BQ52" i="104" s="1"/>
  <c r="BA52" i="104"/>
  <c r="C52" i="104"/>
  <c r="BB52" i="104"/>
  <c r="BC52" i="104" s="1"/>
  <c r="BB22" i="104" s="1"/>
  <c r="D51" i="118"/>
  <c r="C51" i="118"/>
  <c r="C50" i="117"/>
  <c r="D50" i="117"/>
  <c r="AI51" i="118"/>
  <c r="AI52" i="104"/>
  <c r="AO51" i="117"/>
  <c r="C51" i="104"/>
  <c r="D51" i="104"/>
  <c r="BB51" i="104"/>
  <c r="BC51" i="104" s="1"/>
  <c r="AT51" i="104"/>
  <c r="BQ51" i="104" s="1"/>
  <c r="I10" i="103"/>
  <c r="AU51" i="104"/>
  <c r="AV51" i="104" s="1"/>
  <c r="BA51" i="104"/>
  <c r="AO52" i="118"/>
  <c r="AI50" i="117"/>
  <c r="AU52" i="104" l="1"/>
  <c r="AV52" i="104" s="1"/>
  <c r="AV22" i="104" s="1"/>
  <c r="C4" i="104" s="1"/>
  <c r="AM53" i="104"/>
  <c r="AN53" i="104" s="1"/>
  <c r="AJ53" i="104"/>
  <c r="E53" i="104" s="1"/>
  <c r="AJ52" i="118"/>
  <c r="E52" i="118" s="1"/>
  <c r="AM52" i="118"/>
  <c r="AN52" i="118" s="1"/>
  <c r="BA22" i="104"/>
  <c r="C5" i="104" s="1"/>
  <c r="AT22" i="104"/>
  <c r="AT20" i="104" s="1"/>
  <c r="C2" i="104" s="1"/>
  <c r="J12" i="103" s="1"/>
  <c r="AJ51" i="117"/>
  <c r="E51" i="117" s="1"/>
  <c r="AM51" i="117"/>
  <c r="AN51" i="117" s="1"/>
  <c r="D19" i="104"/>
  <c r="AO52" i="117" l="1"/>
  <c r="AI53" i="104"/>
  <c r="C52" i="118"/>
  <c r="D52" i="118"/>
  <c r="D19" i="118" s="1"/>
  <c r="AI51" i="117"/>
  <c r="AO53" i="118"/>
  <c r="C51" i="117"/>
  <c r="D51" i="117"/>
  <c r="AI52" i="118"/>
  <c r="AO54" i="104"/>
  <c r="AJ52" i="117" l="1"/>
  <c r="E52" i="117" s="1"/>
  <c r="AM52" i="117"/>
  <c r="AN52" i="117" s="1"/>
  <c r="AJ53" i="118"/>
  <c r="E53" i="118" s="1"/>
  <c r="AM53" i="118"/>
  <c r="AN53" i="118" s="1"/>
  <c r="AJ54" i="104"/>
  <c r="E54" i="104" s="1"/>
  <c r="AM54" i="104"/>
  <c r="AN54" i="104" s="1"/>
  <c r="AI54" i="104" l="1"/>
  <c r="AJ55" i="104" s="1"/>
  <c r="E55" i="104" s="1"/>
  <c r="AO53" i="117"/>
  <c r="AO55" i="104"/>
  <c r="AI53" i="118"/>
  <c r="AI52" i="117"/>
  <c r="AO54" i="118"/>
  <c r="D52" i="117"/>
  <c r="D19" i="117" s="1"/>
  <c r="C52" i="117"/>
  <c r="AM55" i="104" l="1"/>
  <c r="AN55" i="104" s="1"/>
  <c r="AO56" i="104" s="1"/>
  <c r="AI55" i="104"/>
  <c r="AJ53" i="117"/>
  <c r="E53" i="117" s="1"/>
  <c r="AM53" i="117"/>
  <c r="AN53" i="117" s="1"/>
  <c r="AJ54" i="118"/>
  <c r="E54" i="118" s="1"/>
  <c r="AM54" i="118"/>
  <c r="AN54" i="118" s="1"/>
  <c r="AI54" i="118" l="1"/>
  <c r="AJ55" i="118" s="1"/>
  <c r="AO55" i="118"/>
  <c r="AI53" i="117"/>
  <c r="AJ56" i="104"/>
  <c r="E56" i="104" s="1"/>
  <c r="AM56" i="104"/>
  <c r="AN56" i="104" s="1"/>
  <c r="AO54" i="117"/>
  <c r="AI55" i="118" l="1"/>
  <c r="AM56" i="118" s="1"/>
  <c r="AN56" i="118" s="1"/>
  <c r="AM55" i="118"/>
  <c r="AN55" i="118" s="1"/>
  <c r="AO56" i="118"/>
  <c r="AI56" i="104"/>
  <c r="AJ56" i="118"/>
  <c r="AI56" i="118"/>
  <c r="AJ54" i="117"/>
  <c r="E54" i="117" s="1"/>
  <c r="AM54" i="117"/>
  <c r="AN54" i="117" s="1"/>
  <c r="AI54" i="117"/>
  <c r="AO57" i="104"/>
  <c r="E55" i="118"/>
  <c r="AO57" i="118" l="1"/>
  <c r="AO55" i="117"/>
  <c r="E56" i="118"/>
  <c r="AM57" i="104"/>
  <c r="AN57" i="104" s="1"/>
  <c r="AJ57" i="104"/>
  <c r="E57" i="104" s="1"/>
  <c r="AJ57" i="118"/>
  <c r="E57" i="118" s="1"/>
  <c r="AM57" i="118"/>
  <c r="AN57" i="118" s="1"/>
  <c r="AJ55" i="117"/>
  <c r="E55" i="117" s="1"/>
  <c r="AM55" i="117"/>
  <c r="AN55" i="117" s="1"/>
  <c r="AI55" i="117"/>
  <c r="AI57" i="118" l="1"/>
  <c r="AO56" i="117"/>
  <c r="AO58" i="118"/>
  <c r="AI57" i="104"/>
  <c r="AM58" i="118"/>
  <c r="AN58" i="118" s="1"/>
  <c r="AJ58" i="118"/>
  <c r="E58" i="118" s="1"/>
  <c r="AO58" i="104"/>
  <c r="AM56" i="117"/>
  <c r="AN56" i="117" s="1"/>
  <c r="AI56" i="117"/>
  <c r="AJ56" i="117"/>
  <c r="E56" i="117" s="1"/>
  <c r="AI58" i="118" l="1"/>
  <c r="AJ59" i="118" s="1"/>
  <c r="E59" i="118" s="1"/>
  <c r="AO57" i="117"/>
  <c r="AO59" i="118"/>
  <c r="AM59" i="118"/>
  <c r="AN59" i="118" s="1"/>
  <c r="AJ57" i="117"/>
  <c r="E57" i="117" s="1"/>
  <c r="AM57" i="117"/>
  <c r="AN57" i="117" s="1"/>
  <c r="AJ58" i="104"/>
  <c r="E58" i="104" s="1"/>
  <c r="AI58" i="104"/>
  <c r="AM58" i="104"/>
  <c r="AN58" i="104" s="1"/>
  <c r="AO60" i="118" l="1"/>
  <c r="AO58" i="117"/>
  <c r="AO59" i="104"/>
  <c r="AM59" i="104"/>
  <c r="AN59" i="104" s="1"/>
  <c r="AJ59" i="104"/>
  <c r="E59" i="104" s="1"/>
  <c r="AI59" i="104"/>
  <c r="AI57" i="117"/>
  <c r="AI59" i="118"/>
  <c r="AJ60" i="118" l="1"/>
  <c r="E60" i="118" s="1"/>
  <c r="AM60" i="118"/>
  <c r="AN60" i="118" s="1"/>
  <c r="AJ60" i="104"/>
  <c r="E60" i="104" s="1"/>
  <c r="AM60" i="104"/>
  <c r="AJ58" i="117"/>
  <c r="E58" i="117" s="1"/>
  <c r="AM58" i="117"/>
  <c r="AN58" i="117" s="1"/>
  <c r="AO60" i="104"/>
  <c r="AN60" i="104" s="1"/>
  <c r="AI58" i="117" l="1"/>
  <c r="AM59" i="117" s="1"/>
  <c r="AN59" i="117" s="1"/>
  <c r="AO61" i="104"/>
  <c r="AI60" i="118"/>
  <c r="AO61" i="118"/>
  <c r="AO59" i="117"/>
  <c r="AI60" i="104"/>
  <c r="AJ59" i="117" l="1"/>
  <c r="AI59" i="117" s="1"/>
  <c r="AM61" i="118"/>
  <c r="AN61" i="118" s="1"/>
  <c r="AJ61" i="118"/>
  <c r="E61" i="118" s="1"/>
  <c r="AM61" i="104"/>
  <c r="AN61" i="104" s="1"/>
  <c r="AJ61" i="104"/>
  <c r="E61" i="104" s="1"/>
  <c r="AO60" i="117"/>
  <c r="AJ60" i="117" l="1"/>
  <c r="AI60" i="117" s="1"/>
  <c r="AM61" i="117" s="1"/>
  <c r="AM60" i="117"/>
  <c r="AN60" i="117" s="1"/>
  <c r="E59" i="117"/>
  <c r="AI61" i="104"/>
  <c r="AJ61" i="117"/>
  <c r="AI61" i="117" s="1"/>
  <c r="AO62" i="104"/>
  <c r="AJ62" i="104"/>
  <c r="AM62" i="104"/>
  <c r="AN62" i="104" s="1"/>
  <c r="AO62" i="118"/>
  <c r="AO61" i="117"/>
  <c r="AI61" i="118"/>
  <c r="E60" i="117"/>
  <c r="AN61" i="117" l="1"/>
  <c r="AN62" i="117" s="1"/>
  <c r="AJ62" i="117"/>
  <c r="AM62" i="117"/>
  <c r="AO62" i="117"/>
  <c r="AO63" i="104"/>
  <c r="E62" i="104"/>
  <c r="AI62" i="104"/>
  <c r="AJ62" i="118"/>
  <c r="E62" i="118" s="1"/>
  <c r="AM62" i="118"/>
  <c r="AN62" i="118" s="1"/>
  <c r="E61" i="117"/>
  <c r="AI62" i="118" l="1"/>
  <c r="AJ63" i="118" s="1"/>
  <c r="E62" i="117"/>
  <c r="AO63" i="118"/>
  <c r="AO63" i="117"/>
  <c r="E19" i="104"/>
  <c r="E17" i="104"/>
  <c r="AM63" i="104"/>
  <c r="AN63" i="104" s="1"/>
  <c r="AJ63" i="104"/>
  <c r="AJ19" i="104" s="1"/>
  <c r="AI62" i="117"/>
  <c r="E63" i="118" l="1"/>
  <c r="AI63" i="118"/>
  <c r="AM63" i="118"/>
  <c r="AN63" i="118" s="1"/>
  <c r="AI63" i="104"/>
  <c r="AI19" i="104" s="1"/>
  <c r="AO64" i="118"/>
  <c r="AJ63" i="117"/>
  <c r="E63" i="117" s="1"/>
  <c r="AM63" i="117"/>
  <c r="AN63" i="117" s="1"/>
  <c r="AJ64" i="118"/>
  <c r="AM64" i="118"/>
  <c r="AW24" i="104"/>
  <c r="AW25" i="104"/>
  <c r="AZ25" i="104" s="1"/>
  <c r="AW26" i="104"/>
  <c r="AZ26" i="104" s="1"/>
  <c r="AW27" i="104"/>
  <c r="AZ27" i="104" s="1"/>
  <c r="AW28" i="104"/>
  <c r="AZ28" i="104" s="1"/>
  <c r="AW29" i="104"/>
  <c r="AZ29" i="104" s="1"/>
  <c r="AW31" i="104"/>
  <c r="AZ31" i="104" s="1"/>
  <c r="AW30" i="104"/>
  <c r="AZ30" i="104" s="1"/>
  <c r="AW32" i="104"/>
  <c r="AZ32" i="104" s="1"/>
  <c r="AW33" i="104"/>
  <c r="AZ33" i="104" s="1"/>
  <c r="AW34" i="104"/>
  <c r="AZ34" i="104" s="1"/>
  <c r="AW35" i="104"/>
  <c r="AZ35" i="104" s="1"/>
  <c r="AW37" i="104"/>
  <c r="AZ37" i="104" s="1"/>
  <c r="AW36" i="104"/>
  <c r="AZ36" i="104" s="1"/>
  <c r="AW38" i="104"/>
  <c r="AZ38" i="104" s="1"/>
  <c r="AW39" i="104"/>
  <c r="AZ39" i="104" s="1"/>
  <c r="AW40" i="104"/>
  <c r="AZ40" i="104" s="1"/>
  <c r="AW41" i="104"/>
  <c r="AZ41" i="104" s="1"/>
  <c r="AW42" i="104"/>
  <c r="AZ42" i="104" s="1"/>
  <c r="AW43" i="104"/>
  <c r="AZ43" i="104" s="1"/>
  <c r="AW44" i="104"/>
  <c r="AZ44" i="104" s="1"/>
  <c r="AW45" i="104"/>
  <c r="AZ45" i="104" s="1"/>
  <c r="AW46" i="104"/>
  <c r="AZ46" i="104" s="1"/>
  <c r="AW47" i="104"/>
  <c r="AZ47" i="104" s="1"/>
  <c r="AW48" i="104"/>
  <c r="AZ48" i="104" s="1"/>
  <c r="AW49" i="104"/>
  <c r="AZ49" i="104" s="1"/>
  <c r="AW50" i="104"/>
  <c r="AZ50" i="104" s="1"/>
  <c r="AW51" i="104"/>
  <c r="AZ51" i="104" s="1"/>
  <c r="AW52" i="104"/>
  <c r="AZ52" i="104" s="1"/>
  <c r="AN64" i="118" l="1"/>
  <c r="E64" i="118"/>
  <c r="AI64" i="118"/>
  <c r="AJ65" i="118" s="1"/>
  <c r="E65" i="118" s="1"/>
  <c r="AO65" i="118"/>
  <c r="AM65" i="118"/>
  <c r="AN65" i="118" s="1"/>
  <c r="AO64" i="117"/>
  <c r="AW22" i="104"/>
  <c r="AZ24" i="104"/>
  <c r="AZ22" i="104" s="1"/>
  <c r="AZ20" i="104" s="1"/>
  <c r="C3" i="104" s="1"/>
  <c r="AI63" i="117"/>
  <c r="AI65" i="118" l="1"/>
  <c r="AM66" i="118" s="1"/>
  <c r="AN66" i="118" s="1"/>
  <c r="AO66" i="118"/>
  <c r="AM64" i="117"/>
  <c r="AN64" i="117" s="1"/>
  <c r="AJ64" i="117"/>
  <c r="E64" i="117" s="1"/>
  <c r="AI64" i="117"/>
  <c r="AJ66" i="118" l="1"/>
  <c r="E66" i="118" s="1"/>
  <c r="AO67" i="118"/>
  <c r="AJ65" i="117"/>
  <c r="AI65" i="117" s="1"/>
  <c r="AM65" i="117"/>
  <c r="AN65" i="117" s="1"/>
  <c r="AO65" i="117"/>
  <c r="AI66" i="118" l="1"/>
  <c r="AO66" i="117"/>
  <c r="AJ66" i="117"/>
  <c r="E66" i="117" s="1"/>
  <c r="AM66" i="117"/>
  <c r="AN66" i="117" s="1"/>
  <c r="E65" i="117"/>
  <c r="AM67" i="118"/>
  <c r="AN67" i="118" s="1"/>
  <c r="AJ67" i="118" l="1"/>
  <c r="E67" i="118" s="1"/>
  <c r="AO67" i="117"/>
  <c r="AO68" i="118"/>
  <c r="AI66" i="117"/>
  <c r="AI67" i="118" l="1"/>
  <c r="AJ67" i="117"/>
  <c r="E67" i="117" s="1"/>
  <c r="AI67" i="117"/>
  <c r="AM67" i="117"/>
  <c r="AN67" i="117" s="1"/>
  <c r="AJ68" i="118" l="1"/>
  <c r="AI68" i="118"/>
  <c r="AM68" i="118"/>
  <c r="AN68" i="118" s="1"/>
  <c r="AO69" i="118" s="1"/>
  <c r="E17" i="117"/>
  <c r="E19" i="117"/>
  <c r="AM68" i="117"/>
  <c r="AJ68" i="117"/>
  <c r="AJ19" i="117" s="1"/>
  <c r="AO68" i="117"/>
  <c r="AN68" i="117"/>
  <c r="AI19" i="118" l="1"/>
  <c r="AJ69" i="118"/>
  <c r="AM69" i="118"/>
  <c r="AN69" i="118" s="1"/>
  <c r="AO70" i="118" s="1"/>
  <c r="AJ19" i="118"/>
  <c r="E68" i="118"/>
  <c r="AI68" i="117"/>
  <c r="AI19" i="117" s="1"/>
  <c r="E19" i="118" l="1"/>
  <c r="E17" i="118"/>
  <c r="E69" i="118"/>
  <c r="AI69" i="118"/>
  <c r="AM70" i="118" l="1"/>
  <c r="AN70" i="118" s="1"/>
  <c r="AO71" i="118" s="1"/>
  <c r="AJ70" i="118"/>
  <c r="E70" i="118" l="1"/>
  <c r="AI70" i="118"/>
  <c r="AM71" i="118" l="1"/>
  <c r="AN71" i="118" s="1"/>
  <c r="AO72" i="118" s="1"/>
  <c r="AJ71" i="118"/>
  <c r="E71" i="118" l="1"/>
  <c r="AI71" i="118"/>
  <c r="AJ72" i="118" l="1"/>
  <c r="AM72" i="118"/>
  <c r="AN72" i="118" s="1"/>
  <c r="AO73" i="118" s="1"/>
  <c r="E72" i="118" l="1"/>
  <c r="AI72" i="118"/>
  <c r="AJ73" i="118" l="1"/>
  <c r="E73" i="118" s="1"/>
  <c r="AM73" i="118"/>
  <c r="AN73" i="118" s="1"/>
  <c r="AO74" i="118" s="1"/>
  <c r="AI73" i="118" l="1"/>
  <c r="AM74" i="118" l="1"/>
  <c r="AN74" i="118" s="1"/>
  <c r="AO75" i="118" s="1"/>
  <c r="AJ74" i="118"/>
  <c r="E74" i="118" s="1"/>
  <c r="AI74" i="118" l="1"/>
  <c r="AM75" i="118" l="1"/>
  <c r="AN75" i="118" s="1"/>
  <c r="AO76" i="118" s="1"/>
  <c r="AJ75" i="118"/>
  <c r="E75" i="118" s="1"/>
  <c r="AI75" i="118"/>
  <c r="AM76" i="118" l="1"/>
  <c r="AN76" i="118" s="1"/>
  <c r="AO77" i="118" s="1"/>
  <c r="AJ76" i="118"/>
  <c r="E76" i="118" s="1"/>
  <c r="AI76" i="118" l="1"/>
  <c r="AM77" i="118" l="1"/>
  <c r="AN77" i="118" s="1"/>
  <c r="AO78" i="118" s="1"/>
  <c r="AJ77" i="118"/>
  <c r="E77" i="118" s="1"/>
  <c r="AI77" i="118"/>
  <c r="AM78" i="118" l="1"/>
  <c r="AN78" i="118" s="1"/>
  <c r="AO79" i="118" s="1"/>
  <c r="AJ78" i="118"/>
  <c r="E78" i="118" s="1"/>
  <c r="AI78" i="118" l="1"/>
  <c r="AJ79" i="118" l="1"/>
  <c r="E79" i="118" s="1"/>
  <c r="AM79" i="118"/>
  <c r="AN79" i="118" s="1"/>
  <c r="AO80" i="118" s="1"/>
  <c r="AI79" i="118" l="1"/>
  <c r="AJ80" i="118" l="1"/>
  <c r="E80" i="118" s="1"/>
  <c r="AI80" i="118"/>
  <c r="AM80" i="118"/>
  <c r="AN80" i="118" s="1"/>
  <c r="AO81" i="118" s="1"/>
  <c r="AM81" i="118" l="1"/>
  <c r="AN81" i="118" s="1"/>
  <c r="AO82" i="118" s="1"/>
  <c r="AJ81" i="118"/>
  <c r="E81" i="118" s="1"/>
  <c r="AI81" i="118"/>
  <c r="AM82" i="118" l="1"/>
  <c r="AN82" i="118" s="1"/>
  <c r="AO83" i="118" s="1"/>
  <c r="AJ82" i="118"/>
  <c r="E82" i="118" s="1"/>
  <c r="AI82" i="118"/>
  <c r="AM83" i="118" l="1"/>
  <c r="AN83" i="118" s="1"/>
  <c r="AO84" i="118" s="1"/>
  <c r="AJ83" i="118"/>
  <c r="E83" i="118" l="1"/>
  <c r="AI83" i="118"/>
  <c r="AJ84" i="118" l="1"/>
  <c r="AM84" i="118"/>
  <c r="AN84" i="118" s="1"/>
  <c r="AO85" i="118" s="1"/>
  <c r="E84" i="118" l="1"/>
  <c r="AI84" i="118"/>
  <c r="AJ85" i="118" l="1"/>
  <c r="AM85" i="118"/>
  <c r="AN85" i="118" s="1"/>
  <c r="AO86" i="118" s="1"/>
  <c r="E85" i="118" l="1"/>
  <c r="AI85" i="118"/>
  <c r="AM86" i="118" l="1"/>
  <c r="AN86" i="118" s="1"/>
  <c r="AO87" i="118" s="1"/>
  <c r="AJ86" i="118"/>
  <c r="E86" i="118" l="1"/>
  <c r="AI86" i="118"/>
  <c r="AJ87" i="118" l="1"/>
  <c r="AM87" i="118"/>
  <c r="AN87" i="118" s="1"/>
  <c r="AO88" i="118" s="1"/>
  <c r="E87" i="118" l="1"/>
  <c r="AI87" i="118"/>
  <c r="AJ88" i="118" l="1"/>
  <c r="AM88" i="118"/>
  <c r="AN88" i="118" s="1"/>
  <c r="AO89" i="118" s="1"/>
  <c r="E88" i="118" l="1"/>
  <c r="AI88" i="118"/>
  <c r="AM89" i="118" l="1"/>
  <c r="AN89" i="118" s="1"/>
  <c r="AO90" i="118" s="1"/>
  <c r="AJ89" i="118"/>
  <c r="E89" i="118" s="1"/>
  <c r="AI89" i="118" l="1"/>
  <c r="AM90" i="118" l="1"/>
  <c r="AN90" i="118" s="1"/>
  <c r="AO91" i="118" s="1"/>
  <c r="AJ90" i="118"/>
  <c r="E90" i="118" s="1"/>
  <c r="AI90" i="118" l="1"/>
  <c r="AJ91" i="118" l="1"/>
  <c r="E91" i="118" s="1"/>
  <c r="AM91" i="118"/>
  <c r="AN91" i="118" s="1"/>
  <c r="AO92" i="118" l="1"/>
  <c r="AI91" i="118"/>
  <c r="AM92" i="118" l="1"/>
  <c r="AN92" i="118" s="1"/>
  <c r="AO93" i="118" s="1"/>
  <c r="AJ92" i="118"/>
  <c r="E92" i="118" s="1"/>
  <c r="AI92" i="118" l="1"/>
  <c r="AM93" i="118" l="1"/>
  <c r="AN93" i="118" s="1"/>
  <c r="AO94" i="118" s="1"/>
  <c r="AJ93" i="118"/>
  <c r="AI93" i="118" l="1"/>
  <c r="E93" i="118"/>
  <c r="AM94" i="118" l="1"/>
  <c r="AN94" i="118" s="1"/>
  <c r="AO95" i="118" s="1"/>
  <c r="AJ94" i="118"/>
  <c r="E94" i="118" s="1"/>
  <c r="AI94" i="118"/>
  <c r="AJ95" i="118" l="1"/>
  <c r="E95" i="118" s="1"/>
  <c r="AM95" i="118"/>
  <c r="AN95" i="118" s="1"/>
  <c r="AO96" i="118" s="1"/>
  <c r="AI95" i="118"/>
  <c r="AJ96" i="118" l="1"/>
  <c r="E96" i="118" s="1"/>
  <c r="AI96" i="118"/>
  <c r="AM96" i="118"/>
  <c r="AN96" i="118" s="1"/>
  <c r="AO97" i="118" l="1"/>
  <c r="AN97" i="118" s="1"/>
  <c r="AO98" i="118" s="1"/>
  <c r="AJ97" i="118"/>
  <c r="AM97" i="118"/>
  <c r="AI97" i="118"/>
  <c r="AM98" i="118" l="1"/>
  <c r="AN98" i="118" s="1"/>
  <c r="AO99" i="118" s="1"/>
  <c r="AJ98" i="118"/>
  <c r="E98" i="118" s="1"/>
  <c r="E97" i="118"/>
  <c r="AI98" i="118" l="1"/>
  <c r="AJ99" i="118" l="1"/>
  <c r="E99" i="118" s="1"/>
  <c r="AM99" i="118"/>
  <c r="AN99" i="118" s="1"/>
  <c r="AO100" i="118" s="1"/>
  <c r="AI99" i="118" l="1"/>
  <c r="AJ100" i="118" l="1"/>
  <c r="E100" i="118" s="1"/>
  <c r="AM100" i="118"/>
  <c r="AN100" i="118" s="1"/>
  <c r="AO101" i="118" s="1"/>
  <c r="AI100" i="118" l="1"/>
  <c r="AJ101" i="118" l="1"/>
  <c r="E101" i="118" s="1"/>
  <c r="AM101" i="118"/>
  <c r="AN101" i="118" s="1"/>
  <c r="AO102" i="118" s="1"/>
  <c r="AI101" i="118" l="1"/>
  <c r="AJ102" i="118" l="1"/>
  <c r="E102" i="118" s="1"/>
  <c r="AM102" i="118"/>
  <c r="AN102" i="118" s="1"/>
  <c r="AO103" i="118" s="1"/>
  <c r="AI102" i="118"/>
  <c r="AJ103" i="118" l="1"/>
  <c r="E103" i="118" s="1"/>
  <c r="AM103" i="118"/>
  <c r="AN103" i="118" s="1"/>
  <c r="AI103" i="118"/>
  <c r="AM104" i="118" l="1"/>
  <c r="AJ104" i="118"/>
  <c r="AI104" i="118"/>
  <c r="AO104" i="118"/>
  <c r="AN104" i="118" s="1"/>
  <c r="AO105" i="118" s="1"/>
  <c r="AM105" i="118" l="1"/>
  <c r="AN105" i="118" s="1"/>
  <c r="AO106" i="118" s="1"/>
  <c r="AJ105" i="118"/>
  <c r="E105" i="118" s="1"/>
  <c r="E104" i="118"/>
  <c r="AI105" i="118" l="1"/>
  <c r="AM106" i="118" l="1"/>
  <c r="AN106" i="118" s="1"/>
  <c r="AO107" i="118" s="1"/>
  <c r="AJ106" i="118"/>
  <c r="E106" i="118" l="1"/>
  <c r="AI106" i="118"/>
  <c r="AM107" i="118" l="1"/>
  <c r="AN107" i="118" s="1"/>
  <c r="AO108" i="118" s="1"/>
  <c r="AJ107" i="118"/>
  <c r="E107" i="118" s="1"/>
  <c r="AI107" i="118" l="1"/>
  <c r="AM108" i="118" l="1"/>
  <c r="AN108" i="118" s="1"/>
  <c r="AO109" i="118" s="1"/>
  <c r="AJ108" i="118"/>
  <c r="E108" i="118" l="1"/>
  <c r="AI108" i="118"/>
  <c r="AJ109" i="118" l="1"/>
  <c r="E109" i="118" s="1"/>
  <c r="AM109" i="118"/>
  <c r="AN109" i="118" s="1"/>
  <c r="AO110" i="118" l="1"/>
  <c r="AI109" i="118"/>
  <c r="AM110" i="118" l="1"/>
  <c r="AN110" i="118" s="1"/>
  <c r="AO111" i="118" s="1"/>
  <c r="AJ110" i="118"/>
  <c r="E110" i="118" s="1"/>
  <c r="AI110" i="118"/>
  <c r="AI111" i="118" l="1"/>
  <c r="AM112" i="118" s="1"/>
  <c r="AN112" i="118" s="1"/>
  <c r="AJ111" i="118"/>
  <c r="E111" i="118" s="1"/>
  <c r="AM111" i="118"/>
  <c r="AN111" i="118" s="1"/>
  <c r="AO112" i="118" s="1"/>
  <c r="AJ112" i="118"/>
  <c r="E112" i="118" l="1"/>
  <c r="AI112" i="118"/>
  <c r="AO113" i="118"/>
  <c r="AJ113" i="118" l="1"/>
  <c r="E113" i="118" s="1"/>
  <c r="AM113" i="118"/>
  <c r="AN113" i="118" s="1"/>
  <c r="AI113" i="118" l="1"/>
  <c r="AO114" i="118"/>
  <c r="AJ114" i="118" l="1"/>
  <c r="E114" i="118" s="1"/>
  <c r="AM114" i="118"/>
  <c r="AN114" i="118" s="1"/>
  <c r="AI114" i="118" l="1"/>
  <c r="AO115" i="118"/>
  <c r="AJ115" i="118" l="1"/>
  <c r="E115" i="118" s="1"/>
  <c r="AM115" i="118"/>
  <c r="AN115" i="118" s="1"/>
  <c r="AI115" i="118" l="1"/>
  <c r="AJ116" i="118" s="1"/>
  <c r="AO116" i="118"/>
  <c r="AM116" i="118" l="1"/>
  <c r="AN116" i="118" s="1"/>
  <c r="AO117" i="118" s="1"/>
  <c r="E116" i="118"/>
  <c r="AI116" i="118"/>
  <c r="AJ117" i="118" l="1"/>
  <c r="E117" i="118" s="1"/>
  <c r="AM117" i="118"/>
  <c r="AN117" i="118" s="1"/>
  <c r="AI117" i="118" l="1"/>
  <c r="AJ118" i="118"/>
  <c r="AI118" i="118" s="1"/>
  <c r="AM118" i="118"/>
  <c r="AN118" i="118" s="1"/>
  <c r="AO118" i="118"/>
  <c r="AO119" i="118" l="1"/>
  <c r="AM119" i="118"/>
  <c r="AJ119" i="118"/>
  <c r="E119" i="118" s="1"/>
  <c r="E118" i="118"/>
  <c r="AN119" i="118" l="1"/>
  <c r="AO120" i="118"/>
  <c r="AI119" i="118"/>
  <c r="AM120" i="118" l="1"/>
  <c r="AN120" i="118" s="1"/>
  <c r="AJ120" i="118"/>
  <c r="E120" i="118" s="1"/>
  <c r="AI120" i="118" l="1"/>
  <c r="AO121" i="118"/>
  <c r="AJ121" i="118" l="1"/>
  <c r="E121" i="118" s="1"/>
  <c r="AM121" i="118"/>
  <c r="AN121" i="118" s="1"/>
  <c r="AI121" i="118"/>
  <c r="AO122" i="118" l="1"/>
  <c r="AJ122" i="118"/>
  <c r="E122" i="118" s="1"/>
  <c r="AM122" i="118"/>
  <c r="AN122" i="118" l="1"/>
  <c r="AO123" i="118"/>
  <c r="AI122" i="118"/>
  <c r="AJ123" i="118" l="1"/>
  <c r="E123" i="118" s="1"/>
  <c r="AM123" i="118"/>
  <c r="AN123" i="118" s="1"/>
  <c r="AO124" i="118" l="1"/>
  <c r="AI123" i="118"/>
  <c r="AM124" i="118" l="1"/>
  <c r="AN124" i="118" s="1"/>
  <c r="AJ124" i="118"/>
  <c r="E124" i="118" s="1"/>
  <c r="AO125" i="118" l="1"/>
  <c r="AI124" i="118"/>
  <c r="AJ125" i="118" l="1"/>
  <c r="E125" i="118" s="1"/>
  <c r="AM125" i="118"/>
  <c r="AN125" i="118" s="1"/>
  <c r="AO126" i="118" l="1"/>
  <c r="AI125" i="118"/>
  <c r="AJ126" i="118" l="1"/>
  <c r="E126" i="118" s="1"/>
  <c r="AM126" i="118"/>
  <c r="AN126" i="118" s="1"/>
  <c r="AO127" i="118" l="1"/>
  <c r="AI126" i="118"/>
  <c r="AM127" i="118" l="1"/>
  <c r="AN127" i="118" s="1"/>
  <c r="AJ127" i="118"/>
  <c r="E127" i="118" s="1"/>
  <c r="AI127" i="118" l="1"/>
  <c r="AO128" i="118"/>
  <c r="AJ128" i="118" l="1"/>
  <c r="E128" i="118" s="1"/>
  <c r="AM128" i="118"/>
  <c r="AN128" i="118" s="1"/>
  <c r="AO129" i="118" l="1"/>
  <c r="AI128" i="118"/>
  <c r="AM129" i="118" l="1"/>
  <c r="AN129" i="118" s="1"/>
  <c r="AJ129" i="118"/>
  <c r="E129" i="118" s="1"/>
  <c r="AI129" i="118" l="1"/>
  <c r="AJ130" i="118" s="1"/>
  <c r="E130" i="118" s="1"/>
  <c r="AO130" i="118"/>
  <c r="AM130" i="118" l="1"/>
  <c r="AN130" i="118" s="1"/>
  <c r="AO131" i="118" s="1"/>
  <c r="AI130" i="118"/>
  <c r="AJ131" i="118" l="1"/>
  <c r="E131" i="118" s="1"/>
  <c r="AM131" i="118"/>
  <c r="AN131" i="118" s="1"/>
  <c r="AO132" i="118" l="1"/>
  <c r="AI131" i="118"/>
  <c r="AJ132" i="118" l="1"/>
  <c r="E132" i="118" s="1"/>
  <c r="AM132" i="118"/>
  <c r="AN132" i="118" s="1"/>
  <c r="AI132" i="118" l="1"/>
  <c r="AO133" i="118"/>
  <c r="AM133" i="118" l="1"/>
  <c r="AN133" i="118" s="1"/>
  <c r="AJ133" i="118"/>
  <c r="E133" i="118" s="1"/>
  <c r="AO134" i="118" l="1"/>
  <c r="AI133" i="118"/>
  <c r="AM134" i="118" l="1"/>
  <c r="AN134" i="118" s="1"/>
  <c r="AJ134" i="118"/>
  <c r="E134" i="118" s="1"/>
  <c r="AI134" i="118" l="1"/>
  <c r="AO135" i="118"/>
  <c r="AJ135" i="118" l="1"/>
  <c r="E135" i="118" s="1"/>
  <c r="AM135" i="118"/>
  <c r="AN135" i="118" s="1"/>
  <c r="AI135" i="118" l="1"/>
  <c r="AO136" i="118"/>
  <c r="AJ136" i="118" l="1"/>
  <c r="E136" i="118" s="1"/>
  <c r="AM136" i="118"/>
  <c r="AN136" i="118" s="1"/>
  <c r="AO137" i="118" l="1"/>
  <c r="AI136" i="118"/>
  <c r="AJ137" i="118" l="1"/>
  <c r="E137" i="118" s="1"/>
  <c r="AM137" i="118"/>
  <c r="AN137" i="118" s="1"/>
  <c r="AO138" i="118" l="1"/>
  <c r="AI137" i="118"/>
  <c r="AJ138" i="118" l="1"/>
  <c r="E138" i="118" s="1"/>
  <c r="AM138" i="118"/>
  <c r="AN138" i="118" s="1"/>
  <c r="AI138" i="118" l="1"/>
  <c r="AO139" i="118"/>
  <c r="AJ139" i="118" l="1"/>
  <c r="E139" i="118" s="1"/>
  <c r="AM139" i="118"/>
  <c r="AN139" i="118" s="1"/>
  <c r="AO140" i="118" l="1"/>
  <c r="AI139" i="118"/>
  <c r="AM140" i="118" l="1"/>
  <c r="AN140" i="118" s="1"/>
  <c r="AJ140" i="118"/>
  <c r="E140" i="118" s="1"/>
  <c r="AO141" i="118" l="1"/>
  <c r="AI140" i="118"/>
  <c r="AJ141" i="118" l="1"/>
  <c r="E141" i="118" s="1"/>
  <c r="AM141" i="118"/>
  <c r="AN141" i="118" s="1"/>
  <c r="AO142" i="118" l="1"/>
  <c r="AI141" i="118"/>
  <c r="AJ142" i="118" l="1"/>
  <c r="E142" i="118" s="1"/>
  <c r="AM142" i="118"/>
  <c r="AN142" i="118" s="1"/>
  <c r="AO143" i="118" l="1"/>
  <c r="AI142" i="118"/>
  <c r="AM143" i="118" l="1"/>
  <c r="AN143" i="118" s="1"/>
  <c r="AJ143" i="118"/>
  <c r="E143" i="118" s="1"/>
  <c r="AI143" i="118" l="1"/>
  <c r="AO144" i="118"/>
  <c r="AJ144" i="118" l="1"/>
  <c r="E144" i="118" s="1"/>
  <c r="AM144" i="118"/>
  <c r="AN144" i="118" s="1"/>
  <c r="AI144" i="118"/>
  <c r="AJ145" i="118" l="1"/>
  <c r="AM145" i="118"/>
  <c r="AO145" i="118"/>
  <c r="AN145" i="118" s="1"/>
  <c r="AO146" i="118" l="1"/>
  <c r="E145" i="118"/>
  <c r="AI145" i="118"/>
  <c r="AM146" i="118" l="1"/>
  <c r="AN146" i="118" s="1"/>
  <c r="AJ146" i="118"/>
  <c r="E146" i="118" s="1"/>
  <c r="AO147" i="118" l="1"/>
  <c r="AI146" i="118"/>
  <c r="AJ147" i="118" l="1"/>
  <c r="E147" i="118" s="1"/>
  <c r="AM147" i="118"/>
  <c r="AN147" i="118" s="1"/>
  <c r="AI147" i="118" l="1"/>
  <c r="AO148" i="118"/>
  <c r="AJ148" i="118" l="1"/>
  <c r="E148" i="118" s="1"/>
  <c r="AM148" i="118"/>
  <c r="AN148" i="118" s="1"/>
  <c r="AI148" i="118" l="1"/>
  <c r="AO149" i="118"/>
  <c r="AJ149" i="118" l="1"/>
  <c r="E149" i="118" s="1"/>
  <c r="AM149" i="118"/>
  <c r="AN149" i="118" s="1"/>
  <c r="AI149" i="118"/>
  <c r="AM150" i="118" l="1"/>
  <c r="AN150" i="118" s="1"/>
  <c r="AJ150" i="118"/>
  <c r="AI150" i="118"/>
  <c r="AO150" i="118"/>
  <c r="AO151" i="118" l="1"/>
  <c r="AM151" i="118"/>
  <c r="AJ151" i="118"/>
  <c r="E150" i="118"/>
  <c r="E151" i="118" l="1"/>
  <c r="AN151" i="118"/>
  <c r="AO152" i="118"/>
  <c r="AI151" i="118"/>
  <c r="AM152" i="118" l="1"/>
  <c r="AN152" i="118" s="1"/>
  <c r="AJ152" i="118"/>
  <c r="E152" i="118" s="1"/>
  <c r="AI152" i="118" l="1"/>
  <c r="AM153" i="118"/>
  <c r="AN153" i="118" s="1"/>
  <c r="AJ153" i="118"/>
  <c r="E153" i="118" s="1"/>
  <c r="AO153" i="118"/>
  <c r="AO154" i="118" l="1"/>
  <c r="AI153" i="118"/>
  <c r="AJ154" i="118" l="1"/>
  <c r="E154" i="118" s="1"/>
  <c r="AM154" i="118"/>
  <c r="AN154" i="118" s="1"/>
  <c r="AI154" i="118" l="1"/>
  <c r="AO155" i="118"/>
  <c r="AJ155" i="118" l="1"/>
  <c r="E155" i="118" s="1"/>
  <c r="AM155" i="118"/>
  <c r="AN155" i="118" s="1"/>
  <c r="AO156" i="118" l="1"/>
  <c r="AI155" i="118"/>
  <c r="AJ156" i="118" l="1"/>
  <c r="E156" i="118" s="1"/>
  <c r="AI156" i="118"/>
  <c r="AM156" i="118"/>
  <c r="AN156" i="118" s="1"/>
  <c r="AO157" i="118" l="1"/>
  <c r="AM157" i="118"/>
  <c r="AN157" i="118" s="1"/>
  <c r="AJ157" i="118"/>
  <c r="E157" i="118" s="1"/>
  <c r="AO158" i="118" l="1"/>
  <c r="AI157" i="118"/>
  <c r="AM158" i="118" l="1"/>
  <c r="AN158" i="118" s="1"/>
  <c r="AJ158" i="118"/>
  <c r="E158" i="118" s="1"/>
  <c r="AI158" i="118"/>
  <c r="AO159" i="118" l="1"/>
  <c r="AJ159" i="118"/>
  <c r="AI159" i="118"/>
  <c r="AM159" i="118"/>
  <c r="AN159" i="118" s="1"/>
  <c r="AO160" i="118" l="1"/>
  <c r="AM160" i="118"/>
  <c r="AJ160" i="118"/>
  <c r="AI160" i="118"/>
  <c r="E159" i="118"/>
  <c r="AN160" i="118" l="1"/>
  <c r="AO161" i="118" s="1"/>
  <c r="AM161" i="118"/>
  <c r="AJ161" i="118"/>
  <c r="AI161" i="118" s="1"/>
  <c r="E160" i="118"/>
  <c r="AN161" i="118" l="1"/>
  <c r="AO162" i="118" s="1"/>
  <c r="AJ162" i="118"/>
  <c r="AM162" i="118"/>
  <c r="E161" i="118"/>
  <c r="E162" i="118" l="1"/>
  <c r="AN162" i="118"/>
  <c r="AO163" i="118"/>
  <c r="AI162" i="118"/>
  <c r="AM163" i="118" l="1"/>
  <c r="AN163" i="118" s="1"/>
  <c r="AJ163" i="118"/>
  <c r="E163" i="118" s="1"/>
  <c r="AI163" i="118"/>
  <c r="AJ164" i="118" l="1"/>
  <c r="AM164" i="118"/>
  <c r="AO164" i="118"/>
  <c r="AN164" i="118" s="1"/>
  <c r="AO165" i="118" l="1"/>
  <c r="E164" i="118"/>
  <c r="AI164" i="118"/>
  <c r="AJ165" i="118" l="1"/>
  <c r="E165" i="118" s="1"/>
  <c r="AM165" i="118"/>
  <c r="AN165" i="118" s="1"/>
  <c r="AI165" i="118" l="1"/>
  <c r="AJ166" i="118" s="1"/>
  <c r="E166" i="118" s="1"/>
  <c r="AM166" i="118"/>
  <c r="AN166" i="118" s="1"/>
  <c r="AO166" i="118"/>
  <c r="AI166" i="118" l="1"/>
  <c r="AM167" i="118"/>
  <c r="AJ167" i="118"/>
  <c r="AI167" i="118" s="1"/>
  <c r="AO167" i="118"/>
  <c r="AN167" i="118" l="1"/>
  <c r="AM168" i="118"/>
  <c r="AJ168" i="118"/>
  <c r="AI168" i="118" s="1"/>
  <c r="AO168" i="118"/>
  <c r="E167" i="118"/>
  <c r="AN168" i="118" l="1"/>
  <c r="AJ169" i="118"/>
  <c r="AI169" i="118" s="1"/>
  <c r="AM169" i="118"/>
  <c r="AN169" i="118" s="1"/>
  <c r="AO169" i="118"/>
  <c r="E168" i="118"/>
  <c r="AO170" i="118" l="1"/>
  <c r="AJ170" i="118"/>
  <c r="AI170" i="118" s="1"/>
  <c r="AM170" i="118"/>
  <c r="E169" i="118"/>
  <c r="AN170" i="118" l="1"/>
  <c r="AO171" i="118"/>
  <c r="E170" i="118"/>
  <c r="AJ171" i="118"/>
  <c r="AM171" i="118"/>
  <c r="AI171" i="118"/>
  <c r="AN171" i="118" l="1"/>
  <c r="AO172" i="118"/>
  <c r="AJ172" i="118"/>
  <c r="AM172" i="118"/>
  <c r="E171" i="118"/>
  <c r="AN172" i="118" l="1"/>
  <c r="AO173" i="118"/>
  <c r="E172" i="118"/>
  <c r="AI172" i="118"/>
  <c r="AM173" i="118" l="1"/>
  <c r="AN173" i="118" s="1"/>
  <c r="AJ173" i="118"/>
  <c r="E173" i="118" s="1"/>
  <c r="AI173" i="118" l="1"/>
  <c r="AJ174" i="118"/>
  <c r="AI174" i="118" s="1"/>
  <c r="AM174" i="118"/>
  <c r="AN174" i="118" s="1"/>
  <c r="AO174" i="118"/>
  <c r="AO175" i="118" l="1"/>
  <c r="AM175" i="118"/>
  <c r="AJ175" i="118"/>
  <c r="AI175" i="118"/>
  <c r="E174" i="118"/>
  <c r="AN175" i="118" l="1"/>
  <c r="AO176" i="118"/>
  <c r="AJ176" i="118"/>
  <c r="AI176" i="118" s="1"/>
  <c r="AM176" i="118"/>
  <c r="E175" i="118"/>
  <c r="AN176" i="118" l="1"/>
  <c r="AO177" i="118"/>
  <c r="E176" i="118"/>
  <c r="AJ177" i="118"/>
  <c r="AM177" i="118"/>
  <c r="AN177" i="118" s="1"/>
  <c r="E177" i="118" l="1"/>
  <c r="AI177" i="118"/>
  <c r="AJ178" i="118" s="1"/>
  <c r="AI178" i="118" s="1"/>
  <c r="AO178" i="118"/>
  <c r="AM178" i="118"/>
  <c r="AN178" i="118" l="1"/>
  <c r="AO179" i="118"/>
  <c r="E178" i="118"/>
  <c r="AM179" i="118"/>
  <c r="AJ179" i="118"/>
  <c r="AN179" i="118" l="1"/>
  <c r="E179" i="118"/>
  <c r="AO180" i="118"/>
  <c r="AI179" i="118"/>
  <c r="AJ180" i="118" l="1"/>
  <c r="E180" i="118" s="1"/>
  <c r="AM180" i="118"/>
  <c r="AN180" i="118" s="1"/>
  <c r="AO181" i="118" l="1"/>
  <c r="AI180" i="118"/>
  <c r="AM181" i="118" l="1"/>
  <c r="AN181" i="118" s="1"/>
  <c r="AJ181" i="118"/>
  <c r="E181" i="118" s="1"/>
  <c r="AI181" i="118" l="1"/>
  <c r="AO182" i="118"/>
  <c r="AJ182" i="118" l="1"/>
  <c r="E182" i="118" s="1"/>
  <c r="AM182" i="118"/>
  <c r="AN182" i="118" s="1"/>
  <c r="AO183" i="118" l="1"/>
  <c r="AI182" i="118"/>
  <c r="AJ183" i="118" l="1"/>
  <c r="E183" i="118" s="1"/>
  <c r="AM183" i="118"/>
  <c r="AN183" i="118" s="1"/>
  <c r="AO184" i="118" l="1"/>
  <c r="AI183" i="118"/>
  <c r="AM184" i="118" l="1"/>
  <c r="AN184" i="118" s="1"/>
  <c r="AJ184" i="118"/>
  <c r="E184" i="118" s="1"/>
  <c r="AO185" i="118" l="1"/>
  <c r="AI184" i="118"/>
  <c r="AJ185" i="118" l="1"/>
  <c r="E185" i="118" s="1"/>
  <c r="AM185" i="118"/>
  <c r="AN185" i="118" s="1"/>
  <c r="AI185" i="118" l="1"/>
  <c r="AO186" i="118"/>
  <c r="AJ186" i="118" l="1"/>
  <c r="E186" i="118" s="1"/>
  <c r="AM186" i="118"/>
  <c r="AN186" i="118" s="1"/>
  <c r="AO187" i="118" l="1"/>
  <c r="AI186" i="118"/>
  <c r="AJ187" i="118" l="1"/>
  <c r="E187" i="118" s="1"/>
  <c r="AM187" i="118"/>
  <c r="AN187" i="118" s="1"/>
  <c r="AI187" i="118" l="1"/>
  <c r="AO188" i="118"/>
  <c r="AM188" i="118"/>
  <c r="AN188" i="118" s="1"/>
  <c r="AJ188" i="118"/>
  <c r="E188" i="118" s="1"/>
  <c r="AO189" i="118" l="1"/>
  <c r="AI188" i="118"/>
  <c r="AJ189" i="118" l="1"/>
  <c r="E189" i="118" s="1"/>
  <c r="AM189" i="118"/>
  <c r="AN189" i="118" s="1"/>
  <c r="AO190" i="118" l="1"/>
  <c r="AI189" i="118"/>
  <c r="AM190" i="118" l="1"/>
  <c r="AN190" i="118" s="1"/>
  <c r="AJ190" i="118"/>
  <c r="E190" i="118" s="1"/>
  <c r="AI190" i="118" l="1"/>
  <c r="AO191" i="118"/>
  <c r="AM191" i="118" l="1"/>
  <c r="AN191" i="118" s="1"/>
  <c r="AJ191" i="118"/>
  <c r="E191" i="118" s="1"/>
  <c r="AI191" i="118" l="1"/>
  <c r="AJ192" i="118"/>
  <c r="AI192" i="118" s="1"/>
  <c r="AM192" i="118"/>
  <c r="AO192" i="118"/>
  <c r="AN192" i="118" s="1"/>
  <c r="AO193" i="118" l="1"/>
  <c r="E192" i="118"/>
  <c r="AJ193" i="118"/>
  <c r="E193" i="118" s="1"/>
  <c r="AM193" i="118"/>
  <c r="AN193" i="118" s="1"/>
  <c r="AI193" i="118" l="1"/>
  <c r="AO194" i="118"/>
  <c r="AM194" i="118" l="1"/>
  <c r="AN194" i="118" s="1"/>
  <c r="AJ194" i="118"/>
  <c r="E194" i="118" s="1"/>
  <c r="AI194" i="118" l="1"/>
  <c r="AO195" i="118"/>
  <c r="AJ195" i="118" l="1"/>
  <c r="E195" i="118" s="1"/>
  <c r="AM195" i="118"/>
  <c r="AN195" i="118" s="1"/>
  <c r="AI195" i="118" l="1"/>
  <c r="AO196" i="118"/>
  <c r="AJ196" i="118" l="1"/>
  <c r="E196" i="118" s="1"/>
  <c r="AM196" i="118"/>
  <c r="AN196" i="118" s="1"/>
  <c r="AO197" i="118" l="1"/>
  <c r="AI196" i="118"/>
  <c r="AJ197" i="118" l="1"/>
  <c r="E197" i="118" s="1"/>
  <c r="AM197" i="118"/>
  <c r="AN197" i="118" s="1"/>
  <c r="AO198" i="118" l="1"/>
  <c r="AI197" i="118"/>
  <c r="AJ198" i="118" l="1"/>
  <c r="E198" i="118" s="1"/>
  <c r="AM198" i="118"/>
  <c r="AN198" i="118" s="1"/>
  <c r="AI198" i="118" l="1"/>
  <c r="AO199" i="118"/>
  <c r="AM199" i="118" l="1"/>
  <c r="AN199" i="118" s="1"/>
  <c r="AJ199" i="118"/>
  <c r="E199" i="118" s="1"/>
  <c r="AO200" i="118" l="1"/>
  <c r="AI199" i="118"/>
  <c r="AM200" i="118" l="1"/>
  <c r="AN200" i="118" s="1"/>
  <c r="AJ200" i="118"/>
  <c r="E200" i="118" s="1"/>
  <c r="AI200" i="118"/>
  <c r="AM201" i="118" l="1"/>
  <c r="AJ201" i="118"/>
  <c r="AI201" i="118" s="1"/>
  <c r="AO201" i="118"/>
  <c r="AN201" i="118" s="1"/>
  <c r="AO202" i="118" l="1"/>
  <c r="AJ202" i="118"/>
  <c r="E202" i="118" s="1"/>
  <c r="AM202" i="118"/>
  <c r="E201" i="118"/>
  <c r="AI202" i="118" l="1"/>
  <c r="AN202" i="118"/>
  <c r="AO203" i="118" s="1"/>
  <c r="AJ203" i="118"/>
  <c r="AM203" i="118"/>
  <c r="E203" i="118" l="1"/>
  <c r="AN203" i="118"/>
  <c r="AO204" i="118" s="1"/>
  <c r="AI203" i="118"/>
  <c r="AJ204" i="118" l="1"/>
  <c r="E204" i="118" s="1"/>
  <c r="AM204" i="118"/>
  <c r="AN204" i="118" s="1"/>
  <c r="AO205" i="118" l="1"/>
  <c r="AI204" i="118"/>
  <c r="AJ205" i="118" l="1"/>
  <c r="E205" i="118" s="1"/>
  <c r="AM205" i="118"/>
  <c r="AN205" i="118" s="1"/>
  <c r="AO206" i="118" l="1"/>
  <c r="AI205" i="118"/>
  <c r="AJ206" i="118" l="1"/>
  <c r="E206" i="118" s="1"/>
  <c r="AM206" i="118"/>
  <c r="AN206" i="118" s="1"/>
  <c r="AO207" i="118" l="1"/>
  <c r="AI206" i="118"/>
  <c r="AJ207" i="118" l="1"/>
  <c r="E207" i="118" s="1"/>
  <c r="AM207" i="118"/>
  <c r="AN207" i="118" s="1"/>
  <c r="AI207" i="118" l="1"/>
  <c r="AO208" i="118"/>
  <c r="AJ208" i="118" l="1"/>
  <c r="E208" i="118" s="1"/>
  <c r="AM208" i="118"/>
  <c r="AN208" i="118" s="1"/>
  <c r="AO209" i="118" l="1"/>
  <c r="AI208" i="118"/>
  <c r="AJ209" i="118" l="1"/>
  <c r="E209" i="118" s="1"/>
  <c r="AM209" i="118"/>
  <c r="AN209" i="118" s="1"/>
  <c r="AI209" i="118" l="1"/>
  <c r="AO210" i="118"/>
  <c r="AJ210" i="118" l="1"/>
  <c r="E210" i="118" s="1"/>
  <c r="AM210" i="118"/>
  <c r="AN210" i="118" s="1"/>
  <c r="AI210" i="118" l="1"/>
  <c r="AO211" i="118"/>
  <c r="AM211" i="118" l="1"/>
  <c r="AN211" i="118" s="1"/>
  <c r="AJ211" i="118"/>
  <c r="E211" i="118" s="1"/>
  <c r="AI211" i="118" l="1"/>
  <c r="AM212" i="118" s="1"/>
  <c r="AN212" i="118" s="1"/>
  <c r="AO212" i="118"/>
  <c r="AJ212" i="118" l="1"/>
  <c r="AI212" i="118" s="1"/>
  <c r="AO213" i="118"/>
  <c r="AJ213" i="118" l="1"/>
  <c r="E213" i="118" s="1"/>
  <c r="AM213" i="118"/>
  <c r="AN213" i="118"/>
  <c r="E212" i="118"/>
  <c r="AO214" i="118"/>
  <c r="AI213" i="118" l="1"/>
  <c r="AM214" i="118" s="1"/>
  <c r="AN214" i="118" s="1"/>
  <c r="AJ214" i="118" l="1"/>
  <c r="E214" i="118" s="1"/>
  <c r="AI214" i="118"/>
  <c r="AO215" i="118"/>
  <c r="AI215" i="118" l="1"/>
  <c r="AJ215" i="118"/>
  <c r="E215" i="118" s="1"/>
  <c r="AM215" i="118"/>
  <c r="AN215" i="118" s="1"/>
  <c r="AO216" i="118" l="1"/>
  <c r="AJ216" i="118"/>
  <c r="AI216" i="118"/>
  <c r="AM216" i="118"/>
  <c r="AN216" i="118" l="1"/>
  <c r="E216" i="118"/>
  <c r="AO217" i="118"/>
  <c r="AJ217" i="118"/>
  <c r="AI217" i="118" s="1"/>
  <c r="AM217" i="118"/>
  <c r="AN217" i="118" s="1"/>
  <c r="AO218" i="118" l="1"/>
  <c r="AM218" i="118"/>
  <c r="AJ218" i="118"/>
  <c r="AI218" i="118" s="1"/>
  <c r="E217" i="118"/>
  <c r="AN218" i="118" l="1"/>
  <c r="AJ219" i="118"/>
  <c r="AM219" i="118"/>
  <c r="AO219" i="118"/>
  <c r="AN219" i="118" s="1"/>
  <c r="E218" i="118"/>
  <c r="E219" i="118" l="1"/>
  <c r="AO220" i="118"/>
  <c r="AI219" i="118"/>
  <c r="AJ220" i="118" l="1"/>
  <c r="E220" i="118" s="1"/>
  <c r="AM220" i="118"/>
  <c r="AN220" i="118" s="1"/>
  <c r="AI220" i="118" l="1"/>
  <c r="AJ221" i="118" s="1"/>
  <c r="AO221" i="118"/>
  <c r="E221" i="118" l="1"/>
  <c r="AI221" i="118"/>
  <c r="AM221" i="118"/>
  <c r="AN221" i="118" s="1"/>
  <c r="AO222" i="118"/>
  <c r="AM222" i="118"/>
  <c r="AJ222" i="118"/>
  <c r="AI222" i="118" s="1"/>
  <c r="AN222" i="118" l="1"/>
  <c r="AO223" i="118"/>
  <c r="AJ223" i="118"/>
  <c r="AI223" i="118" s="1"/>
  <c r="AM223" i="118"/>
  <c r="AN223" i="118" s="1"/>
  <c r="E222" i="118"/>
  <c r="AO224" i="118" l="1"/>
  <c r="E223" i="118"/>
  <c r="AJ224" i="118"/>
  <c r="AM224" i="118"/>
  <c r="AN224" i="118" l="1"/>
  <c r="E224" i="118"/>
  <c r="AO225" i="118"/>
  <c r="AI224" i="118"/>
  <c r="AJ225" i="118" l="1"/>
  <c r="E225" i="118" s="1"/>
  <c r="AI225" i="118"/>
  <c r="AM225" i="118"/>
  <c r="AN225" i="118" s="1"/>
  <c r="AO226" i="118" l="1"/>
  <c r="AJ226" i="118"/>
  <c r="AM226" i="118"/>
  <c r="AN226" i="118" s="1"/>
  <c r="AI226" i="118"/>
  <c r="AO227" i="118" l="1"/>
  <c r="AM227" i="118"/>
  <c r="AJ227" i="118"/>
  <c r="E226" i="118"/>
  <c r="E227" i="118" l="1"/>
  <c r="AN227" i="118"/>
  <c r="AO228" i="118"/>
  <c r="AI227" i="118"/>
  <c r="AJ228" i="118" l="1"/>
  <c r="E228" i="118" s="1"/>
  <c r="AM228" i="118"/>
  <c r="AN228" i="118" s="1"/>
  <c r="AO229" i="118" l="1"/>
  <c r="AI228" i="118"/>
  <c r="AJ229" i="118" l="1"/>
  <c r="E229" i="118" s="1"/>
  <c r="AM229" i="118"/>
  <c r="AN229" i="118" s="1"/>
  <c r="AO230" i="118" l="1"/>
  <c r="AI229" i="118"/>
  <c r="AJ230" i="118" l="1"/>
  <c r="E230" i="118" s="1"/>
  <c r="AM230" i="118"/>
  <c r="AN230" i="118" s="1"/>
  <c r="AI230" i="118" l="1"/>
  <c r="AJ231" i="118" s="1"/>
  <c r="AI231" i="118" s="1"/>
  <c r="AO231" i="118"/>
  <c r="AM231" i="118"/>
  <c r="AN231" i="118" s="1"/>
  <c r="AO232" i="118" l="1"/>
  <c r="E231" i="118"/>
  <c r="AJ232" i="118"/>
  <c r="E232" i="118" s="1"/>
  <c r="AM232" i="118"/>
  <c r="AN232" i="118" s="1"/>
  <c r="AO233" i="118" l="1"/>
  <c r="AI232" i="118"/>
  <c r="AM233" i="118" l="1"/>
  <c r="AN233" i="118" s="1"/>
  <c r="AJ233" i="118"/>
  <c r="E233" i="118" s="1"/>
  <c r="AO234" i="118" l="1"/>
  <c r="AI233" i="118"/>
  <c r="AM234" i="118" l="1"/>
  <c r="AN234" i="118" s="1"/>
  <c r="AJ234" i="118"/>
  <c r="E234" i="118" s="1"/>
  <c r="AI234" i="118" l="1"/>
  <c r="AO235" i="118"/>
  <c r="AM235" i="118" l="1"/>
  <c r="AN235" i="118" s="1"/>
  <c r="AJ235" i="118"/>
  <c r="E235" i="118" s="1"/>
  <c r="AI235" i="118" l="1"/>
  <c r="AO236" i="118"/>
  <c r="AJ236" i="118" l="1"/>
  <c r="E236" i="118" s="1"/>
  <c r="AM236" i="118"/>
  <c r="AN236" i="118" s="1"/>
  <c r="AI236" i="118" l="1"/>
  <c r="AO237" i="118"/>
  <c r="AJ237" i="118" l="1"/>
  <c r="E237" i="118" s="1"/>
  <c r="AM237" i="118"/>
  <c r="AN237" i="118" s="1"/>
  <c r="AI237" i="118" l="1"/>
  <c r="AO238" i="118"/>
  <c r="AM238" i="118" l="1"/>
  <c r="AN238" i="118" s="1"/>
  <c r="AJ238" i="118"/>
  <c r="E238" i="118" s="1"/>
  <c r="AO239" i="118" l="1"/>
  <c r="AI238" i="118"/>
  <c r="AJ239" i="118" l="1"/>
  <c r="E239" i="118" s="1"/>
  <c r="AM239" i="118"/>
  <c r="AN239" i="118" s="1"/>
  <c r="AI239" i="118" l="1"/>
  <c r="AJ240" i="118" s="1"/>
  <c r="AI240" i="118" s="1"/>
  <c r="AO240" i="118"/>
  <c r="AM240" i="118" l="1"/>
  <c r="AN240" i="118"/>
  <c r="AO241" i="118" s="1"/>
  <c r="AN241" i="118" s="1"/>
  <c r="AM241" i="118"/>
  <c r="AJ241" i="118"/>
  <c r="AI241" i="118" s="1"/>
  <c r="E240" i="118"/>
  <c r="AJ242" i="118" l="1"/>
  <c r="AM242" i="118"/>
  <c r="AO242" i="118"/>
  <c r="AN242" i="118"/>
  <c r="E241" i="118"/>
  <c r="E242" i="118" l="1"/>
  <c r="AO243" i="118"/>
  <c r="AI242" i="118"/>
  <c r="AJ243" i="118" l="1"/>
  <c r="E243" i="118" s="1"/>
  <c r="AM243" i="118"/>
  <c r="AN243" i="118" s="1"/>
  <c r="AO244" i="118" l="1"/>
  <c r="AI243" i="118"/>
  <c r="AM244" i="118" l="1"/>
  <c r="AN244" i="118" s="1"/>
  <c r="AJ244" i="118"/>
  <c r="E244" i="118" s="1"/>
  <c r="AO245" i="118" l="1"/>
  <c r="AI244" i="118"/>
  <c r="AJ245" i="118" l="1"/>
  <c r="E245" i="118" s="1"/>
  <c r="AM245" i="118"/>
  <c r="AN245" i="118" s="1"/>
  <c r="AI245" i="118" l="1"/>
  <c r="AO246" i="118"/>
  <c r="AM246" i="118" l="1"/>
  <c r="AN246" i="118" s="1"/>
  <c r="AJ246" i="118"/>
  <c r="E246" i="118" s="1"/>
  <c r="AI246" i="118" l="1"/>
  <c r="AM247" i="118" s="1"/>
  <c r="AN247" i="118" s="1"/>
  <c r="AO247" i="118"/>
  <c r="AJ247" i="118" l="1"/>
  <c r="E247" i="118" s="1"/>
  <c r="AO248" i="118"/>
  <c r="AI247" i="118" l="1"/>
  <c r="AM248" i="118" s="1"/>
  <c r="AN248" i="118" s="1"/>
  <c r="AJ248" i="118" l="1"/>
  <c r="E248" i="118" s="1"/>
  <c r="AO249" i="118"/>
  <c r="AI248" i="118" l="1"/>
  <c r="AJ249" i="118" s="1"/>
  <c r="E249" i="118" s="1"/>
  <c r="AM249" i="118" l="1"/>
  <c r="AN249" i="118" s="1"/>
  <c r="AO250" i="118" s="1"/>
  <c r="AI249" i="118"/>
  <c r="AM250" i="118" l="1"/>
  <c r="AN250" i="118" s="1"/>
  <c r="AJ250" i="118"/>
  <c r="E250" i="118" s="1"/>
  <c r="AO251" i="118" l="1"/>
  <c r="AI250" i="118"/>
  <c r="AM251" i="118" l="1"/>
  <c r="AN251" i="118" s="1"/>
  <c r="AJ251" i="118"/>
  <c r="E251" i="118" s="1"/>
  <c r="AO252" i="118" l="1"/>
  <c r="AI251" i="118"/>
  <c r="AM252" i="118" l="1"/>
  <c r="AN252" i="118" s="1"/>
  <c r="AJ252" i="118"/>
  <c r="E252" i="118" s="1"/>
  <c r="AO253" i="118" l="1"/>
  <c r="AI252" i="118"/>
  <c r="AM253" i="118" l="1"/>
  <c r="AN253" i="118" s="1"/>
  <c r="AJ253" i="118"/>
  <c r="E253" i="118" s="1"/>
  <c r="AI253" i="118" l="1"/>
  <c r="AM254" i="118" s="1"/>
  <c r="AN254" i="118" s="1"/>
  <c r="AO254" i="118"/>
  <c r="AJ254" i="118" l="1"/>
  <c r="AI254" i="118" s="1"/>
  <c r="AJ255" i="118" s="1"/>
  <c r="E255" i="118" s="1"/>
  <c r="AM255" i="118"/>
  <c r="AN255" i="118" s="1"/>
  <c r="AO255" i="118"/>
  <c r="E254" i="118" l="1"/>
  <c r="AI255" i="118"/>
  <c r="AO256" i="118"/>
  <c r="AM256" i="118" l="1"/>
  <c r="AN256" i="118" s="1"/>
  <c r="AJ256" i="118"/>
  <c r="E256" i="118" s="1"/>
  <c r="AI256" i="118" l="1"/>
  <c r="AO257" i="118"/>
  <c r="AJ257" i="118" l="1"/>
  <c r="E257" i="118" s="1"/>
  <c r="AM257" i="118"/>
  <c r="AN257" i="118" s="1"/>
  <c r="AO258" i="118" l="1"/>
  <c r="AI257" i="118"/>
  <c r="AJ258" i="118" l="1"/>
  <c r="E258" i="118" s="1"/>
  <c r="AM258" i="118"/>
  <c r="AN258" i="118" s="1"/>
  <c r="AO259" i="118" l="1"/>
  <c r="AI258" i="118"/>
  <c r="AJ259" i="118" l="1"/>
  <c r="E259" i="118" s="1"/>
  <c r="AM259" i="118"/>
  <c r="AN259" i="118" s="1"/>
  <c r="AI259" i="118" l="1"/>
  <c r="AO260" i="118"/>
  <c r="AM260" i="118" l="1"/>
  <c r="AN260" i="118" s="1"/>
  <c r="AJ260" i="118"/>
  <c r="E260" i="118" s="1"/>
  <c r="AI260" i="118"/>
  <c r="AO261" i="118" l="1"/>
  <c r="AM261" i="118"/>
  <c r="AJ261" i="118"/>
  <c r="AI261" i="118" s="1"/>
  <c r="AN261" i="118" l="1"/>
  <c r="AO262" i="118" s="1"/>
  <c r="AJ262" i="118"/>
  <c r="AM262" i="118"/>
  <c r="E261" i="118"/>
  <c r="AN262" i="118" l="1"/>
  <c r="AO263" i="118" s="1"/>
  <c r="E262" i="118"/>
  <c r="AI262" i="118"/>
  <c r="AJ263" i="118" l="1"/>
  <c r="E263" i="118" s="1"/>
  <c r="AM263" i="118"/>
  <c r="AN263" i="118" s="1"/>
  <c r="AI263" i="118" l="1"/>
  <c r="AO264" i="118"/>
  <c r="AJ264" i="118" l="1"/>
  <c r="E264" i="118" s="1"/>
  <c r="AM264" i="118"/>
  <c r="AN264" i="118" s="1"/>
  <c r="AI264" i="118"/>
  <c r="AO265" i="118" l="1"/>
  <c r="AJ265" i="118"/>
  <c r="AM265" i="118"/>
  <c r="AN265" i="118" s="1"/>
  <c r="AO266" i="118" l="1"/>
  <c r="E265" i="118"/>
  <c r="AI265" i="118"/>
  <c r="AJ266" i="118" l="1"/>
  <c r="E266" i="118" s="1"/>
  <c r="AM266" i="118"/>
  <c r="AN266" i="118" s="1"/>
  <c r="AI266" i="118" l="1"/>
  <c r="AO267" i="118"/>
  <c r="AM267" i="118" l="1"/>
  <c r="AN267" i="118" s="1"/>
  <c r="AJ267" i="118"/>
  <c r="E267" i="118" s="1"/>
  <c r="AO268" i="118" l="1"/>
  <c r="AI267" i="118"/>
  <c r="AM268" i="118" l="1"/>
  <c r="AN268" i="118" s="1"/>
  <c r="AJ268" i="118"/>
  <c r="E268" i="118" s="1"/>
  <c r="AI268" i="118" l="1"/>
  <c r="AO269" i="118"/>
  <c r="AJ269" i="118" l="1"/>
  <c r="E269" i="118" s="1"/>
  <c r="AM269" i="118"/>
  <c r="AN269" i="118" s="1"/>
  <c r="AO270" i="118" l="1"/>
  <c r="AI269" i="118"/>
  <c r="AM270" i="118" l="1"/>
  <c r="AN270" i="118" s="1"/>
  <c r="AJ270" i="118"/>
  <c r="E270" i="118" s="1"/>
  <c r="AI270" i="118" l="1"/>
  <c r="AO271" i="118"/>
  <c r="AM271" i="118" l="1"/>
  <c r="AN271" i="118" s="1"/>
  <c r="AJ271" i="118"/>
  <c r="E271" i="118" s="1"/>
  <c r="AO272" i="118" l="1"/>
  <c r="AI271" i="118"/>
  <c r="AJ272" i="118" l="1"/>
  <c r="E272" i="118" s="1"/>
  <c r="AM272" i="118"/>
  <c r="AN272" i="118" s="1"/>
  <c r="AI272" i="118"/>
  <c r="AJ273" i="118" l="1"/>
  <c r="AI273" i="118"/>
  <c r="AM273" i="118"/>
  <c r="AO273" i="118"/>
  <c r="AN273" i="118" l="1"/>
  <c r="AO274" i="118" s="1"/>
  <c r="AJ274" i="118"/>
  <c r="AI274" i="118" s="1"/>
  <c r="AM274" i="118"/>
  <c r="E273" i="118"/>
  <c r="AN274" i="118" l="1"/>
  <c r="AO275" i="118"/>
  <c r="AJ275" i="118"/>
  <c r="AI275" i="118" s="1"/>
  <c r="AM275" i="118"/>
  <c r="AN275" i="118" s="1"/>
  <c r="E274" i="118"/>
  <c r="AO276" i="118" l="1"/>
  <c r="AJ276" i="118"/>
  <c r="AI276" i="118" s="1"/>
  <c r="AM276" i="118"/>
  <c r="AN276" i="118" s="1"/>
  <c r="E275" i="118"/>
  <c r="AO277" i="118" l="1"/>
  <c r="AJ277" i="118"/>
  <c r="AI277" i="118"/>
  <c r="AM277" i="118"/>
  <c r="E276" i="118"/>
  <c r="AN277" i="118" l="1"/>
  <c r="AO278" i="118"/>
  <c r="AJ278" i="118"/>
  <c r="AM278" i="118"/>
  <c r="E277" i="118"/>
  <c r="AN278" i="118" l="1"/>
  <c r="E278" i="118"/>
  <c r="AO279" i="118"/>
  <c r="AI278" i="118"/>
  <c r="AM279" i="118" l="1"/>
  <c r="AN279" i="118" s="1"/>
  <c r="AJ279" i="118"/>
  <c r="E279" i="118" s="1"/>
  <c r="AI279" i="118" l="1"/>
  <c r="AO280" i="118"/>
  <c r="AJ280" i="118" l="1"/>
  <c r="E280" i="118" s="1"/>
  <c r="AM280" i="118"/>
  <c r="AN280" i="118" s="1"/>
  <c r="AO281" i="118" l="1"/>
  <c r="AI280" i="118"/>
  <c r="AM281" i="118" l="1"/>
  <c r="AN281" i="118" s="1"/>
  <c r="AJ281" i="118"/>
  <c r="E281" i="118" s="1"/>
  <c r="AO282" i="118" l="1"/>
  <c r="AI281" i="118"/>
  <c r="AM282" i="118" l="1"/>
  <c r="AN282" i="118" s="1"/>
  <c r="AJ282" i="118"/>
  <c r="E282" i="118" s="1"/>
  <c r="AO283" i="118" l="1"/>
  <c r="AI282" i="118"/>
  <c r="AJ283" i="118" l="1"/>
  <c r="E283" i="118" s="1"/>
  <c r="AM283" i="118"/>
  <c r="AN283" i="118" s="1"/>
  <c r="AI283" i="118" l="1"/>
  <c r="AO284" i="118"/>
  <c r="AJ284" i="118" l="1"/>
  <c r="E284" i="118" s="1"/>
  <c r="AM284" i="118"/>
  <c r="AN284" i="118" s="1"/>
  <c r="AO285" i="118" l="1"/>
  <c r="AI284" i="118"/>
  <c r="AM285" i="118" l="1"/>
  <c r="AN285" i="118" s="1"/>
  <c r="AJ285" i="118"/>
  <c r="E285" i="118" s="1"/>
  <c r="AI285" i="118" l="1"/>
  <c r="AO286" i="118"/>
  <c r="AM286" i="118" l="1"/>
  <c r="AN286" i="118" s="1"/>
  <c r="AJ286" i="118"/>
  <c r="E286" i="118" s="1"/>
  <c r="AI286" i="118" l="1"/>
  <c r="AO287" i="118"/>
  <c r="AM287" i="118" l="1"/>
  <c r="AN287" i="118" s="1"/>
  <c r="AJ287" i="118"/>
  <c r="E287" i="118" s="1"/>
  <c r="AO288" i="118" l="1"/>
  <c r="AI287" i="118"/>
  <c r="AM288" i="118" l="1"/>
  <c r="AN288" i="118" s="1"/>
  <c r="AJ288" i="118"/>
  <c r="E288" i="118" s="1"/>
  <c r="AO289" i="118" l="1"/>
  <c r="AI288" i="118"/>
  <c r="AJ289" i="118" l="1"/>
  <c r="E289" i="118" s="1"/>
  <c r="AM289" i="118"/>
  <c r="AN289" i="118" s="1"/>
  <c r="AI289" i="118" l="1"/>
  <c r="AM290" i="118"/>
  <c r="AJ290" i="118"/>
  <c r="AO290" i="118"/>
  <c r="AN290" i="118" l="1"/>
  <c r="AO291" i="118"/>
  <c r="E290" i="118"/>
  <c r="AI290" i="118"/>
  <c r="AM291" i="118" l="1"/>
  <c r="AN291" i="118" s="1"/>
  <c r="AJ291" i="118"/>
  <c r="E291" i="118" s="1"/>
  <c r="AI291" i="118" l="1"/>
  <c r="AJ292" i="118" s="1"/>
  <c r="AO292" i="118"/>
  <c r="AM292" i="118"/>
  <c r="AI292" i="118" l="1"/>
  <c r="AN292" i="118"/>
  <c r="AN293" i="118" s="1"/>
  <c r="AO293" i="118"/>
  <c r="E292" i="118"/>
  <c r="AJ293" i="118"/>
  <c r="AM293" i="118"/>
  <c r="E293" i="118" l="1"/>
  <c r="AI293" i="118"/>
  <c r="AO294" i="118"/>
  <c r="AJ294" i="118" l="1"/>
  <c r="E294" i="118" s="1"/>
  <c r="AM294" i="118"/>
  <c r="AN294" i="118" s="1"/>
  <c r="AI294" i="118" l="1"/>
  <c r="AJ295" i="118"/>
  <c r="AI295" i="118"/>
  <c r="AM295" i="118"/>
  <c r="AO295" i="118"/>
  <c r="AN295" i="118"/>
  <c r="AM296" i="118" l="1"/>
  <c r="AN296" i="118" s="1"/>
  <c r="AJ296" i="118"/>
  <c r="AO296" i="118"/>
  <c r="E295" i="118"/>
  <c r="E296" i="118" l="1"/>
  <c r="AO297" i="118"/>
  <c r="AI296" i="118"/>
  <c r="AM297" i="118" l="1"/>
  <c r="AN297" i="118" s="1"/>
  <c r="AJ297" i="118"/>
  <c r="E297" i="118" s="1"/>
  <c r="AI297" i="118" l="1"/>
  <c r="AM298" i="118" s="1"/>
  <c r="AN298" i="118" s="1"/>
  <c r="AO298" i="118"/>
  <c r="AJ298" i="118"/>
  <c r="AI298" i="118" l="1"/>
  <c r="AO299" i="118"/>
  <c r="AI299" i="118"/>
  <c r="AJ299" i="118"/>
  <c r="E299" i="118" s="1"/>
  <c r="AM299" i="118"/>
  <c r="E298" i="118"/>
  <c r="AN299" i="118" l="1"/>
  <c r="AN300" i="118" s="1"/>
  <c r="AO300" i="118"/>
  <c r="AM300" i="118"/>
  <c r="AJ300" i="118"/>
  <c r="E300" i="118" l="1"/>
  <c r="AO301" i="118"/>
  <c r="AI300" i="118"/>
  <c r="AM301" i="118" l="1"/>
  <c r="AN301" i="118" s="1"/>
  <c r="AJ301" i="118"/>
  <c r="E301" i="118" s="1"/>
  <c r="AI301" i="118" l="1"/>
  <c r="AO302" i="118"/>
  <c r="AJ302" i="118" l="1"/>
  <c r="E302" i="118" s="1"/>
  <c r="AM302" i="118"/>
  <c r="AN302" i="118" s="1"/>
  <c r="AO303" i="118" l="1"/>
  <c r="AI302" i="118"/>
  <c r="AM303" i="118" l="1"/>
  <c r="AN303" i="118" s="1"/>
  <c r="AJ303" i="118"/>
  <c r="E303" i="118" s="1"/>
  <c r="AI303" i="118" l="1"/>
  <c r="AO304" i="118"/>
  <c r="AJ304" i="118" l="1"/>
  <c r="E304" i="118" s="1"/>
  <c r="AM304" i="118"/>
  <c r="AN304" i="118" s="1"/>
  <c r="AO305" i="118" l="1"/>
  <c r="AI304" i="118"/>
  <c r="AJ305" i="118" l="1"/>
  <c r="E305" i="118" s="1"/>
  <c r="AM305" i="118"/>
  <c r="AN305" i="118" s="1"/>
  <c r="AO306" i="118" l="1"/>
  <c r="AI305" i="118"/>
  <c r="AJ306" i="118" l="1"/>
  <c r="E306" i="118" s="1"/>
  <c r="AM306" i="118"/>
  <c r="AN306" i="118" s="1"/>
  <c r="AI306" i="118" l="1"/>
  <c r="AO307" i="118"/>
  <c r="AJ307" i="118" l="1"/>
  <c r="E307" i="118" s="1"/>
  <c r="AM307" i="118"/>
  <c r="AN307" i="118" s="1"/>
  <c r="AO308" i="118" l="1"/>
  <c r="AI307" i="118"/>
  <c r="AM308" i="118" l="1"/>
  <c r="AN308" i="118" s="1"/>
  <c r="AJ308" i="118"/>
  <c r="E308" i="118" s="1"/>
  <c r="AI308" i="118" l="1"/>
  <c r="AO309" i="118"/>
  <c r="AM309" i="118" l="1"/>
  <c r="AN309" i="118" s="1"/>
  <c r="AJ309" i="118"/>
  <c r="E309" i="118" s="1"/>
  <c r="AO310" i="118" l="1"/>
  <c r="AI309" i="118"/>
  <c r="AJ310" i="118" l="1"/>
  <c r="E310" i="118" s="1"/>
  <c r="AM310" i="118"/>
  <c r="AN310" i="118" s="1"/>
  <c r="AI310" i="118" l="1"/>
  <c r="AO311" i="118"/>
  <c r="AJ311" i="118" l="1"/>
  <c r="E311" i="118" s="1"/>
  <c r="AM311" i="118"/>
  <c r="AN311" i="118" s="1"/>
  <c r="AI311" i="118" l="1"/>
  <c r="AO312" i="118"/>
  <c r="AJ312" i="118" l="1"/>
  <c r="E312" i="118" s="1"/>
  <c r="AM312" i="118"/>
  <c r="AN312" i="118" s="1"/>
  <c r="AI312" i="118" l="1"/>
  <c r="AO313" i="118"/>
  <c r="AN313" i="118"/>
  <c r="AJ313" i="118"/>
  <c r="AM313" i="118"/>
  <c r="AI313" i="118"/>
  <c r="AJ314" i="118" l="1"/>
  <c r="AM314" i="118"/>
  <c r="AO314" i="118"/>
  <c r="E313" i="118"/>
  <c r="AN314" i="118" l="1"/>
  <c r="AO315" i="118" s="1"/>
  <c r="E314" i="118"/>
  <c r="AI314" i="118"/>
  <c r="AJ315" i="118" l="1"/>
  <c r="E315" i="118" s="1"/>
  <c r="AM315" i="118"/>
  <c r="AN315" i="118" s="1"/>
  <c r="AO316" i="118" l="1"/>
  <c r="AI315" i="118"/>
  <c r="AM316" i="118" l="1"/>
  <c r="AN316" i="118" s="1"/>
  <c r="AJ316" i="118"/>
  <c r="E316" i="118" s="1"/>
  <c r="AI316" i="118" l="1"/>
  <c r="AO317" i="118"/>
  <c r="AM317" i="118" l="1"/>
  <c r="AN317" i="118" s="1"/>
  <c r="AJ317" i="118"/>
  <c r="E317" i="118" s="1"/>
  <c r="AI317" i="118" l="1"/>
  <c r="AM318" i="118" s="1"/>
  <c r="AN318" i="118" s="1"/>
  <c r="AO318" i="118"/>
  <c r="AJ318" i="118" l="1"/>
  <c r="AI318" i="118" s="1"/>
  <c r="AO319" i="118"/>
  <c r="AJ319" i="118" l="1"/>
  <c r="E319" i="118" s="1"/>
  <c r="AM319" i="118"/>
  <c r="AN319" i="118" s="1"/>
  <c r="AO320" i="118" s="1"/>
  <c r="E318" i="118"/>
  <c r="AI319" i="118"/>
  <c r="AJ320" i="118" l="1"/>
  <c r="E320" i="118" s="1"/>
  <c r="AM320" i="118"/>
  <c r="AN320" i="118" s="1"/>
  <c r="AO321" i="118" l="1"/>
  <c r="AI320" i="118"/>
  <c r="AM321" i="118" l="1"/>
  <c r="AN321" i="118" s="1"/>
  <c r="AJ321" i="118"/>
  <c r="E321" i="118" s="1"/>
  <c r="AO322" i="118" l="1"/>
  <c r="AI321" i="118"/>
  <c r="AJ322" i="118" l="1"/>
  <c r="E322" i="118" s="1"/>
  <c r="AM322" i="118"/>
  <c r="AN322" i="118" s="1"/>
  <c r="AI322" i="118" l="1"/>
  <c r="AM323" i="118" s="1"/>
  <c r="AN323" i="118" s="1"/>
  <c r="AO323" i="118"/>
  <c r="AJ323" i="118"/>
  <c r="AO324" i="118" l="1"/>
  <c r="E323" i="118"/>
  <c r="AI323" i="118"/>
  <c r="AJ324" i="118" l="1"/>
  <c r="E324" i="118" s="1"/>
  <c r="AM324" i="118"/>
  <c r="AN324" i="118" s="1"/>
  <c r="AO325" i="118" l="1"/>
  <c r="AI324" i="118"/>
  <c r="AJ325" i="118" l="1"/>
  <c r="E325" i="118" s="1"/>
  <c r="AM325" i="118"/>
  <c r="AN325" i="118" s="1"/>
  <c r="AI325" i="118" l="1"/>
</calcChain>
</file>

<file path=xl/connections.xml><?xml version="1.0" encoding="utf-8"?>
<connections xmlns="http://schemas.openxmlformats.org/spreadsheetml/2006/main">
  <connection id="1" name="20150708itaipu_d" type="6" refreshedVersion="0" background="1">
    <textPr prompt="0" sourceFile="C:\Users\Clarissa\Dropbox\P&amp;Ds meus\Statkraft\2015-07-07\2015-07-07\CHUVA_DE_GRADE\20150708itaipu_d.bacia" decimal="," thousands=".">
      <textFields>
        <textField/>
      </textFields>
    </textPr>
  </connection>
  <connection id="2" name="chuva_eta_grande" type="6" refreshedVersion="4" background="1" saveData="1">
    <textPr prompt="0" codePage="850" sourceFile="C:\Users\Clarissa\Dropbox\Statkraft\Furnas\chuva_eta_grande.bacia" decimal="," thousands="." space="1" consecutive="1">
      <textFields count="2">
        <textField/>
        <textField/>
      </textFields>
    </textPr>
  </connection>
  <connection id="3" name="chuva_eta_grande1" type="6" refreshedVersion="4" background="1" saveData="1">
    <textPr prompt="0" codePage="850" sourceFile="C:\Users\Clarissa\Dropbox\Statkraft\Furnas\chuva_eta_grande.bacia" decimal="," thousands="." space="1" consecutive="1">
      <textFields count="2">
        <textField/>
        <textField/>
      </textFields>
    </textPr>
  </connection>
  <connection id="4" name="chuva_eta_grande2" type="6" refreshedVersion="4" background="1" saveData="1">
    <textPr prompt="0" codePage="850" sourceFile="C:\Users\Clarissa\Dropbox\Statkraft\Furnas\chuva_eta_grande.bacia" decimal="," thousands="." space="1" consecutive="1">
      <textFields count="2">
        <textField/>
        <textField/>
      </textFields>
    </textPr>
  </connection>
  <connection id="5" name="chuva_eta_itaipu_direita" type="6" refreshedVersion="4" background="1">
    <textPr prompt="0" codePage="850" sourceFile="C:\Users\Clarissa\Dropbox\Statkraft\Itaipú\Operacional\chuva_eta_itaipu_direita.bacia" decimal="," thousands="." space="1" consecutive="1">
      <textFields count="2">
        <textField/>
        <textField/>
      </textFields>
    </textPr>
  </connection>
  <connection id="6" name="chuva_eta_itaipu_direita1" type="6" refreshedVersion="4" background="1">
    <textPr prompt="0" codePage="850" sourceFile="C:\Users\Clarissa\Dropbox\Statkraft\Itaipú\Operacional\chuva_eta_itaipu_direita.bacia" decimal="," thousands="." space="1" consecutive="1">
      <textFields count="2">
        <textField/>
        <textField/>
      </textFields>
    </textPr>
  </connection>
  <connection id="7" name="chuva_eta_itaipu_direita2" type="6" refreshedVersion="4" background="1">
    <textPr prompt="0" codePage="850" sourceFile="C:\Users\Clarissa\Dropbox\Statkraft\Itaipú\Operacional\chuva_eta_itaipu_direita.bacia" decimal="," thousands="." space="1" consecutive="1">
      <textFields count="2">
        <textField/>
        <textField/>
      </textFields>
    </textPr>
  </connection>
  <connection id="8" name="chuva_eta_itaipu_direita3" type="6" refreshedVersion="4" background="1">
    <textPr prompt="0" codePage="850" sourceFile="C:\Users\Clarissa\Dropbox\Statkraft\Itaipú\Operacional\chuva_eta_itaipu_direita.bacia" decimal="," thousands="." space="1" consecutive="1">
      <textFields count="2">
        <textField/>
        <textField/>
      </textFields>
    </textPr>
  </connection>
  <connection id="9" name="chuva_eta_itaipu_direita4" type="6" refreshedVersion="4" background="1">
    <textPr prompt="0" codePage="850" sourceFile="C:\Users\Clarissa\Dropbox\Statkraft\Itaipú\Operacional\chuva_eta_itaipu_direita.bacia" decimal="," thousands="." space="1" consecutive="1">
      <textFields count="2">
        <textField/>
        <textField/>
      </textFields>
    </textPr>
  </connection>
  <connection id="10" name="chuva_eta_itaipu_direita5" type="6" refreshedVersion="4" background="1">
    <textPr prompt="0" codePage="850" sourceFile="C:\Users\Clarissa\Dropbox\Statkraft\Itaipú\Operacional\chuva_eta_itaipu_direita.bacia" decimal="," thousands="." space="1" consecutive="1">
      <textFields count="2">
        <textField/>
        <textField/>
      </textFields>
    </textPr>
  </connection>
  <connection id="11" name="chuva_eta_itaipu_esquerda" type="6" refreshedVersion="4" background="1">
    <textPr prompt="0" codePage="850" sourceFile="C:\Users\Clarissa\Dropbox\Statkraft\Itaipú\Operacional\chuva_eta_itaipu_esquerda.bacia" decimal="," thousands="." space="1" consecutive="1">
      <textFields count="2">
        <textField/>
        <textField/>
      </textFields>
    </textPr>
  </connection>
  <connection id="12" name="chuva_eta_itaipu_esquerda1" type="6" refreshedVersion="4" background="1">
    <textPr prompt="0" codePage="850" sourceFile="C:\Users\Clarissa\Dropbox\Statkraft\Itaipú\Operacional\chuva_eta_itaipu_esquerda.bacia" decimal="," thousands="." space="1" consecutive="1">
      <textFields count="2">
        <textField/>
        <textField/>
      </textFields>
    </textPr>
  </connection>
  <connection id="13" name="chuva_eta_itaipu_esquerda2" type="6" refreshedVersion="4" background="1">
    <textPr prompt="0" codePage="850" sourceFile="C:\Users\Clarissa\Dropbox\Statkraft\Itaipú\Operacional\chuva_eta_itaipu_esquerda.bacia" decimal="," thousands="." space="1" consecutive="1">
      <textFields count="2">
        <textField/>
        <textField/>
      </textFields>
    </textPr>
  </connection>
  <connection id="14" name="chuva_eta_itaipu_esquerda3" type="6" refreshedVersion="4" background="1">
    <textPr prompt="0" codePage="850" sourceFile="C:\Users\Clarissa\Dropbox\Statkraft\Itaipú\Operacional\chuva_eta_itaipu_esquerda.bacia" decimal="," thousands="." space="1" consecutive="1">
      <textFields count="2">
        <textField/>
        <textField/>
      </textFields>
    </textPr>
  </connection>
  <connection id="15" name="chuva_eta_itaipu_esquerda4" type="6" refreshedVersion="4" background="1">
    <textPr prompt="0" codePage="850" sourceFile="C:\Users\Clarissa\Dropbox\Statkraft\Itaipú\Operacional\chuva_eta_itaipu_esquerda.bacia" decimal="," thousands="." space="1" consecutive="1">
      <textFields count="2">
        <textField/>
        <textField/>
      </textFields>
    </textPr>
  </connection>
  <connection id="16" name="chuva_eta_itaipu_esquerda5" type="6" refreshedVersion="4" background="1">
    <textPr prompt="0" codePage="850" sourceFile="C:\Users\Clarissa\Dropbox\Statkraft\Itaipú\Operacional\chuva_eta_itaipu_esquerda.bacia" decimal="," thousands="." space="1" consecutive="1">
      <textFields count="2">
        <textField/>
        <textField/>
      </textFields>
    </textPr>
  </connection>
  <connection id="17" name="chuva_grade_grande" type="6" refreshedVersion="5" background="1" saveData="1">
    <textPr prompt="0" codePage="850" sourceFile="C:\Users\Marcio\Dropbox\Statkraft\Furnas\chuva_grade_grande.bacia" decimal="," thousands="." space="1" consecutive="1">
      <textFields count="2">
        <textField/>
        <textField/>
      </textFields>
    </textPr>
  </connection>
  <connection id="18" name="chuva_grade_grande10" type="6" refreshedVersion="4" background="1" saveData="1">
    <textPr prompt="0" codePage="850" sourceFile="C:\Users\Clarissa\Dropbox\Statkraft\Furnas\chuva_grade_grande.bacia" decimal="," thousands="." space="1" consecutive="1">
      <textFields count="2">
        <textField/>
        <textField/>
      </textFields>
    </textPr>
  </connection>
  <connection id="19" name="chuva_grade_grande11" type="6" refreshedVersion="4" background="1" saveData="1">
    <textPr prompt="0" codePage="850" sourceFile="C:\Users\Clarissa\Dropbox\Statkraft\Furnas\chuva_grade_grande.bacia" decimal="," thousands="." space="1" consecutive="1">
      <textFields count="2">
        <textField/>
        <textField/>
      </textFields>
    </textPr>
  </connection>
  <connection id="20" name="chuva_grade_grande2" type="6" refreshedVersion="5" background="1" saveData="1">
    <textPr prompt="0" codePage="850" sourceFile="C:\Users\Marcio\Dropbox\Statkraft\Furnas\chuva_grade_grande.bacia" decimal="," thousands="." space="1" consecutive="1">
      <textFields count="2">
        <textField/>
        <textField/>
      </textFields>
    </textPr>
  </connection>
  <connection id="21" name="chuva_grade_grande3" type="6" refreshedVersion="5" background="1" saveData="1">
    <textPr prompt="0" codePage="850" sourceFile="C:\Users\Marcio\Dropbox\Statkraft\Furnas\chuva_grade_grande.bacia" decimal="," thousands="." space="1" consecutive="1">
      <textFields count="2">
        <textField/>
        <textField/>
      </textFields>
    </textPr>
  </connection>
  <connection id="22" name="chuva_grade_grande4" type="6" refreshedVersion="4" background="1" saveData="1">
    <textPr prompt="0" codePage="850" sourceFile="C:\Users\Clarissa\Dropbox\Statkraft\Furnas\chuva_grade_grande.bacia" decimal="," thousands="." space="1" consecutive="1">
      <textFields count="2">
        <textField/>
        <textField/>
      </textFields>
    </textPr>
  </connection>
  <connection id="23" name="chuva_grade_grande5" type="6" refreshedVersion="4" background="1" saveData="1">
    <textPr prompt="0" codePage="850" sourceFile="C:\Users\Clarissa\Dropbox\Statkraft\Furnas\chuva_grade_grande.bacia" decimal="," thousands="." space="1" consecutive="1">
      <textFields count="2">
        <textField/>
        <textField/>
      </textFields>
    </textPr>
  </connection>
  <connection id="24" name="chuva_grade_grande6" type="6" refreshedVersion="4" background="1" saveData="1">
    <textPr prompt="0" codePage="850" sourceFile="C:\Users\Clarissa\Dropbox\Statkraft\Furnas\chuva_grade_grande.bacia" decimal="," thousands="." space="1" consecutive="1">
      <textFields count="2">
        <textField/>
        <textField/>
      </textFields>
    </textPr>
  </connection>
  <connection id="25" name="chuva_grade_grande7" type="6" refreshedVersion="4" background="1" saveData="1">
    <textPr prompt="0" codePage="850" sourceFile="C:\Users\Clarissa\Dropbox\Statkraft\Furnas\chuva_grade_grande.bacia" decimal="," thousands="." space="1" consecutive="1">
      <textFields count="2">
        <textField/>
        <textField/>
      </textFields>
    </textPr>
  </connection>
  <connection id="26" name="chuva_grade_grande8" type="6" refreshedVersion="0" background="1">
    <textPr prompt="0" sourceFile="C:\Users\Clarissa\Dropbox\Statkraft\Itaipú\Operacional\chuva_grade_grande.bacia" decimal="," thousands=".">
      <textFields>
        <textField/>
      </textFields>
    </textPr>
  </connection>
  <connection id="27" name="chuva_grade_grande9" type="6" refreshedVersion="4" background="1" saveData="1">
    <textPr prompt="0" codePage="850" sourceFile="C:\Users\Clarissa\Dropbox\Statkraft\Furnas\chuva_grade_grande.bacia" decimal="," thousands="." space="1" consecutive="1">
      <textFields count="2">
        <textField/>
        <textField/>
      </textFields>
    </textPr>
  </connection>
  <connection id="28" name="chuva_grade_itaipu" type="6" refreshedVersion="4" background="1">
    <textPr prompt="0" codePage="850" sourceFile="C:\Users\Clarissa\Dropbox\Statkraft\Itaipú\Operacional\chuva_grade_itaipu.bacia" decimal="," thousands="." space="1" consecutive="1">
      <textFields count="2">
        <textField/>
        <textField/>
      </textFields>
    </textPr>
  </connection>
  <connection id="29" name="chuva_grade_itaipu_direita" type="6" refreshedVersion="4" background="1">
    <textPr prompt="0" codePage="850" sourceFile="C:\Users\Clarissa\Dropbox\Statkraft\Itaipú\Operacional\chuva_grade_itaipu_direita.bacia" decimal="," thousands="." space="1" consecutive="1">
      <textFields count="2">
        <textField/>
        <textField/>
      </textFields>
    </textPr>
  </connection>
  <connection id="30" name="chuva_grade_itaipu_direita1" type="6" refreshedVersion="4" background="1">
    <textPr prompt="0" codePage="850" sourceFile="C:\Users\Clarissa\Dropbox\Statkraft\Itaipú\Operacional\chuva_grade_itaipu_direita.bacia" decimal="," thousands="." space="1" consecutive="1">
      <textFields count="2">
        <textField/>
        <textField/>
      </textFields>
    </textPr>
  </connection>
  <connection id="31" name="chuva_grade_itaipu_direita2" type="6" refreshedVersion="4" background="1">
    <textPr prompt="0" codePage="850" sourceFile="C:\Users\Clarissa\Dropbox\Statkraft\Itaipú\Operacional\chuva_grade_itaipu_direita.bacia" decimal="," thousands="." space="1" consecutive="1">
      <textFields count="2">
        <textField/>
        <textField/>
      </textFields>
    </textPr>
  </connection>
  <connection id="32" name="chuva_grade_itaipu_esquerda" type="6" refreshedVersion="4" background="1">
    <textPr prompt="0" codePage="850" sourceFile="C:\Users\Clarissa\Dropbox\Statkraft\Itaipú\Operacional\chuva_grade_itaipu_esquerda.bacia" decimal="," thousands="." space="1" consecutive="1">
      <textFields count="2">
        <textField/>
        <textField/>
      </textFields>
    </textPr>
  </connection>
  <connection id="33" name="chuva_grade_itaipu_esquerda1" type="6" refreshedVersion="4" background="1">
    <textPr prompt="0" codePage="850" sourceFile="C:\Users\Clarissa\Dropbox\Statkraft\Itaipú\Operacional\chuva_grade_itaipu_esquerda.bacia" decimal="," thousands="." space="1" consecutive="1">
      <textFields count="2">
        <textField/>
        <textField/>
      </textFields>
    </textPr>
  </connection>
  <connection id="34" name="chuva_grade_itaipu_esquerda2" type="6" refreshedVersion="4" background="1">
    <textPr prompt="0" codePage="850" sourceFile="C:\Users\Clarissa\Dropbox\Statkraft\Itaipú\Operacional\chuva_grade_itaipu_esquerda.bacia" decimal="," thousands="." space="1" consecutive="1">
      <textFields count="2">
        <textField/>
        <textField/>
      </textFields>
    </textPr>
  </connection>
  <connection id="35" name="emborcacao" type="6" refreshedVersion="4" background="1">
    <textPr prompt="0" codePage="850" sourceFile="C:\Users\Clarissa\Google Drive\2015-07-07\CHUVA_DE_GRADE\20150911\emborcacao.bacia" space="1" consecutive="1">
      <textFields count="2">
        <textField/>
        <textField/>
      </textFields>
    </textPr>
  </connection>
  <connection id="36" name="emborcacao1" type="6" refreshedVersion="4" background="1">
    <textPr prompt="0" codePage="850" sourceFile="C:\Users\Clarissa\Google Drive\2015-07-07\SAIDAS\2015090900\emborcacao.bacia" space="1" consecutive="1">
      <textFields count="2">
        <textField/>
        <textField/>
      </textFields>
    </textPr>
  </connection>
  <connection id="37" name="emborcacao10" type="6" refreshedVersion="4" background="1">
    <textPr prompt="0" codePage="850" sourceFile="C:\Users\Clarissa\Google Drive\2015-07-07\GFS\2015091100\emborcacao.bacia" space="1" consecutive="1">
      <textFields count="2">
        <textField/>
        <textField/>
      </textFields>
    </textPr>
  </connection>
  <connection id="38" name="emborcacao11" type="6" refreshedVersion="4" background="1">
    <textPr prompt="0" codePage="850" sourceFile="C:\Users\Clarissa\Google Drive\2015-07-07\SAIDAS\2015091100\emborcacao.bacia" space="1" consecutive="1">
      <textFields count="2">
        <textField/>
        <textField/>
      </textFields>
    </textPr>
  </connection>
  <connection id="39" name="emborcacao12" type="6" refreshedVersion="4" background="1">
    <textPr prompt="0" codePage="850" sourceFile="C:\Users\Clarissa\Google Drive\2015-07-07\GFS\2015091100\emborcacao.bacia" space="1" consecutive="1">
      <textFields count="2">
        <textField/>
        <textField/>
      </textFields>
    </textPr>
  </connection>
  <connection id="40" name="emborcacao13" type="6" refreshedVersion="4" background="1">
    <textPr prompt="0" codePage="850" sourceFile="C:\Users\Clarissa\Google Drive\2015-07-07\CFS\2015091100\emborcacao.bacia" space="1" consecutive="1">
      <textFields count="2">
        <textField/>
        <textField/>
      </textFields>
    </textPr>
  </connection>
  <connection id="41" name="emborcacao14" type="6" refreshedVersion="4" background="1">
    <textPr prompt="0" codePage="850" sourceFile="C:\Users\Clarissa\Google Drive\2015-07-07\SAIDAS\2015091100\emborcacao.bacia" space="1" consecutive="1">
      <textFields count="2">
        <textField/>
        <textField/>
      </textFields>
    </textPr>
  </connection>
  <connection id="42" name="emborcacao15" type="6" refreshedVersion="4" background="1">
    <textPr prompt="0" codePage="850" sourceFile="C:\Users\Clarissa\Google Drive\2015-07-07\GFS\2015091100\emborcacao.bacia" space="1" consecutive="1">
      <textFields count="2">
        <textField/>
        <textField/>
      </textFields>
    </textPr>
  </connection>
  <connection id="43" name="emborcacao16" type="6" refreshedVersion="4" background="1">
    <textPr prompt="0" codePage="850" sourceFile="C:\Users\Clarissa\Google Drive\2015-07-07\CFS\2015091100\emborcacao.bacia" space="1" consecutive="1">
      <textFields count="2">
        <textField/>
        <textField/>
      </textFields>
    </textPr>
  </connection>
  <connection id="44" name="emborcacao17" type="6" refreshedVersion="4" background="1">
    <textPr prompt="0" codePage="850" sourceFile="C:\Users\Clarissa\Google Drive\2015-07-07\CFS\2015091100\emborcacao.bacia" space="1" consecutive="1">
      <textFields count="2">
        <textField/>
        <textField/>
      </textFields>
    </textPr>
  </connection>
  <connection id="45" name="emborcacao2" type="6" refreshedVersion="4" background="1">
    <textPr prompt="0" codePage="850" sourceFile="C:\Users\Clarissa\Google Drive\2015-07-07\SAIDAS\2015091000\emborcacao.bacia" space="1" consecutive="1">
      <textFields count="2">
        <textField/>
        <textField/>
      </textFields>
    </textPr>
  </connection>
  <connection id="46" name="emborcacao3" type="6" refreshedVersion="4" background="1">
    <textPr prompt="0" codePage="850" sourceFile="C:\Users\Clarissa\Google Drive\2015-07-07\SAIDAS\2015091100\emborcacao.bacia" space="1" consecutive="1">
      <textFields count="2">
        <textField/>
        <textField/>
      </textFields>
    </textPr>
  </connection>
  <connection id="47" name="emborcacao4" type="6" refreshedVersion="4" background="1">
    <textPr prompt="0" codePage="850" sourceFile="C:\Users\Clarissa\Google Drive\2015-07-07\GFS\2015091100\emborcacao.bacia" space="1" consecutive="1">
      <textFields count="2">
        <textField/>
        <textField/>
      </textFields>
    </textPr>
  </connection>
  <connection id="48" name="emborcacao5" type="6" refreshedVersion="4" background="1">
    <textPr prompt="0" codePage="850" sourceFile="C:\Users\Clarissa\Google Drive\2015-07-07\SAIDAS\2015091100\emborcacao.bacia" space="1" consecutive="1">
      <textFields count="2">
        <textField/>
        <textField/>
      </textFields>
    </textPr>
  </connection>
  <connection id="49" name="emborcacao6" type="6" refreshedVersion="4" background="1">
    <textPr prompt="0" codePage="850" sourceFile="C:\Users\Clarissa\Google Drive\2015-07-07\GFS\2015091100\emborcacao.bacia" space="1" consecutive="1">
      <textFields count="2">
        <textField/>
        <textField/>
      </textFields>
    </textPr>
  </connection>
  <connection id="50" name="emborcacao7" type="6" refreshedVersion="4" background="1">
    <textPr prompt="0" codePage="850" sourceFile="C:\Users\Clarissa\Google Drive\2015-07-07\SAIDAS\2015091100\emborcacao.bacia" space="1" consecutive="1">
      <textFields count="2">
        <textField/>
        <textField/>
      </textFields>
    </textPr>
  </connection>
  <connection id="51" name="emborcacao8" type="6" refreshedVersion="4" background="1">
    <textPr prompt="0" codePage="850" sourceFile="C:\Users\Clarissa\Google Drive\2015-07-07\SAIDAS\2015091100\emborcacao.bacia" space="1" consecutive="1">
      <textFields count="2">
        <textField/>
        <textField/>
      </textFields>
    </textPr>
  </connection>
  <connection id="52" name="emborcacao9" type="6" refreshedVersion="4" background="1">
    <textPr prompt="0" codePage="850" sourceFile="C:\Users\Clarissa\Google Drive\2015-07-07\GFS\2015091100\emborcacao.bacia" space="1" consecutive="1">
      <textFields count="2">
        <textField/>
        <textField/>
      </textFields>
    </textPr>
  </connection>
  <connection id="53" name="foz_do_areia" type="6" refreshedVersion="4" background="1">
    <textPr prompt="0" codePage="850" sourceFile="C:\Users\Clarissa\Desktop\Operacional Statkraft2\CHUVA_DE_GRADE\20150911\foz_do_areia.bacia" space="1" consecutive="1">
      <textFields count="2">
        <textField/>
        <textField/>
      </textFields>
    </textPr>
  </connection>
  <connection id="54" name="foz_do_areia1" type="6" refreshedVersion="4" background="1">
    <textPr prompt="0" codePage="850" sourceFile="C:\Users\Clarissa\Desktop\Operacional Statkraft2\SAIDAS\20150909\foz_do_areia.bacia" space="1" consecutive="1">
      <textFields count="2">
        <textField/>
        <textField/>
      </textFields>
    </textPr>
  </connection>
  <connection id="55" name="foz_do_areia2" type="6" refreshedVersion="4" background="1">
    <textPr prompt="0" codePage="850" sourceFile="C:\Users\Clarissa\Desktop\Operacional Statkraft2\SAIDAS\20150910\foz_do_areia.bacia" space="1" consecutive="1">
      <textFields count="2">
        <textField/>
        <textField/>
      </textFields>
    </textPr>
  </connection>
  <connection id="56" name="foz_do_areia3" type="6" refreshedVersion="4" background="1">
    <textPr prompt="0" codePage="850" sourceFile="C:\Users\Clarissa\Desktop\Operacional Statkraft2\SAIDAS\20150911\foz_do_areia.bacia" space="1" consecutive="1">
      <textFields count="2">
        <textField/>
        <textField/>
      </textFields>
    </textPr>
  </connection>
  <connection id="57" name="foz_do_areia4" type="6" refreshedVersion="4" background="1">
    <textPr prompt="0" codePage="850" sourceFile="C:\Users\Clarissa\Desktop\Operacional Statkraft2\GFS\20150911\foz_do_areia.bacia" space="1" consecutive="1">
      <textFields count="2">
        <textField/>
        <textField/>
      </textFields>
    </textPr>
  </connection>
  <connection id="58" name="foz_do_areia5" type="6" refreshedVersion="4" background="1">
    <textPr prompt="0" codePage="850" sourceFile="C:\Users\Clarissa\Google Drive\Operacional Statkraft\CHUVA_DE_GRADE\20151006\foz_do_areia.bacia" space="1" consecutive="1">
      <textFields count="2">
        <textField/>
        <textField/>
      </textFields>
    </textPr>
  </connection>
  <connection id="59" name="furnaselimoeiro-avermelha" type="6" refreshedVersion="4" background="1">
    <textPr prompt="0" codePage="850" sourceFile="C:\Users\Clarissa\Google Drive\Operacional Statkraft\CHUVA_DE_GRADE\20150911\furnaselimoeiro-avermelha.bacia" space="1" consecutive="1">
      <textFields count="2">
        <textField/>
        <textField/>
      </textFields>
    </textPr>
  </connection>
  <connection id="60" name="furnaselimoeiro-avermelha.bacia" type="6" refreshedVersion="4" background="1">
    <textPr prompt="0" codePage="850" sourceFile="C:\Users\Clarissa\Desktop\Operacional Statkraft2\SAIDAS\20150911\furnaselimoeiro-avermelha.bacia.v" space="1" consecutive="1">
      <textFields count="2">
        <textField/>
        <textField/>
      </textFields>
    </textPr>
  </connection>
  <connection id="61" name="furnaselimoeiro-avermelha.bacia1" type="6" refreshedVersion="4" background="1">
    <textPr prompt="0" codePage="850" sourceFile="C:\Users\Clarissa\Desktop\Operacional Statkraft2\GFS\20150911\furnaselimoeiro-avermelha.bacia.v" space="1" consecutive="1">
      <textFields count="2">
        <textField/>
        <textField/>
      </textFields>
    </textPr>
  </connection>
  <connection id="62" name="furnaselimoeiro-avermelha1" type="6" refreshedVersion="4" background="1">
    <textPr prompt="0" codePage="850" sourceFile="C:\Users\Clarissa\Google Drive\Operacional Statkraft\SAIDAS\20150909\furnaselimoeiro-avermelha.bacia" space="1" consecutive="1">
      <textFields count="2">
        <textField/>
        <textField/>
      </textFields>
    </textPr>
  </connection>
  <connection id="63" name="furnaselimoeiro-avermelha10" type="6" refreshedVersion="4" background="1">
    <textPr prompt="0" codePage="850" sourceFile="C:\Users\Clarissa\Google Drive\Operacional Statkraft\GFS\20150911\furnaselimoeiro-avermelha.bacia" space="1" consecutive="1">
      <textFields count="2">
        <textField/>
        <textField/>
      </textFields>
    </textPr>
  </connection>
  <connection id="64" name="furnaselimoeiro-avermelha11" type="6" refreshedVersion="4" background="1">
    <textPr prompt="0" codePage="850" sourceFile="C:\Users\Clarissa\Google Drive\Operacional Statkraft\CFS\20150911\furnaselimoeiro-avermelha.bacia" space="1" consecutive="1">
      <textFields count="2">
        <textField/>
        <textField/>
      </textFields>
    </textPr>
  </connection>
  <connection id="65" name="furnaselimoeiro-avermelha12" type="6" refreshedVersion="4" background="1">
    <textPr prompt="0" codePage="850" sourceFile="C:\Users\Clarissa\Google Drive\Operacional Statkraft\SAIDAS\20150911\furnaselimoeiro-avermelha.bacia" space="1" consecutive="1">
      <textFields count="2">
        <textField/>
        <textField/>
      </textFields>
    </textPr>
  </connection>
  <connection id="66" name="furnaselimoeiro-avermelha13" type="6" refreshedVersion="4" background="1">
    <textPr prompt="0" codePage="850" sourceFile="C:\Users\Clarissa\Google Drive\Operacional Statkraft\GFS\20150911\furnaselimoeiro-avermelha.bacia" space="1" consecutive="1">
      <textFields count="2">
        <textField/>
        <textField/>
      </textFields>
    </textPr>
  </connection>
  <connection id="67" name="furnaselimoeiro-avermelha14" type="6" refreshedVersion="4" background="1">
    <textPr prompt="0" codePage="850" sourceFile="C:\Users\Clarissa\Google Drive\Operacional Statkraft\CFS\20150911\furnaselimoeiro-avermelha.bacia" space="1" consecutive="1">
      <textFields count="2">
        <textField/>
        <textField/>
      </textFields>
    </textPr>
  </connection>
  <connection id="68" name="furnaselimoeiro-avermelha15" type="6" refreshedVersion="4" background="1">
    <textPr prompt="0" codePage="850" sourceFile="C:\Users\Clarissa\Google Drive\Operacional Statkraft\SAIDAS\20150911\furnaselimoeiro-avermelha.bacia" space="1" consecutive="1">
      <textFields count="2">
        <textField/>
        <textField/>
      </textFields>
    </textPr>
  </connection>
  <connection id="69" name="furnaselimoeiro-avermelha16" type="6" refreshedVersion="4" background="1">
    <textPr prompt="0" codePage="850" sourceFile="C:\Users\Clarissa\Google Drive\Operacional Statkraft\GFS\20150911\furnaselimoeiro-avermelha.bacia" space="1" consecutive="1">
      <textFields count="2">
        <textField/>
        <textField/>
      </textFields>
    </textPr>
  </connection>
  <connection id="70" name="furnaselimoeiro-avermelha17" type="6" refreshedVersion="4" background="1">
    <textPr prompt="0" codePage="850" sourceFile="C:\Users\Clarissa\Google Drive\Operacional Statkraft\CFS\20150911\furnaselimoeiro-avermelha.bacia" space="1" consecutive="1">
      <textFields count="2">
        <textField/>
        <textField/>
      </textFields>
    </textPr>
  </connection>
  <connection id="71" name="furnaselimoeiro-avermelha18" type="6" refreshedVersion="4" background="1">
    <textPr prompt="0" codePage="850" sourceFile="C:\Users\Clarissa\Google Drive\Operacional Statkraft\SAIDAS\20150911\furnaselimoeiro-avermelha.bacia" space="1" consecutive="1">
      <textFields count="2">
        <textField/>
        <textField/>
      </textFields>
    </textPr>
  </connection>
  <connection id="72" name="furnaselimoeiro-avermelha19" type="6" refreshedVersion="4" background="1">
    <textPr prompt="0" codePage="850" sourceFile="C:\Users\Clarissa\Google Drive\Operacional Statkraft\GFS\20150911\furnaselimoeiro-avermelha.bacia" space="1" consecutive="1">
      <textFields count="2">
        <textField/>
        <textField/>
      </textFields>
    </textPr>
  </connection>
  <connection id="73" name="furnaselimoeiro-avermelha2" type="6" refreshedVersion="4" background="1">
    <textPr prompt="0" codePage="850" sourceFile="C:\Users\Clarissa\Google Drive\Operacional Statkraft\SAIDAS\20150910\furnaselimoeiro-avermelha.bacia" space="1" consecutive="1">
      <textFields count="2">
        <textField/>
        <textField/>
      </textFields>
    </textPr>
  </connection>
  <connection id="74" name="furnaselimoeiro-avermelha20" type="6" refreshedVersion="4" background="1">
    <textPr prompt="0" codePage="850" sourceFile="C:\Users\Clarissa\Google Drive\Operacional Statkraft\CFS\20150911\furnaselimoeiro-avermelha.bacia" space="1" consecutive="1">
      <textFields count="2">
        <textField/>
        <textField/>
      </textFields>
    </textPr>
  </connection>
  <connection id="75" name="furnaselimoeiro-avermelha21" type="6" refreshedVersion="4" background="1">
    <textPr prompt="0" codePage="850" sourceFile="C:\Users\Clarissa\Google Drive\Operacional Statkraft\CHUVA_DE_GRADE\20150911\furnaselimoeiro-avermelha.bacia" space="1" consecutive="1">
      <textFields count="2">
        <textField/>
        <textField/>
      </textFields>
    </textPr>
  </connection>
  <connection id="76" name="furnaselimoeiro-avermelha22" type="6" refreshedVersion="4" background="1">
    <textPr prompt="0" codePage="850" sourceFile="C:\Users\Clarissa\Google Drive\Operacional Statkraft\SAIDAS\20150909\furnaselimoeiro-avermelha.bacia" space="1" consecutive="1">
      <textFields count="2">
        <textField/>
        <textField/>
      </textFields>
    </textPr>
  </connection>
  <connection id="77" name="furnaselimoeiro-avermelha23" type="6" refreshedVersion="4" background="1">
    <textPr prompt="0" codePage="850" sourceFile="C:\Users\Clarissa\Google Drive\Operacional Statkraft\SAIDAS\20150910\furnaselimoeiro-avermelha.bacia" space="1" consecutive="1">
      <textFields count="2">
        <textField/>
        <textField/>
      </textFields>
    </textPr>
  </connection>
  <connection id="78" name="furnaselimoeiro-avermelha24" type="6" refreshedVersion="4" background="1">
    <textPr prompt="0" codePage="850" sourceFile="C:\Users\Clarissa\Google Drive\Operacional Statkraft\SAIDAS\20150911\furnaselimoeiro-avermelha.bacia" space="1" consecutive="1">
      <textFields count="2">
        <textField/>
        <textField/>
      </textFields>
    </textPr>
  </connection>
  <connection id="79" name="furnaselimoeiro-avermelha25" type="6" refreshedVersion="4" background="1">
    <textPr prompt="0" codePage="850" sourceFile="C:\Users\Clarissa\Google Drive\Operacional Statkraft\GFS\20150911\furnaselimoeiro-avermelha.bacia" space="1" consecutive="1">
      <textFields count="2">
        <textField/>
        <textField/>
      </textFields>
    </textPr>
  </connection>
  <connection id="80" name="furnaselimoeiro-avermelha26" type="6" refreshedVersion="4" background="1">
    <textPr prompt="0" codePage="850" sourceFile="C:\Users\Clarissa\Google Drive\Operacional Statkraft\CFS\20150911\furnaselimoeiro-avermelha.bacia" space="1" consecutive="1">
      <textFields count="2">
        <textField/>
        <textField/>
      </textFields>
    </textPr>
  </connection>
  <connection id="81" name="furnaselimoeiro-avermelha27" type="6" refreshedVersion="4" background="1">
    <textPr prompt="0" codePage="850" sourceFile="C:\Users\Clarissa\Google Drive\Operacional Statkraft\SAIDAS\20150911\furnaselimoeiro-avermelha.bacia" space="1" consecutive="1">
      <textFields count="2">
        <textField/>
        <textField/>
      </textFields>
    </textPr>
  </connection>
  <connection id="82" name="furnaselimoeiro-avermelha28" type="6" refreshedVersion="4" background="1">
    <textPr prompt="0" codePage="850" sourceFile="C:\Users\Clarissa\Google Drive\Operacional Statkraft\GFS\20150911\furnaselimoeiro-avermelha.bacia" space="1" consecutive="1">
      <textFields count="2">
        <textField/>
        <textField/>
      </textFields>
    </textPr>
  </connection>
  <connection id="83" name="furnaselimoeiro-avermelha29" type="6" refreshedVersion="4" background="1">
    <textPr prompt="0" codePage="850" sourceFile="C:\Users\Clarissa\Google Drive\Operacional Statkraft\CFS\20150911\furnaselimoeiro-avermelha.bacia" space="1" consecutive="1">
      <textFields count="2">
        <textField/>
        <textField/>
      </textFields>
    </textPr>
  </connection>
  <connection id="84" name="furnaselimoeiro-avermelha3" type="6" refreshedVersion="4" background="1">
    <textPr prompt="0" codePage="850" sourceFile="C:\Users\Clarissa\Google Drive\Operacional Statkraft\CHUVA_DE_GRADE\20150911\furnaselimoeiro-avermelha.bacia" space="1" consecutive="1">
      <textFields count="2">
        <textField/>
        <textField/>
      </textFields>
    </textPr>
  </connection>
  <connection id="85" name="furnaselimoeiro-avermelha30" type="6" refreshedVersion="4" background="1">
    <textPr prompt="0" codePage="850" sourceFile="C:\Users\Clarissa\Desktop\Operacional Statkraft2\CHUVA_DE_GRADE\20150911\furnaselimoeiro-avermelha.bacia" space="1" consecutive="1">
      <textFields count="2">
        <textField/>
        <textField/>
      </textFields>
    </textPr>
  </connection>
  <connection id="86" name="furnaselimoeiro-avermelha31" type="6" refreshedVersion="4" background="1">
    <textPr prompt="0" codePage="850" sourceFile="C:\Users\Clarissa\Desktop\Operacional Statkraft2\SAIDAS\20150909\furnaselimoeiro-avermelha.bacia" space="1" consecutive="1">
      <textFields count="2">
        <textField/>
        <textField/>
      </textFields>
    </textPr>
  </connection>
  <connection id="87" name="furnaselimoeiro-avermelha32" type="6" refreshedVersion="4" background="1">
    <textPr prompt="0" codePage="850" sourceFile="C:\Users\Clarissa\Desktop\Operacional Statkraft2\SAIDAS\20150910\furnaselimoeiro-avermelha.bacia" space="1" consecutive="1">
      <textFields count="2">
        <textField/>
        <textField/>
      </textFields>
    </textPr>
  </connection>
  <connection id="88" name="furnaselimoeiro-avermelha33" type="6" refreshedVersion="4" background="1">
    <textPr prompt="0" codePage="850" sourceFile="C:\Users\Clarissa\Desktop\Operacional Statkraft2\CHUVA_DE_GRADE\20150911\furnaselimoeiro-avermelha.bacia" space="1" consecutive="1">
      <textFields count="2">
        <textField/>
        <textField/>
      </textFields>
    </textPr>
  </connection>
  <connection id="89" name="furnaselimoeiro-avermelha34" type="6" refreshedVersion="4" background="1">
    <textPr prompt="0" codePage="850" sourceFile="C:\Users\Clarissa\Desktop\Operacional Statkraft2\CHUVA_DE_GRADE\20150911\furnaselimoeiro-avermelha.bacia" space="1" consecutive="1">
      <textFields count="2">
        <textField/>
        <textField/>
      </textFields>
    </textPr>
  </connection>
  <connection id="90" name="furnaselimoeiro-avermelha35" type="6" refreshedVersion="4" background="1">
    <textPr prompt="0" codePage="850" sourceFile="C:\Users\Clarissa\Desktop\Operacional Statkraft2\CHUVA_DE_GRADE\20150911\furnaselimoeiro-avermelha.bacia" space="1" consecutive="1">
      <textFields count="2">
        <textField/>
        <textField/>
      </textFields>
    </textPr>
  </connection>
  <connection id="91" name="furnaselimoeiro-avermelha36" type="6" refreshedVersion="4" background="1">
    <textPr prompt="0" codePage="850" sourceFile="C:\Users\Clarissa\Desktop\Operacional Statkraft2\SAIDAS\20150910\furnaselimoeiro-avermelha.bacia" space="1" consecutive="1">
      <textFields count="2">
        <textField/>
        <textField/>
      </textFields>
    </textPr>
  </connection>
  <connection id="92" name="furnaselimoeiro-avermelha37" type="6" refreshedVersion="4" background="1">
    <textPr prompt="0" codePage="850" sourceFile="C:\Users\Clarissa\Desktop\Operacional Statkraft2\CHUVA_DE_GRADE\20150911\furnaselimoeiro-avermelha.bacia" space="1" consecutive="1">
      <textFields count="2">
        <textField/>
        <textField/>
      </textFields>
    </textPr>
  </connection>
  <connection id="93" name="furnaselimoeiro-avermelha38" type="6" refreshedVersion="4" background="1">
    <textPr prompt="0" codePage="850" sourceFile="C:\Users\Clarissa\Desktop\Operacional Statkraft2\SAIDAS\20150910\furnaselimoeiro-avermelha.bacia" space="1" consecutive="1">
      <textFields count="2">
        <textField/>
        <textField/>
      </textFields>
    </textPr>
  </connection>
  <connection id="94" name="furnaselimoeiro-avermelha39" type="6" refreshedVersion="4" background="1">
    <textPr prompt="0" codePage="850" sourceFile="C:\Users\Clarissa\Desktop\Operacional Statkraft2\CHUVA_DE_GRADE\20150911\furnaselimoeiro-avermelha.bacia" space="1" consecutive="1">
      <textFields count="2">
        <textField/>
        <textField/>
      </textFields>
    </textPr>
  </connection>
  <connection id="95" name="furnaselimoeiro-avermelha4" type="6" refreshedVersion="4" background="1">
    <textPr prompt="0" codePage="850" sourceFile="C:\Users\Clarissa\Google Drive\Operacional Statkraft\SAIDAS\20150909\furnaselimoeiro-avermelha.bacia" space="1" consecutive="1">
      <textFields count="2">
        <textField/>
        <textField/>
      </textFields>
    </textPr>
  </connection>
  <connection id="96" name="furnaselimoeiro-avermelha40" type="6" refreshedVersion="4" background="1">
    <textPr prompt="0" codePage="850" sourceFile="C:\Users\Clarissa\Desktop\Operacional Statkraft2\SAIDAS\20150910\furnaselimoeiro-avermelha.bacia" space="1" consecutive="1">
      <textFields count="2">
        <textField/>
        <textField/>
      </textFields>
    </textPr>
  </connection>
  <connection id="97" name="furnaselimoeiro-avermelha41" type="6" refreshedVersion="4" background="1">
    <textPr prompt="0" codePage="850" sourceFile="C:\Users\Clarissa\Desktop\Operacional Statkraft2\CHUVA_DE_GRADE\20150911\furnaselimoeiro-avermelha.bacia" space="1" consecutive="1">
      <textFields count="2">
        <textField/>
        <textField/>
      </textFields>
    </textPr>
  </connection>
  <connection id="98" name="furnaselimoeiro-avermelha42" type="6" refreshedVersion="4" background="1">
    <textPr prompt="0" codePage="850" sourceFile="C:\Users\Clarissa\Desktop\Operacional Statkraft2\SAIDAS\20150910\furnaselimoeiro-avermelha.bacia" space="1" consecutive="1">
      <textFields count="2">
        <textField/>
        <textField/>
      </textFields>
    </textPr>
  </connection>
  <connection id="99" name="furnaselimoeiro-avermelha43" type="6" refreshedVersion="4" background="1">
    <textPr prompt="0" codePage="850" sourceFile="C:\Users\Clarissa\Desktop\Operacional Statkraft2\SAIDAS\20150911\furnaselimoeiro-avermelha.bacia" space="1" consecutive="1">
      <textFields count="2">
        <textField/>
        <textField/>
      </textFields>
    </textPr>
  </connection>
  <connection id="100" name="furnaselimoeiro-avermelha44" type="6" refreshedVersion="4" background="1">
    <textPr prompt="0" codePage="850" sourceFile="C:\Users\Clarissa\Desktop\Operacional Statkraft2\GFS\20150911\furnaselimoeiro-avermelha.bacia" space="1" consecutive="1">
      <textFields count="2">
        <textField/>
        <textField/>
      </textFields>
    </textPr>
  </connection>
  <connection id="101" name="furnaselimoeiro-avermelha45" type="6" refreshedVersion="4" background="1">
    <textPr prompt="0" codePage="850" sourceFile="C:\Users\Clarissa\Desktop\Operacional Statkraft2\CFS\20150911\furnaselimoeiro-avermelha.bacia" space="1" consecutive="1">
      <textFields count="2">
        <textField/>
        <textField/>
      </textFields>
    </textPr>
  </connection>
  <connection id="102" name="furnaselimoeiro-avermelha46" type="6" refreshedVersion="0" background="1">
    <textPr prompt="0" sourceFile="C:\Users\Clarissa\Desktop\Operacional Statkraft2\SAIDAS\20150911\furnaselimoeiro-avermelha.bacia">
      <textFields>
        <textField/>
      </textFields>
    </textPr>
  </connection>
  <connection id="103" name="furnaselimoeiro-avermelha47" type="6" refreshedVersion="0" background="1">
    <textPr prompt="0" sourceFile="C:\Users\Clarissa\Desktop\Operacional Statkraft2\SAIDAS\20150911\furnaselimoeiro-avermelha.bacia">
      <textFields>
        <textField/>
      </textFields>
    </textPr>
  </connection>
  <connection id="104" name="furnaselimoeiro-avermelha48" type="6" refreshedVersion="4" background="1">
    <textPr prompt="0" codePage="850" sourceFile="C:\Users\Clarissa\Desktop\Operacional Statkraft2\SAIDAS\20150911\furnaselimoeiro-avermelha.bacia" space="1" consecutive="1">
      <textFields count="2">
        <textField/>
        <textField/>
      </textFields>
    </textPr>
  </connection>
  <connection id="105" name="furnaselimoeiro-avermelha49" type="6" refreshedVersion="4" background="1">
    <textPr prompt="0" codePage="850" sourceFile="C:\Users\Clarissa\Desktop\Operacional Statkraft2\GFS\20150911\furnaselimoeiro-avermelha.bacia" space="1" consecutive="1">
      <textFields count="2">
        <textField/>
        <textField/>
      </textFields>
    </textPr>
  </connection>
  <connection id="106" name="furnaselimoeiro-avermelha5" type="6" refreshedVersion="4" background="1">
    <textPr prompt="0" codePage="850" sourceFile="C:\Users\Clarissa\Google Drive\Operacional Statkraft\SAIDAS\20150910\furnaselimoeiro-avermelha.bacia" space="1" consecutive="1">
      <textFields count="2">
        <textField/>
        <textField/>
      </textFields>
    </textPr>
  </connection>
  <connection id="107" name="furnaselimoeiro-avermelha50" type="6" refreshedVersion="4" background="1">
    <textPr prompt="0" codePage="850" sourceFile="C:\Users\Clarissa\Desktop\Operacional Statkraft2\CFS\20150911\furnaselimoeiro-avermelha.bacia" space="1" consecutive="1">
      <textFields count="2">
        <textField/>
        <textField/>
      </textFields>
    </textPr>
  </connection>
  <connection id="108" name="furnaselimoeiro-avermelha51" type="6" refreshedVersion="4" background="1">
    <textPr prompt="0" codePage="850" sourceFile="C:\Users\Clarissa\Desktop\Operacional Statkraft2\SAIDAS\20150911\furnaselimoeiro-avermelha.bacia" space="1" consecutive="1">
      <textFields count="2">
        <textField/>
        <textField/>
      </textFields>
    </textPr>
  </connection>
  <connection id="109" name="furnaselimoeiro-avermelha52" type="6" refreshedVersion="4" background="1">
    <textPr prompt="0" codePage="850" sourceFile="C:\Users\Clarissa\Desktop\Operacional Statkraft2\GFS\20150911\furnaselimoeiro-avermelha.bacia" space="1" consecutive="1">
      <textFields count="2">
        <textField/>
        <textField/>
      </textFields>
    </textPr>
  </connection>
  <connection id="110" name="furnaselimoeiro-avermelha53" type="6" refreshedVersion="4" background="1">
    <textPr prompt="0" codePage="850" sourceFile="C:\Users\Clarissa\Desktop\Operacional Statkraft2\CFS\20150911\furnaselimoeiro-avermelha.bacia" space="1" consecutive="1">
      <textFields count="2">
        <textField/>
        <textField/>
      </textFields>
    </textPr>
  </connection>
  <connection id="111" name="furnaselimoeiro-avermelha54" type="6" refreshedVersion="4" background="1">
    <textPr prompt="0" codePage="850" sourceFile="C:\Users\Clarissa\Desktop\Operacional Statkraft2\SAIDAS\20150911\furnaselimoeiro-avermelha.bacia" space="1" consecutive="1">
      <textFields count="2">
        <textField/>
        <textField/>
      </textFields>
    </textPr>
  </connection>
  <connection id="112" name="furnaselimoeiro-avermelha55" type="6" refreshedVersion="4" background="1">
    <textPr prompt="0" codePage="850" sourceFile="C:\Users\Clarissa\Desktop\Operacional Statkraft2\GFS\20150911\furnaselimoeiro-avermelha.bacia" space="1" consecutive="1">
      <textFields count="2">
        <textField/>
        <textField/>
      </textFields>
    </textPr>
  </connection>
  <connection id="113" name="furnaselimoeiro-avermelha56" type="6" refreshedVersion="4" background="1">
    <textPr prompt="0" codePage="850" sourceFile="C:\Users\Clarissa\Desktop\Operacional Statkraft2\CFS\20150911\furnaselimoeiro-avermelha.bacia" space="1" consecutive="1">
      <textFields count="2">
        <textField/>
        <textField/>
      </textFields>
    </textPr>
  </connection>
  <connection id="114" name="furnaselimoeiro-avermelha57" type="6" refreshedVersion="4" background="1">
    <textPr prompt="0" codePage="850" sourceFile="C:\Users\Clarissa\Desktop\Operacional Statkraft2\SAIDAS\20150911\furnaselimoeiro-avermelha.bacia" space="1" consecutive="1">
      <textFields count="2">
        <textField/>
        <textField/>
      </textFields>
    </textPr>
  </connection>
  <connection id="115" name="furnaselimoeiro-avermelha58" type="6" refreshedVersion="4" background="1">
    <textPr prompt="0" codePage="850" sourceFile="C:\Users\Clarissa\Desktop\Operacional Statkraft2\GFS\20150911\furnaselimoeiro-avermelha.bacia" space="1" consecutive="1">
      <textFields count="2">
        <textField/>
        <textField/>
      </textFields>
    </textPr>
  </connection>
  <connection id="116" name="furnaselimoeiro-avermelha59" type="6" refreshedVersion="4" background="1">
    <textPr prompt="0" codePage="850" sourceFile="C:\Users\Clarissa\Desktop\Operacional Statkraft2\CFS\20150911\furnaselimoeiro-avermelha.bacia" space="1" consecutive="1">
      <textFields count="2">
        <textField/>
        <textField/>
      </textFields>
    </textPr>
  </connection>
  <connection id="117" name="furnaselimoeiro-avermelha6" type="6" refreshedVersion="4" background="1">
    <textPr prompt="0" codePage="850" sourceFile="C:\Users\Clarissa\Google Drive\Operacional Statkraft\CHUVA_DE_GRADE\20150911\furnaselimoeiro-avermelha.bacia" space="1" consecutive="1">
      <textFields count="2">
        <textField/>
        <textField/>
      </textFields>
    </textPr>
  </connection>
  <connection id="118" name="furnaselimoeiro-avermelha60" type="6" refreshedVersion="4" background="1">
    <textPr prompt="0" codePage="850" sourceFile="C:\Users\Clarissa\Desktop\Operacional Statkraft2\CHUVA_DE_GRADE\20150911\furnaselimoeiro-avermelha.bacia" space="1" consecutive="1">
      <textFields count="2">
        <textField/>
        <textField/>
      </textFields>
    </textPr>
  </connection>
  <connection id="119" name="furnaselimoeiro-avermelha61" type="6" refreshedVersion="4" background="1">
    <textPr prompt="0" codePage="850" sourceFile="C:\Users\Clarissa\Desktop\Operacional Statkraft2\SAIDAS\20150910\furnaselimoeiro-avermelha.bacia" space="1" consecutive="1">
      <textFields count="2">
        <textField/>
        <textField/>
      </textFields>
    </textPr>
  </connection>
  <connection id="120" name="furnaselimoeiro-avermelha62" type="6" refreshedVersion="4" background="1">
    <textPr prompt="0" codePage="850" sourceFile="C:\Users\Clarissa\Desktop\Operacional Statkraft2\CHUVA_DE_GRADE\20150911\furnaselimoeiro-avermelha.bacia" space="1" consecutive="1">
      <textFields count="2">
        <textField/>
        <textField/>
      </textFields>
    </textPr>
  </connection>
  <connection id="121" name="furnaselimoeiro-avermelha63" type="6" refreshedVersion="4" background="1">
    <textPr prompt="0" codePage="850" sourceFile="C:\Users\Clarissa\Desktop\Operacional Statkraft2\SAIDAS\20150910\furnaselimoeiro-avermelha.bacia" space="1" consecutive="1">
      <textFields count="2">
        <textField/>
        <textField/>
      </textFields>
    </textPr>
  </connection>
  <connection id="122" name="furnaselimoeiro-avermelha64" type="6" refreshedVersion="4" background="1">
    <textPr prompt="0" codePage="850" sourceFile="C:\Users\Clarissa\Desktop\Operacional Statkraft2\SAIDAS\20150911\furnaselimoeiro-avermelha.bacia" space="1" consecutive="1">
      <textFields count="2">
        <textField/>
        <textField/>
      </textFields>
    </textPr>
  </connection>
  <connection id="123" name="furnaselimoeiro-avermelha65" type="6" refreshedVersion="4" background="1">
    <textPr prompt="0" codePage="850" sourceFile="C:\Users\Clarissa\Desktop\Operacional Statkraft2\GFS\20150911\furnaselimoeiro-avermelha.bacia" space="1" consecutive="1">
      <textFields count="2">
        <textField/>
        <textField/>
      </textFields>
    </textPr>
  </connection>
  <connection id="124" name="furnaselimoeiro-avermelha66" type="6" refreshedVersion="4" background="1">
    <textPr prompt="0" codePage="850" sourceFile="C:\Users\Clarissa\Desktop\Operacional Statkraft2\CFS\20150911\furnaselimoeiro-avermelha.bacia" space="1" consecutive="1">
      <textFields count="2">
        <textField/>
        <textField/>
      </textFields>
    </textPr>
  </connection>
  <connection id="125" name="furnaselimoeiro-avermelha67" type="6" refreshedVersion="4" background="1">
    <textPr prompt="0" codePage="850" sourceFile="C:\Users\Clarissa\Desktop\Operacional Statkraft2\CHUVA_DE_GRADE\20150911\furnaselimoeiro-avermelha.bacia" space="1" consecutive="1">
      <textFields count="2">
        <textField/>
        <textField/>
      </textFields>
    </textPr>
  </connection>
  <connection id="126" name="furnaselimoeiro-avermelha68" type="6" refreshedVersion="4" background="1">
    <textPr prompt="0" codePage="850" sourceFile="C:\Users\Clarissa\Desktop\Operacional Statkraft2\SAIDAS\20150910\furnaselimoeiro-avermelha.bacia" space="1" consecutive="1">
      <textFields count="2">
        <textField/>
        <textField/>
      </textFields>
    </textPr>
  </connection>
  <connection id="127" name="furnaselimoeiro-avermelha69" type="6" refreshedVersion="4" background="1">
    <textPr prompt="0" codePage="850" sourceFile="C:\Users\Clarissa\Desktop\Operacional Statkraft2\CHUVA_DE_GRADE\20150911\furnaselimoeiro-avermelha.bacia" space="1" consecutive="1">
      <textFields count="2">
        <textField/>
        <textField/>
      </textFields>
    </textPr>
  </connection>
  <connection id="128" name="furnaselimoeiro-avermelha7" type="6" refreshedVersion="4" background="1">
    <textPr prompt="0" codePage="850" sourceFile="C:\Users\Clarissa\Google Drive\Operacional Statkraft\SAIDAS\20150909\furnaselimoeiro-avermelha.bacia" space="1" consecutive="1">
      <textFields count="2">
        <textField/>
        <textField/>
      </textFields>
    </textPr>
  </connection>
  <connection id="129" name="furnaselimoeiro-avermelha70" type="6" refreshedVersion="4" background="1">
    <textPr prompt="0" codePage="850" sourceFile="C:\Users\Clarissa\Desktop\Operacional Statkraft2\SAIDAS\20150910\furnaselimoeiro-avermelha.bacia" space="1" consecutive="1">
      <textFields count="2">
        <textField/>
        <textField/>
      </textFields>
    </textPr>
  </connection>
  <connection id="130" name="furnaselimoeiro-avermelha71" type="6" refreshedVersion="4" background="1">
    <textPr prompt="0" codePage="850" sourceFile="C:\Users\Clarissa\Desktop\Operacional Statkraft2\SAIDAS\20150911\furnaselimoeiro-avermelha.bacia" space="1" consecutive="1">
      <textFields count="2">
        <textField/>
        <textField/>
      </textFields>
    </textPr>
  </connection>
  <connection id="131" name="furnaselimoeiro-avermelha72" type="6" refreshedVersion="4" background="1">
    <textPr prompt="0" codePage="850" sourceFile="C:\Users\Clarissa\Desktop\Operacional Statkraft2\GFS\20150911\furnaselimoeiro-avermelha.bacia" space="1" consecutive="1">
      <textFields count="2">
        <textField/>
        <textField/>
      </textFields>
    </textPr>
  </connection>
  <connection id="132" name="furnaselimoeiro-avermelha73" type="6" refreshedVersion="4" background="1">
    <textPr prompt="0" codePage="850" sourceFile="C:\Users\Clarissa\Desktop\Operacional Statkraft2\SAIDAS\20150911\furnaselimoeiro-avermelha.bacia" space="1" consecutive="1">
      <textFields count="2">
        <textField/>
        <textField/>
      </textFields>
    </textPr>
  </connection>
  <connection id="133" name="furnaselimoeiro-avermelha74" type="6" refreshedVersion="4" background="1">
    <textPr prompt="0" codePage="850" sourceFile="C:\Users\Clarissa\Desktop\Operacional Statkraft2\GFS\20150911\furnaselimoeiro-avermelha.bacia" space="1" consecutive="1">
      <textFields count="2">
        <textField/>
        <textField/>
      </textFields>
    </textPr>
  </connection>
  <connection id="134" name="furnaselimoeiro-avermelha75" type="6" refreshedVersion="4" background="1">
    <textPr prompt="0" codePage="850" sourceFile="C:\Users\Clarissa\Desktop\Operacional Statkraft2\SAIDAS\20150911\furnaselimoeiro-avermelha.bacia" space="1" consecutive="1">
      <textFields count="2">
        <textField/>
        <textField/>
      </textFields>
    </textPr>
  </connection>
  <connection id="135" name="furnaselimoeiro-avermelha76" type="6" refreshedVersion="4" background="1">
    <textPr prompt="0" codePage="850" sourceFile="C:\Users\Clarissa\Desktop\Operacional Statkraft2\GFS\20150911\furnaselimoeiro-avermelha.bacia" space="1" consecutive="1">
      <textFields count="2">
        <textField/>
        <textField/>
      </textFields>
    </textPr>
  </connection>
  <connection id="136" name="furnaselimoeiro-avermelha77" type="6" refreshedVersion="4" background="1">
    <textPr prompt="0" codePage="850" sourceFile="C:\Users\Clarissa\Desktop\Operacional Statkraft2\SAIDAS\20150911\furnaselimoeiro-avermelha.bacia" space="1" consecutive="1">
      <textFields count="2">
        <textField/>
        <textField/>
      </textFields>
    </textPr>
  </connection>
  <connection id="137" name="furnaselimoeiro-avermelha78" type="6" refreshedVersion="4" background="1">
    <textPr prompt="0" codePage="850" sourceFile="C:\Users\Clarissa\Desktop\Operacional Statkraft2\GFS\20150911\furnaselimoeiro-avermelha.bacia" space="1" consecutive="1">
      <textFields count="2">
        <textField/>
        <textField/>
      </textFields>
    </textPr>
  </connection>
  <connection id="138" name="furnaselimoeiro-avermelha79" type="6" refreshedVersion="4" background="1">
    <textPr prompt="0" codePage="850" sourceFile="C:\Users\Clarissa\Desktop\Operacional Statkraft2\SAIDAS\20150911\furnaselimoeiro-avermelha.bacia" space="1" consecutive="1">
      <textFields count="2">
        <textField/>
        <textField/>
      </textFields>
    </textPr>
  </connection>
  <connection id="139" name="furnaselimoeiro-avermelha8" type="6" refreshedVersion="4" background="1">
    <textPr prompt="0" codePage="850" sourceFile="C:\Users\Clarissa\Google Drive\Operacional Statkraft\SAIDAS\20150910\furnaselimoeiro-avermelha.bacia" space="1" consecutive="1">
      <textFields count="2">
        <textField/>
        <textField/>
      </textFields>
    </textPr>
  </connection>
  <connection id="140" name="furnaselimoeiro-avermelha80" type="6" refreshedVersion="4" background="1">
    <textPr prompt="0" codePage="850" sourceFile="C:\Users\Clarissa\Desktop\Operacional Statkraft2\GFS\20150911\furnaselimoeiro-avermelha.bacia" space="1" consecutive="1">
      <textFields count="2">
        <textField/>
        <textField/>
      </textFields>
    </textPr>
  </connection>
  <connection id="141" name="furnaselimoeiro-avermelha9" type="6" refreshedVersion="4" background="1">
    <textPr prompt="0" codePage="850" sourceFile="C:\Users\Clarissa\Google Drive\Operacional Statkraft\SAIDAS\20150911\furnaselimoeiro-avermelha.bacia" space="1" consecutive="1">
      <textFields count="2">
        <textField/>
        <textField/>
      </textFields>
    </textPr>
  </connection>
  <connection id="142" name="grande_d" type="6" refreshedVersion="0" background="1">
    <textPr prompt="0" sourceFile="W:\13. Trading and Origination\13.2 - Market Analysis\P&amp;D\UFF - Cataldi\Planilhas\2015-07-07\SAIDAS\2015070800\grande_d.bacia">
      <textFields>
        <textField/>
      </textFields>
    </textPr>
  </connection>
  <connection id="143" name="itaipu_d" type="6" refreshedVersion="4" background="1">
    <textPr prompt="0" codePage="850" sourceFile="W:\13. Trading and Origination\13.2 - Market Analysis\P&amp;D\UFF - Cataldi\Planilhas\2015-07-07\CHUVA_DE_GRADE\20150708\itaipu_d.bacia" space="1" consecutive="1">
      <textFields count="2">
        <textField/>
        <textField/>
      </textFields>
    </textPr>
  </connection>
  <connection id="144" name="itaipu_d1" type="6" refreshedVersion="4" background="1">
    <textPr prompt="0" codePage="850" sourceFile="W:\13. Trading and Origination\13.2 - Market Analysis\P&amp;D\UFF - Cataldi\Planilhas\2015-07-07\SAIDAS\2015070800\itaipu_d.bacia" space="1" consecutive="1">
      <textFields count="2">
        <textField/>
        <textField/>
      </textFields>
    </textPr>
  </connection>
  <connection id="145" name="itaipu_d10" type="6" refreshedVersion="4" background="1">
    <textPr prompt="0" codePage="850" sourceFile="W:\13. Trading and Origination\13.2 - Market Analysis\Monitoring\Dados_Chuva_Vazao\SAIDAS\2015081000\itaipu_d.bacia" space="1" consecutive="1">
      <textFields count="2">
        <textField/>
        <textField/>
      </textFields>
    </textPr>
  </connection>
  <connection id="146" name="itaipu_d11" type="6" refreshedVersion="4" background="1">
    <textPr prompt="0" codePage="850" sourceFile="W:\13. Trading and Origination\13.2 - Market Analysis\Monitoring\Dados_Chuva_Vazao\CHUVA_DE_GRADE\20150810\itaipu_d.bacia" space="1" consecutive="1">
      <textFields count="2">
        <textField/>
        <textField/>
      </textFields>
    </textPr>
  </connection>
  <connection id="147" name="itaipu_d12" type="6" refreshedVersion="4" background="1">
    <textPr prompt="0" codePage="850" sourceFile="W:\13. Trading and Origination\13.2 - Market Analysis\Monitoring\Dados_Chuva_Vazao\CHUVA_DE_GRADE\20150811\itaipu_d.bacia" space="1" consecutive="1">
      <textFields count="2">
        <textField/>
        <textField/>
      </textFields>
    </textPr>
  </connection>
  <connection id="148" name="itaipu_d13" type="6" refreshedVersion="4" background="1">
    <textPr prompt="0" codePage="850" sourceFile="W:\13. Trading and Origination\13.2 - Market Analysis\Monitoring\Dados_Chuva_Vazao\CHUVA_DE_GRADE\20150811\itaipu_d.bacia" space="1" consecutive="1">
      <textFields count="2">
        <textField/>
        <textField/>
      </textFields>
    </textPr>
  </connection>
  <connection id="149" name="itaipu_d14" type="6" refreshedVersion="4" background="1">
    <textPr prompt="0" codePage="850" sourceFile="W:\13. Trading and Origination\13.2 - Market Analysis\Monitoring\Dados_Chuva_Vazao\SAIDAS\2015081100\itaipu_d.bacia" space="1" consecutive="1">
      <textFields count="2">
        <textField/>
        <textField/>
      </textFields>
    </textPr>
  </connection>
  <connection id="150" name="itaipu_d15" type="6" refreshedVersion="4" background="1">
    <textPr prompt="0" codePage="850" sourceFile="W:\13. Trading and Origination\13.2 - Market Analysis\Monitoring\Dados_Chuva_Vazao\CHUVA_DE_GRADE\20150811\itaipu_d.bacia" space="1" consecutive="1">
      <textFields count="2">
        <textField/>
        <textField/>
      </textFields>
    </textPr>
  </connection>
  <connection id="151" name="itaipu_d16" type="6" refreshedVersion="4" background="1">
    <textPr prompt="0" codePage="850" sourceFile="W:\13. Trading and Origination\13.2 - Market Analysis\Monitoring\Dados_Chuva_Vazao\SAIDAS\2015081100\itaipu_d.bacia" space="1" consecutive="1">
      <textFields count="2">
        <textField/>
        <textField/>
      </textFields>
    </textPr>
  </connection>
  <connection id="152" name="itaipu_d17" type="6" refreshedVersion="4" background="1">
    <textPr prompt="0" codePage="850" sourceFile="W:\13. Trading and Origination\13.2 - Market Analysis\Monitoring\Dados_Chuva_Vazao\CHUVA_DE_GRADE\20150817\itaipu_d.bacia" space="1" consecutive="1">
      <textFields count="2">
        <textField/>
        <textField/>
      </textFields>
    </textPr>
  </connection>
  <connection id="153" name="itaipu_d18" type="6" refreshedVersion="4" background="1">
    <textPr prompt="0" codePage="850" sourceFile="W:\13. Trading and Origination\13.2 - Market Analysis\Monitoring\Dados_Chuva_Vazao\SAIDAS\2015081700\itaipu_d.bacia" space="1" consecutive="1">
      <textFields count="2">
        <textField/>
        <textField/>
      </textFields>
    </textPr>
  </connection>
  <connection id="154" name="itaipu_d2" type="6" refreshedVersion="4" background="1">
    <textPr prompt="0" codePage="850" sourceFile="W:\13. Trading and Origination\13.2 - Market Analysis\P&amp;D\UFF - Cataldi\Planilhas\2015-07-07\CHUVA_DE_GRADE\20150708\itaipu_d.bacia" space="1" consecutive="1">
      <textFields count="2">
        <textField/>
        <textField/>
      </textFields>
    </textPr>
  </connection>
  <connection id="155" name="itaipu_d3" type="6" refreshedVersion="4" background="1">
    <textPr prompt="0" codePage="850" sourceFile="W:\13. Trading and Origination\13.2 - Market Analysis\P&amp;D\UFF - Cataldi\Planilhas\2015-07-07\CHUVA_DE_GRADE\20150708\itaipu_d.bacia" space="1" consecutive="1">
      <textFields count="2">
        <textField/>
        <textField/>
      </textFields>
    </textPr>
  </connection>
  <connection id="156" name="itaipu_d4" type="6" refreshedVersion="4" background="1">
    <textPr prompt="0" codePage="850" sourceFile="C:\Users\Clarissa\Dropbox\P&amp;Ds meus\Statkraft\2015-07-07\2015-07-07\CHUVA_DE_GRADE\20150708\itaipu_d.bacia" decimal="," thousands="." space="1" consecutive="1">
      <textFields count="2">
        <textField/>
        <textField/>
      </textFields>
    </textPr>
  </connection>
  <connection id="157" name="itaipu_d5" type="6" refreshedVersion="4" background="1">
    <textPr prompt="0" codePage="850" sourceFile="C:\Users\Clarissa\Dropbox\P&amp;Ds meus\Statkraft\2015-07-07\2015-07-07\CHUVA_DE_GRADE\20150708\itaipu_d.bacia" decimal="," thousands="." space="1" consecutive="1">
      <textFields count="2">
        <textField/>
        <textField/>
      </textFields>
    </textPr>
  </connection>
  <connection id="158" name="itaipu_d6" type="6" refreshedVersion="4" background="1">
    <textPr prompt="0" codePage="850" sourceFile="C:\Users\Clarissa\Dropbox\P&amp;Ds meus\Statkraft\2015-07-07\2015-07-07\CHUVA_DE_GRADE\20150708\itaipu_d.bacia" decimal="," thousands="." space="1" consecutive="1">
      <textFields count="2">
        <textField/>
        <textField/>
      </textFields>
    </textPr>
  </connection>
  <connection id="159" name="itaipu_d7" type="6" refreshedVersion="4" background="1">
    <textPr prompt="0" codePage="850" sourceFile="C:\Users\Clarissa\Dropbox\P&amp;Ds meus\Statkraft\2015-07-07\2015-07-07\CHUVA_DE_GRADE\20150708\itaipu_d.bacia" decimal="," thousands="." space="1" consecutive="1">
      <textFields count="2">
        <textField/>
        <textField/>
      </textFields>
    </textPr>
  </connection>
  <connection id="160" name="itaipu_d8" type="6" refreshedVersion="4" background="1">
    <textPr prompt="0" codePage="850" sourceFile="W:\13. Trading and Origination\13.2 - Market Analysis\Monitoring\Dados_Chuva_Vazao\CHUVA_DE_GRADE\20150804\itaipu_d.bacia" space="1" consecutive="1">
      <textFields count="2">
        <textField/>
        <textField/>
      </textFields>
    </textPr>
  </connection>
  <connection id="161" name="itaipu_d9" type="6" refreshedVersion="4" background="1">
    <textPr prompt="0" codePage="850" sourceFile="W:\13. Trading and Origination\13.2 - Market Analysis\Monitoring\Dados_Chuva_Vazao\CHUVA_DE_GRADE\20150810\itaipu_d.bacia" space="1" consecutive="1">
      <textFields count="2">
        <textField/>
        <textField/>
      </textFields>
    </textPr>
  </connection>
  <connection id="162" name="itaipu_e" type="6" refreshedVersion="4" background="1">
    <textPr prompt="0" codePage="850" sourceFile="W:\13. Trading and Origination\13.2 - Market Analysis\P&amp;D\UFF - Cataldi\Planilhas\2015-07-07\CHUVA_DE_GRADE\20150708\itaipu_e.bacia" space="1" consecutive="1">
      <textFields count="2">
        <textField/>
        <textField/>
      </textFields>
    </textPr>
  </connection>
  <connection id="163" name="itaipu_e1" type="6" refreshedVersion="4" background="1">
    <textPr prompt="0" codePage="850" sourceFile="W:\13. Trading and Origination\13.2 - Market Analysis\P&amp;D\UFF - Cataldi\Planilhas\2015-07-07\SAIDAS\2015070800\itaipu_e.bacia" space="1" consecutive="1">
      <textFields count="2">
        <textField/>
        <textField/>
      </textFields>
    </textPr>
  </connection>
  <connection id="164" name="itaipu_e10" type="6" refreshedVersion="4" background="1">
    <textPr prompt="0" codePage="850" sourceFile="W:\13. Trading and Origination\13.2 - Market Analysis\Monitoring\Dados_Chuva_Vazao\CHUVA_DE_GRADE\20150804\itaipu_e.bacia" space="1" consecutive="1">
      <textFields count="2">
        <textField/>
        <textField/>
      </textFields>
    </textPr>
  </connection>
  <connection id="165" name="itaipu_e11" type="6" refreshedVersion="4" background="1">
    <textPr prompt="0" codePage="850" sourceFile="W:\13. Trading and Origination\13.2 - Market Analysis\Monitoring\Dados_Chuva_Vazao\CHUVA_DE_GRADE\20150810\itaipu_e.bacia" space="1" consecutive="1">
      <textFields count="2">
        <textField/>
        <textField/>
      </textFields>
    </textPr>
  </connection>
  <connection id="166" name="itaipu_e12" type="6" refreshedVersion="0" background="1">
    <textPr prompt="0" sourceFile="W:\13. Trading and Origination\13.2 - Market Analysis\Monitoring\Dados_Chuva_Vazao\SAIDAS\2015081000\itaipu_e.bacia">
      <textFields>
        <textField/>
      </textFields>
    </textPr>
  </connection>
  <connection id="167" name="itaipu_e13" type="6" refreshedVersion="0" background="1">
    <textPr prompt="0" sourceFile="W:\13. Trading and Origination\13.2 - Market Analysis\Monitoring\Dados_Chuva_Vazao\SAIDAS\2015081000\itaipu_e.bacia">
      <textFields>
        <textField/>
      </textFields>
    </textPr>
  </connection>
  <connection id="168" name="itaipu_e14" type="6" refreshedVersion="4" background="1">
    <textPr prompt="0" codePage="850" sourceFile="W:\13. Trading and Origination\13.2 - Market Analysis\Monitoring\Dados_Chuva_Vazao\SAIDAS\2015081000\itaipu_e.bacia" space="1" consecutive="1">
      <textFields count="2">
        <textField/>
        <textField/>
      </textFields>
    </textPr>
  </connection>
  <connection id="169" name="itaipu_e15" type="6" refreshedVersion="4" background="1">
    <textPr prompt="0" codePage="850" sourceFile="W:\13. Trading and Origination\13.2 - Market Analysis\Monitoring\Dados_Chuva_Vazao\CHUVA_DE_GRADE\20150810\itaipu_e.bacia" space="1" consecutive="1">
      <textFields count="2">
        <textField/>
        <textField/>
      </textFields>
    </textPr>
  </connection>
  <connection id="170" name="itaipu_e16" type="6" refreshedVersion="4" background="1">
    <textPr prompt="0" codePage="850" sourceFile="W:\13. Trading and Origination\13.2 - Market Analysis\Monitoring\Dados_Chuva_Vazao\CHUVA_DE_GRADE\20150811\itaipu_e.bacia" space="1" consecutive="1">
      <textFields count="2">
        <textField/>
        <textField/>
      </textFields>
    </textPr>
  </connection>
  <connection id="171" name="itaipu_e17" type="6" refreshedVersion="4" background="1">
    <textPr prompt="0" codePage="850" sourceFile="W:\13. Trading and Origination\13.2 - Market Analysis\Monitoring\Dados_Chuva_Vazao\CHUVA_DE_GRADE\20150811\itaipu_e.bacia" space="1" consecutive="1">
      <textFields count="2">
        <textField/>
        <textField/>
      </textFields>
    </textPr>
  </connection>
  <connection id="172" name="itaipu_e18" type="6" refreshedVersion="4" background="1">
    <textPr prompt="0" codePage="850" sourceFile="W:\13. Trading and Origination\13.2 - Market Analysis\Monitoring\Dados_Chuva_Vazao\SAIDAS\2015081100\itaipu_e.bacia" space="1" consecutive="1">
      <textFields count="2">
        <textField/>
        <textField/>
      </textFields>
    </textPr>
  </connection>
  <connection id="173" name="itaipu_e19" type="6" refreshedVersion="4" background="1">
    <textPr prompt="0" codePage="850" sourceFile="W:\13. Trading and Origination\13.2 - Market Analysis\Monitoring\Dados_Chuva_Vazao\CHUVA_DE_GRADE\20150811\itaipu_e.bacia" space="1" consecutive="1">
      <textFields count="2">
        <textField/>
        <textField/>
      </textFields>
    </textPr>
  </connection>
  <connection id="174" name="itaipu_e2" type="6" refreshedVersion="4" background="1">
    <textPr prompt="0" codePage="850" sourceFile="W:\13. Trading and Origination\13.2 - Market Analysis\P&amp;D\UFF - Cataldi\Planilhas\2015-07-07\SAIDAS\2015070800\itaipu_e.bacia" space="1" consecutive="1">
      <textFields count="2">
        <textField/>
        <textField/>
      </textFields>
    </textPr>
  </connection>
  <connection id="175" name="itaipu_e20" type="6" refreshedVersion="4" background="1">
    <textPr prompt="0" codePage="850" sourceFile="W:\13. Trading and Origination\13.2 - Market Analysis\Monitoring\Dados_Chuva_Vazao\SAIDAS\2015081100\itaipu_e.bacia" space="1" consecutive="1">
      <textFields count="2">
        <textField/>
        <textField/>
      </textFields>
    </textPr>
  </connection>
  <connection id="176" name="itaipu_e21" type="6" refreshedVersion="4" background="1">
    <textPr prompt="0" codePage="850" sourceFile="W:\13. Trading and Origination\13.2 - Market Analysis\Monitoring\Dados_Chuva_Vazao\CHUVA_DE_GRADE\20150817\itaipu_e.bacia" space="1" consecutive="1">
      <textFields count="2">
        <textField/>
        <textField/>
      </textFields>
    </textPr>
  </connection>
  <connection id="177" name="itaipu_e22" type="6" refreshedVersion="4" background="1">
    <textPr prompt="0" codePage="850" sourceFile="W:\13. Trading and Origination\13.2 - Market Analysis\Monitoring\Dados_Chuva_Vazao\SAIDAS\2015081700\itaipu_e.bacia" space="1" consecutive="1">
      <textFields count="2">
        <textField/>
        <textField/>
      </textFields>
    </textPr>
  </connection>
  <connection id="178" name="itaipu_e3" type="6" refreshedVersion="4" background="1">
    <textPr prompt="0" codePage="850" sourceFile="W:\13. Trading and Origination\13.2 - Market Analysis\P&amp;D\UFF - Cataldi\Planilhas\2015-07-07\CHUVA_DE_GRADE\20150708\itaipu_e.bacia" space="1" consecutive="1">
      <textFields count="2">
        <textField/>
        <textField/>
      </textFields>
    </textPr>
  </connection>
  <connection id="179" name="itaipu_e4" type="6" refreshedVersion="4" background="1">
    <textPr prompt="0" codePage="850" sourceFile="W:\13. Trading and Origination\13.2 - Market Analysis\P&amp;D\UFF - Cataldi\Planilhas\2015-07-07\CHUVA_DE_GRADE\20150708\itaipu_e.bacia" space="1" consecutive="1">
      <textFields count="2">
        <textField/>
        <textField/>
      </textFields>
    </textPr>
  </connection>
  <connection id="180" name="itaipu_e5" type="6" refreshedVersion="4" background="1">
    <textPr prompt="0" codePage="850" sourceFile="C:\Users\Clarissa\Dropbox\P&amp;Ds meus\Statkraft\2015-07-07\2015-07-07\CHUVA_DE_GRADE\20150708\itaipu_e.bacia" decimal="," thousands="." space="1" consecutive="1">
      <textFields count="2">
        <textField/>
        <textField/>
      </textFields>
    </textPr>
  </connection>
  <connection id="181" name="itaipu_e6" type="6" refreshedVersion="4" background="1">
    <textPr prompt="0" codePage="850" sourceFile="C:\Users\Clarissa\Dropbox\P&amp;Ds meus\Statkraft\2015-07-07\2015-07-07\CHUVA_DE_GRADE\20150708\itaipu_e.bacia" decimal="," thousands="." space="1" consecutive="1">
      <textFields count="2">
        <textField/>
        <textField/>
      </textFields>
    </textPr>
  </connection>
  <connection id="182" name="itaipu_e7" type="6" refreshedVersion="4" background="1">
    <textPr prompt="0" codePage="850" sourceFile="C:\Users\Clarissa\Dropbox\P&amp;Ds meus\Statkraft\2015-07-07\2015-07-07\CHUVA_DE_GRADE\20150708\itaipu_e.bacia" decimal="," thousands="." space="1" consecutive="1">
      <textFields count="2">
        <textField/>
        <textField/>
      </textFields>
    </textPr>
  </connection>
  <connection id="183" name="itaipu_e8" type="6" refreshedVersion="4" background="1">
    <textPr prompt="0" codePage="850" sourceFile="C:\Users\Clarissa\Dropbox\P&amp;Ds meus\Statkraft\2015-07-07\2015-07-07\CHUVA_DE_GRADE\20150708\itaipu_e.bacia" decimal="," thousands="." space="1" consecutive="1">
      <textFields count="2">
        <textField/>
        <textField/>
      </textFields>
    </textPr>
  </connection>
  <connection id="184" name="itaipu_e9" type="6" refreshedVersion="4" background="1">
    <textPr prompt="0" codePage="850" sourceFile="C:\Users\Clarissa\Dropbox\P&amp;Ds meus\Statkraft\2015-07-07\2015-07-07\CHUVA_DE_GRADE\20150708\itaipu_e.bacia" decimal="," thousands="." space="1" consecutive="1">
      <textFields count="2">
        <textField/>
        <textField/>
      </textFields>
    </textPr>
  </connection>
  <connection id="185" name="parametros_emborcacao" type="6" refreshedVersion="4" background="1" saveData="1">
    <textPr prompt="0" codePage="850" sourceFile="C:\Users\Clarissa\Dropbox\P&amp;Ds meus\Statkraft\Operacional 1 reservatorio\parametros_emborcacao.txt" decimal="," thousands=".">
      <textFields count="15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186" name="parametros_emborcacao1" type="6" refreshedVersion="4" background="1" saveData="1">
    <textPr prompt="0" codePage="850" sourceFile="C:\Users\Clarissa\Dropbox\P&amp;Ds meus\Statkraft\Operacional 1 reservatorio\parametros_emborcacao.txt" decimal="," thousands=".">
      <textFields count="15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187" name="parametros_emborcacao10" type="6" refreshedVersion="4" background="1" saveData="1">
    <textPr prompt="0" codePage="850" sourceFile="C:\Users\Clarissa\Google Drive\2015-07-07\Calibracoes\parametros_emborcacao.txt">
      <textFields count="15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188" name="parametros_emborcacao2" type="6" refreshedVersion="4" background="1" saveData="1">
    <textPr prompt="0" codePage="850" sourceFile="C:\Users\Clarissa\Dropbox\P&amp;Ds meus\Statkraft\Operacional 1 reservatorio\parametros_emborcacao.txt" decimal="," thousands=".">
      <textFields count="15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189" name="parametros_emborcacao3" type="6" refreshedVersion="4" background="1" saveData="1">
    <textPr prompt="0" codePage="850" sourceFile="C:\Users\Clarissa\Dropbox\Statkraft\paranaiba\Emborcação\parametros_emborcacao.txt" decimal="," thousands=".">
      <textFields count="15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190" name="parametros_emborcacao4" type="6" refreshedVersion="4" background="1" saveData="1">
    <textPr prompt="0" codePage="850" sourceFile="C:\Users\Clarissa\Dropbox\Statkraft\paranaiba\Emborcação\parametros_emborcacao.txt" decimal="," thousands=".">
      <textFields count="15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191" name="parametros_emborcacao5" type="6" refreshedVersion="4" background="1" saveData="1">
    <textPr prompt="0" codePage="850" sourceFile="C:\Users\Clarissa\Google Drive\2015-07-07\Calibrações\parametros_emborcacao.txt" decimal="," thousands=".">
      <textFields count="15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192" name="parametros_emborcacao6" type="6" refreshedVersion="0" background="1">
    <textPr prompt="0" sourceFile="C:\Users\Clarissa\Google Drive\2015-07-07\Calibrações\parametros_emborcacao.txt">
      <textFields>
        <textField/>
      </textFields>
    </textPr>
  </connection>
  <connection id="193" name="parametros_emborcacao7" type="6" refreshedVersion="0" background="1">
    <textPr prompt="0" sourceFile="C:\Users\Clarissa\Google Drive\2015-07-07\Calibrações\parametros_emborcacao.txt">
      <textFields>
        <textField/>
      </textFields>
    </textPr>
  </connection>
  <connection id="194" name="parametros_emborcacao8" type="6" refreshedVersion="4" background="1" saveData="1">
    <textPr prompt="0" codePage="850" sourceFile="C:\Users\Clarissa\Google Drive\2015-07-07\Calibracoes\parametros_emborcacao.txt">
      <textFields count="15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195" name="parametros_emborcacao9" type="6" refreshedVersion="4" background="1" saveData="1">
    <textPr prompt="0" codePage="850" sourceFile="C:\Users\Clarissa\Google Drive\2015-07-07\Calibracoes\parametros_emborcacao.txt">
      <textFields count="15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196" name="parametros_foz_do_areia" type="6" refreshedVersion="4" background="1" saveData="1">
    <textPr prompt="0" codePage="850" sourceFile="C:\Users\Clarissa\Desktop\Operacional Statkraft2\Calibracoes\parametros_foz_do_areia.txt">
      <textFields count="15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197" name="parametros_furnaselimoeiro-avermelha" type="6" refreshedVersion="5" background="1" saveData="1">
    <textPr prompt="0" codePage="850" sourceFile="C:\Users\marcio\Google Drive\Operacional Statkraft\Calibracoes\parametros_furnaselimoeiro-avermelha.txt">
      <textFields count="15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198" name="parametros_furnaselimoeiro-avermelha1" type="6" refreshedVersion="5" background="1" saveData="1">
    <textPr prompt="0" codePage="850" sourceFile="C:\Users\LabMETA02\Google Drive\Operacional Statkraft\Calibracoes\parametros_furnaselimoeiro-avermelha.txt" decimal="," thousands=".">
      <textFields count="15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199" name="parametros_furnaselimoeiro-avermelha2" type="6" refreshedVersion="4" background="1" saveData="1">
    <textPr prompt="0" codePage="850" sourceFile="C:\Users\Clarissa\Desktop\Operacional Statkraft\Calibracoes\parametros_furnaselimoeiro-avermelha.txt">
      <textFields count="15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200" name="parametros_furnaselimoeiro-avermelha3" type="6" refreshedVersion="4" background="1" saveData="1">
    <textPr prompt="0" codePage="850" sourceFile="C:\Users\Clarissa\Desktop\Operacional Statkraft2\Calibracoes\parametros_furnaselimoeiro-avermelha.txt">
      <textFields count="15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201" name="parametros_furnaselimoeiro-avermelha4" type="6" refreshedVersion="4" background="1" saveData="1">
    <textPr prompt="0" codePage="850" sourceFile="C:\Users\Clarissa\Desktop\Operacional Statkraft2\Calibracoes\parametros_furnaselimoeiro-avermelha.txt">
      <textFields count="15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202" name="parametros_itaipu" type="6" refreshedVersion="4" background="1" saveData="1">
    <textPr prompt="0" codePage="850" sourceFile="C:\Users\Clarissa\Dropbox\P&amp;Ds meus\Statkraft\2015-07-07\2015-07-07\parametros_itaipu.txt" decimal="," thousands=".">
      <textFields count="15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203" name="parametros_itaipu1" type="6" refreshedVersion="4" background="1" saveData="1">
    <textPr prompt="0" codePage="850" sourceFile="C:\Users\Clarissa\Dropbox\P&amp;Ds meus\Statkraft\2015-07-07\2015-07-07\parametros_itaipu.txt" decimal="," thousands=".">
      <textFields count="15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204" name="parametros_itaipu2" type="6" refreshedVersion="4" background="1" saveData="1">
    <textPr prompt="0" codePage="850" sourceFile="C:\Users\Clarissa\Dropbox\P&amp;Ds meus\Statkraft\2015-07-07\2015-07-07\parametros_itaipu.txt" decimal="," thousands=".">
      <textFields count="15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205" name="parametros_uruguai" type="6" refreshedVersion="5" background="1" saveData="1">
    <textPr prompt="0" codePage="850" sourceFile="C:\Users\marcio\Google Drive\Operacional Statkraft2\Calibracoes\parametros_uruguai.txt">
      <textFields count="15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206" name="paranaiba" type="6" refreshedVersion="4" background="1">
    <textPr prompt="0" codePage="850" sourceFile="C:\Users\Clarissa\Dropbox\P&amp;Ds meus\Statkraft\2015-07-07\2015-07-07\SAIDAS\2015090100\paranaiba.bacia" decimal="," thousands="." space="1" consecutive="1">
      <textFields count="2">
        <textField/>
        <textField/>
      </textFields>
    </textPr>
  </connection>
  <connection id="207" name="paranaiba1" type="6" refreshedVersion="4" background="1" saveData="1">
    <textPr prompt="0" codePage="850" sourceFile="C:\Users\Clarissa\Google Drive\2015-07-07\CHUVA_DE_GRADE\20150914\paranaiba.bacia" decimal="," thousands="." space="1" consecutive="1">
      <textFields count="2">
        <textField/>
        <textField/>
      </textFields>
    </textPr>
  </connection>
  <connection id="208" name="paranaiba10" type="6" refreshedVersion="4" background="1" saveData="1">
    <textPr prompt="0" codePage="850" sourceFile="C:\Users\Clarissa\Google Drive\2015-07-07\CHUVA_DE_GRADE\20150914\paranaiba.bacia" decimal="," thousands="." space="1" consecutive="1">
      <textFields count="2">
        <textField/>
        <textField/>
      </textFields>
    </textPr>
  </connection>
  <connection id="209" name="paranaiba11" type="6" refreshedVersion="4" background="1">
    <textPr prompt="0" codePage="850" sourceFile="C:\Users\Clarissa\Google Drive\2015-07-07\CHUVA_DE_GRADE\20150914\paranaiba.bacia" decimal="," thousands="." space="1" consecutive="1">
      <textFields count="2">
        <textField/>
        <textField/>
      </textFields>
    </textPr>
  </connection>
  <connection id="210" name="paranaiba12" type="6" refreshedVersion="4" background="1">
    <textPr prompt="0" codePage="850" sourceFile="C:\Users\Clarissa\Google Drive\2015-07-07\CHUVA_DE_GRADE\20150911\paranaiba.bacia" decimal="," thousands="." space="1" consecutive="1">
      <textFields count="2">
        <textField/>
        <textField/>
      </textFields>
    </textPr>
  </connection>
  <connection id="211" name="paranaiba13" type="6" refreshedVersion="0" background="1">
    <textPr prompt="0" sourceFile="C:\Users\Clarissa\Google Drive\2015-07-07\SAIDAS\2015910\paranaiba.bacia" decimal="," thousands=".">
      <textFields>
        <textField/>
      </textFields>
    </textPr>
  </connection>
  <connection id="212" name="paranaiba14" type="6" refreshedVersion="4" background="1">
    <textPr prompt="0" codePage="850" sourceFile="C:\Users\Clarissa\Google Drive\2015-07-07\CHUVA_DE_GRADE\20150911\paranaiba.bacia" decimal="," thousands="." space="1" consecutive="1">
      <textFields count="2">
        <textField/>
        <textField/>
      </textFields>
    </textPr>
  </connection>
  <connection id="213" name="paranaiba15" type="6" refreshedVersion="0" background="1">
    <textPr prompt="0" sourceFile="C:\Users\Clarissa\Google Drive\2015-07-07\SAIDAS\10/09/2015\paranaiba.bacia" decimal="," thousands=".">
      <textFields>
        <textField/>
      </textFields>
    </textPr>
  </connection>
  <connection id="214" name="paranaiba16" type="6" refreshedVersion="4" background="1">
    <textPr prompt="0" codePage="850" sourceFile="C:\Users\Clarissa\Google Drive\2015-07-07\CHUVA_DE_GRADE\20150911\paranaiba.bacia" decimal="," thousands="." space="1" consecutive="1">
      <textFields count="2">
        <textField/>
        <textField/>
      </textFields>
    </textPr>
  </connection>
  <connection id="215" name="paranaiba17" type="6" refreshedVersion="0" background="1">
    <textPr prompt="0" sourceFile="C:\Users\Clarissa\Google Drive\2015-07-07\SAIDAS\20150910\paranaiba.bacia" decimal="," thousands=".">
      <textFields>
        <textField/>
      </textFields>
    </textPr>
  </connection>
  <connection id="216" name="paranaiba18" type="6" refreshedVersion="4" background="1">
    <textPr prompt="0" codePage="850" sourceFile="C:\Users\Clarissa\Google Drive\2015-07-07\CHUVA_DE_GRADE\20150911\paranaiba.bacia" decimal="," thousands="." space="1" consecutive="1">
      <textFields count="2">
        <textField/>
        <textField/>
      </textFields>
    </textPr>
  </connection>
  <connection id="217" name="paranaiba19" type="6" refreshedVersion="4" background="1">
    <textPr prompt="0" codePage="850" sourceFile="C:\Users\Clarissa\Google Drive\2015-07-07\CHUVA_DE_GRADE\20150911\paranaiba.bacia" decimal="," thousands="." space="1" consecutive="1">
      <textFields count="2">
        <textField/>
        <textField/>
      </textFields>
    </textPr>
  </connection>
  <connection id="218" name="paranaiba2" type="6" refreshedVersion="4" background="1">
    <textPr prompt="0" codePage="850" sourceFile="C:\Users\Clarissa\Google Drive\2015-07-07\CHUVA_DE_GRADE\20150914\paranaiba.bacia" decimal="," thousands="." space="1" consecutive="1">
      <textFields count="2">
        <textField/>
        <textField/>
      </textFields>
    </textPr>
  </connection>
  <connection id="219" name="paranaiba20" type="6" refreshedVersion="4" background="1">
    <textPr prompt="0" codePage="850" sourceFile="C:\Users\Clarissa\Google Drive\2015-07-07\CHUVA_DE_GRADE\20150911\paranaiba.bacia" decimal="," thousands="." space="1" consecutive="1">
      <textFields count="2">
        <textField/>
        <textField/>
      </textFields>
    </textPr>
  </connection>
  <connection id="220" name="paranaiba21" type="6" refreshedVersion="4" background="1">
    <textPr prompt="0" codePage="850" sourceFile="C:\Users\Clarissa\Google Drive\2015-07-07\CHUVA_DE_GRADE\20150911\paranaiba.bacia" decimal="," thousands="." space="1" consecutive="1">
      <textFields count="2">
        <textField/>
        <textField/>
      </textFields>
    </textPr>
  </connection>
  <connection id="221" name="paranaiba22" type="6" refreshedVersion="4" background="1">
    <textPr prompt="0" codePage="850" sourceFile="C:\Users\Clarissa\Google Drive\2015-07-07\SAIDAS\2015090900\paranaiba.bacia" decimal="," thousands="." space="1" consecutive="1">
      <textFields count="2">
        <textField/>
        <textField/>
      </textFields>
    </textPr>
  </connection>
  <connection id="222" name="paranaiba23" type="6" refreshedVersion="4" background="1">
    <textPr prompt="0" codePage="850" sourceFile="C:\Users\Clarissa\Google Drive\2015-07-07\CHUVA_DE_GRADE\20150911\paranaiba.bacia" decimal="," thousands="." space="1" consecutive="1">
      <textFields count="2">
        <textField/>
        <textField/>
      </textFields>
    </textPr>
  </connection>
  <connection id="223" name="paranaiba24" type="6" refreshedVersion="4" background="1">
    <textPr prompt="0" codePage="850" sourceFile="C:\Users\Clarissa\Google Drive\2015-07-07\SAIDAS\2015091000\paranaiba.bacia" decimal="," thousands="." space="1" consecutive="1">
      <textFields count="2">
        <textField/>
        <textField/>
      </textFields>
    </textPr>
  </connection>
  <connection id="224" name="paranaiba25" type="6" refreshedVersion="4" background="1">
    <textPr prompt="0" codePage="850" sourceFile="C:\Users\Clarissa\Google Drive\2015-07-07\CHUVA_DE_GRADE\20150911\paranaiba.bacia" decimal="," thousands="." space="1" consecutive="1">
      <textFields count="2">
        <textField/>
        <textField/>
      </textFields>
    </textPr>
  </connection>
  <connection id="225" name="paranaiba26" type="6" refreshedVersion="4" background="1">
    <textPr prompt="0" codePage="850" sourceFile="C:\Users\Clarissa\Google Drive\2015-07-07\CHUVA_DE_GRADE\20150911\paranaiba.bacia" decimal="," thousands="." space="1" consecutive="1">
      <textFields count="2">
        <textField/>
        <textField/>
      </textFields>
    </textPr>
  </connection>
  <connection id="226" name="paranaiba27" type="6" refreshedVersion="4" background="1">
    <textPr prompt="0" codePage="850" sourceFile="C:\Users\Clarissa\Google Drive\2015-07-07\CHUVA_DE_GRADE\20150911\paranaiba.bacia" decimal="," thousands="." space="1" consecutive="1">
      <textFields count="2">
        <textField/>
        <textField/>
      </textFields>
    </textPr>
  </connection>
  <connection id="227" name="paranaiba28" type="6" refreshedVersion="4" background="1">
    <textPr prompt="0" codePage="850" sourceFile="C:\Users\Clarissa\Google Drive\2015-07-07\CHUVA_DE_GRADE\20150911\paranaiba.bacia" decimal="," thousands="." space="1" consecutive="1">
      <textFields count="2">
        <textField/>
        <textField/>
      </textFields>
    </textPr>
  </connection>
  <connection id="228" name="paranaiba29" type="6" refreshedVersion="4" background="1">
    <textPr prompt="0" codePage="850" sourceFile="C:\Users\Clarissa\Google Drive\2015-07-07\SAIDAS\2015090900\paranaiba.bacia" decimal="," thousands="." space="1" consecutive="1">
      <textFields count="2">
        <textField/>
        <textField/>
      </textFields>
    </textPr>
  </connection>
  <connection id="229" name="paranaiba3" type="6" refreshedVersion="4" background="1">
    <textPr prompt="0" codePage="850" sourceFile="C:\Users\Clarissa\Google Drive\2015-07-07\CHUVA_DE_GRADE\20150914\paranaiba.bacia" decimal="," thousands="." space="1" consecutive="1">
      <textFields count="2">
        <textField/>
        <textField/>
      </textFields>
    </textPr>
  </connection>
  <connection id="230" name="paranaiba30" type="6" refreshedVersion="4" background="1">
    <textPr prompt="0" codePage="850" sourceFile="C:\Users\Clarissa\Google Drive\2015-07-07\SAIDAS\2015091000\paranaiba.bacia" decimal="," thousands="." space="1" consecutive="1">
      <textFields count="2">
        <textField/>
        <textField/>
      </textFields>
    </textPr>
  </connection>
  <connection id="231" name="paranaiba31" type="6" refreshedVersion="4" background="1">
    <textPr prompt="0" codePage="850" sourceFile="C:\Users\Clarissa\Google Drive\2015-07-07\CHUVA_DE_GRADE\20150911\paranaiba.bacia" decimal="," thousands="." space="1" consecutive="1">
      <textFields count="2">
        <textField/>
        <textField/>
      </textFields>
    </textPr>
  </connection>
  <connection id="232" name="paranaiba32" type="6" refreshedVersion="4" background="1">
    <textPr prompt="0" codePage="850" sourceFile="C:\Users\Clarissa\Google Drive\2015-07-07\SAIDAS\2015091000\paranaiba.bacia" decimal="," thousands="." space="1" consecutive="1">
      <textFields count="2">
        <textField/>
        <textField/>
      </textFields>
    </textPr>
  </connection>
  <connection id="233" name="paranaiba33" type="6" refreshedVersion="4" background="1">
    <textPr prompt="0" codePage="850" sourceFile="C:\Users\Clarissa\Google Drive\2015-07-07\CHUVA_DE_GRADE\20150911\paranaiba.bacia" decimal="," thousands="." space="1" consecutive="1">
      <textFields count="2">
        <textField/>
        <textField/>
      </textFields>
    </textPr>
  </connection>
  <connection id="234" name="paranaiba34" type="6" refreshedVersion="4" background="1">
    <textPr prompt="0" codePage="850" sourceFile="C:\Users\Clarissa\Google Drive\2015-07-07\CHUVA_DE_GRADE\20150911\paranaiba.bacia" decimal="," thousands="." space="1" consecutive="1">
      <textFields count="2">
        <textField/>
        <textField/>
      </textFields>
    </textPr>
  </connection>
  <connection id="235" name="paranaiba35" type="6" refreshedVersion="4" background="1">
    <textPr prompt="0" codePage="850" sourceFile="C:\Users\Clarissa\Google Drive\2015-07-07\CHUVA_DE_GRADE\20150911\paranaiba.bacia" decimal="," thousands="." space="1" consecutive="1">
      <textFields count="2">
        <textField/>
        <textField/>
      </textFields>
    </textPr>
  </connection>
  <connection id="236" name="paranaiba36" type="6" refreshedVersion="4" background="1">
    <textPr prompt="0" codePage="850" sourceFile="C:\Users\Clarissa\Google Drive\2015-07-07\SAIDAS\2015090900\paranaiba.bacia" decimal="," thousands="." space="1" consecutive="1">
      <textFields count="2">
        <textField/>
        <textField/>
      </textFields>
    </textPr>
  </connection>
  <connection id="237" name="paranaiba37" type="6" refreshedVersion="4" background="1">
    <textPr prompt="0" codePage="850" sourceFile="C:\Users\Clarissa\Google Drive\2015-07-07\SAIDAS\2015091000\paranaiba.bacia" decimal="," thousands="." space="1" consecutive="1">
      <textFields count="2">
        <textField/>
        <textField/>
      </textFields>
    </textPr>
  </connection>
  <connection id="238" name="paranaiba38" type="6" refreshedVersion="4" background="1">
    <textPr prompt="0" codePage="850" sourceFile="C:\Users\Clarissa\Google Drive\2015-07-07\CHUVA_DE_GRADE\20150911\paranaiba.bacia" decimal="," thousands="." space="1" consecutive="1">
      <textFields count="2">
        <textField/>
        <textField/>
      </textFields>
    </textPr>
  </connection>
  <connection id="239" name="paranaiba39" type="6" refreshedVersion="4" background="1">
    <textPr prompt="0" codePage="850" sourceFile="C:\Users\Clarissa\Google Drive\2015-07-07\SAIDAS\2015091000\paranaiba.bacia" decimal="," thousands="." space="1" consecutive="1">
      <textFields count="2">
        <textField/>
        <textField/>
      </textFields>
    </textPr>
  </connection>
  <connection id="240" name="paranaiba4" type="6" refreshedVersion="4" background="1">
    <textPr prompt="0" codePage="850" sourceFile="C:\Users\Clarissa\Google Drive\2015-07-07\CHUVA_DE_GRADE\20150914\paranaiba.bacia" decimal="," thousands="." space="1" consecutive="1">
      <textFields count="2">
        <textField/>
        <textField/>
      </textFields>
    </textPr>
  </connection>
  <connection id="241" name="paranaiba40" type="6" refreshedVersion="4" background="1">
    <textPr prompt="0" codePage="850" sourceFile="C:\Users\Clarissa\Google Drive\2015-07-07\CHUVA_DE_GRADE\20150911\paranaiba.bacia" decimal="," thousands="." space="1" consecutive="1">
      <textFields count="2">
        <textField/>
        <textField/>
      </textFields>
    </textPr>
  </connection>
  <connection id="242" name="paranaiba41" type="6" refreshedVersion="4" background="1">
    <textPr prompt="0" codePage="850" sourceFile="C:\Users\Clarissa\Google Drive\2015-07-07\CHUVA_DE_GRADE\20150911\paranaiba.bacia" decimal="," thousands="." space="1" consecutive="1">
      <textFields count="2">
        <textField/>
        <textField/>
      </textFields>
    </textPr>
  </connection>
  <connection id="243" name="paranaiba42" type="6" refreshedVersion="4" background="1">
    <textPr prompt="0" codePage="850" sourceFile="C:\Users\Clarissa\Google Drive\2015-07-07\CHUVA_DE_GRADE\20150911\paranaiba.bacia" decimal="," thousands="." space="1" consecutive="1">
      <textFields count="2">
        <textField/>
        <textField/>
      </textFields>
    </textPr>
  </connection>
  <connection id="244" name="paranaiba43" type="6" refreshedVersion="4" background="1">
    <textPr prompt="0" codePage="850" sourceFile="C:\Users\Clarissa\Google Drive\2015-07-07\SAIDAS\2015090900\paranaiba.bacia" decimal="," thousands="." space="1" consecutive="1">
      <textFields count="2">
        <textField/>
        <textField/>
      </textFields>
    </textPr>
  </connection>
  <connection id="245" name="paranaiba44" type="6" refreshedVersion="4" background="1">
    <textPr prompt="0" codePage="850" sourceFile="C:\Users\Clarissa\Google Drive\2015-07-07\CHUVA_DE_GRADE\20150911\paranaiba.bacia" decimal="," thousands="." space="1" consecutive="1">
      <textFields count="2">
        <textField/>
        <textField/>
      </textFields>
    </textPr>
  </connection>
  <connection id="246" name="paranaiba45" type="6" refreshedVersion="4" background="1">
    <textPr prompt="0" codePage="850" sourceFile="C:\Users\Clarissa\Google Drive\2015-07-07\SAIDAS\2015090900\paranaiba.bacia" decimal="," thousands="." space="1" consecutive="1">
      <textFields count="2">
        <textField/>
        <textField/>
      </textFields>
    </textPr>
  </connection>
  <connection id="247" name="paranaiba46" type="6" refreshedVersion="4" background="1">
    <textPr prompt="0" codePage="850" sourceFile="C:\Users\Clarissa\Google Drive\2015-07-07\SAIDAS\2015091000\paranaiba.bacia" decimal="," thousands="." space="1" consecutive="1">
      <textFields count="2">
        <textField/>
        <textField/>
      </textFields>
    </textPr>
  </connection>
  <connection id="248" name="paranaiba47" type="6" refreshedVersion="4" background="1">
    <textPr prompt="0" codePage="850" sourceFile="C:\Users\Clarissa\Google Drive\2015-07-07\CHUVA_DE_GRADE\20150911\paranaiba.bacia" decimal="," thousands="." space="1" consecutive="1">
      <textFields count="2">
        <textField/>
        <textField/>
      </textFields>
    </textPr>
  </connection>
  <connection id="249" name="paranaiba48" type="6" refreshedVersion="4" background="1">
    <textPr prompt="0" codePage="850" sourceFile="C:\Users\Clarissa\Google Drive\2015-07-07\SAIDAS\2015090900\paranaiba.bacia" decimal="," thousands="." space="1" consecutive="1">
      <textFields count="2">
        <textField/>
        <textField/>
      </textFields>
    </textPr>
  </connection>
  <connection id="250" name="paranaiba49" type="6" refreshedVersion="4" background="1">
    <textPr prompt="0" codePage="850" sourceFile="C:\Users\Clarissa\Google Drive\2015-07-07\SAIDAS\2015091000\paranaiba.bacia" decimal="," thousands="." space="1" consecutive="1">
      <textFields count="2">
        <textField/>
        <textField/>
      </textFields>
    </textPr>
  </connection>
  <connection id="251" name="paranaiba5" type="6" refreshedVersion="4" background="1">
    <textPr prompt="0" codePage="850" sourceFile="C:\Users\Clarissa\Google Drive\2015-07-07\CHUVA_DE_GRADE\20150914\paranaiba.bacia" decimal="," thousands="." space="1" consecutive="1">
      <textFields count="2">
        <textField/>
        <textField/>
      </textFields>
    </textPr>
  </connection>
  <connection id="252" name="paranaiba50" type="6" refreshedVersion="4" background="1">
    <textPr prompt="0" codePage="850" sourceFile="C:\Users\Clarissa\Google Drive\2015-07-07\CHUVA_DE_GRADE\20150911\paranaiba.bacia" decimal="," thousands="." space="1" consecutive="1">
      <textFields count="2">
        <textField/>
        <textField/>
      </textFields>
    </textPr>
  </connection>
  <connection id="253" name="paranaiba51" type="6" refreshedVersion="4" background="1">
    <textPr prompt="0" codePage="850" sourceFile="C:\Users\Clarissa\Google Drive\2015-07-07\SAIDAS\2015090900\paranaiba.bacia" decimal="," thousands="." space="1" consecutive="1">
      <textFields count="2">
        <textField/>
        <textField/>
      </textFields>
    </textPr>
  </connection>
  <connection id="254" name="paranaiba52" type="6" refreshedVersion="4" background="1">
    <textPr prompt="0" codePage="850" sourceFile="C:\Users\Clarissa\Google Drive\2015-07-07\CHUVA_DE_GRADE\20150911\paranaiba.bacia" decimal="," thousands="." space="1" consecutive="1">
      <textFields count="2">
        <textField/>
        <textField/>
      </textFields>
    </textPr>
  </connection>
  <connection id="255" name="paranaiba53" type="6" refreshedVersion="4" background="1">
    <textPr prompt="0" codePage="850" sourceFile="C:\Users\Clarissa\Google Drive\2015-07-07\SAIDAS\2015090900\paranaiba.bacia" decimal="," thousands="." space="1" consecutive="1">
      <textFields count="2">
        <textField/>
        <textField/>
      </textFields>
    </textPr>
  </connection>
  <connection id="256" name="paranaiba54" type="6" refreshedVersion="4" background="1">
    <textPr prompt="0" codePage="850" sourceFile="C:\Users\Clarissa\Google Drive\2015-07-07\SAIDAS\2015091000\paranaiba.bacia" decimal="," thousands="." space="1" consecutive="1">
      <textFields count="2">
        <textField/>
        <textField/>
      </textFields>
    </textPr>
  </connection>
  <connection id="257" name="paranaiba55" type="6" refreshedVersion="0" background="1">
    <textPr prompt="0" sourceFile="C:\Users\Clarissa\Google Drive\2015-07-07\SAIDAS\00\paranaiba.bacia" decimal="," thousands=".">
      <textFields>
        <textField/>
      </textFields>
    </textPr>
  </connection>
  <connection id="258" name="paranaiba56" type="6" refreshedVersion="4" background="1">
    <textPr prompt="0" codePage="850" sourceFile="C:\Users\Clarissa\Google Drive\2015-07-07\SAIDAS\2015091100\paranaiba.bacia" decimal="," thousands="." space="1" consecutive="1">
      <textFields count="2">
        <textField/>
        <textField/>
      </textFields>
    </textPr>
  </connection>
  <connection id="259" name="paranaiba57" type="6" refreshedVersion="4" background="1">
    <textPr prompt="0" codePage="850" sourceFile="C:\Users\Clarissa\Google Drive\2015-07-07\SAIDAS\2015091100\paranaiba.bacia" decimal="," thousands="." space="1" consecutive="1">
      <textFields count="2">
        <textField/>
        <textField/>
      </textFields>
    </textPr>
  </connection>
  <connection id="260" name="paranaiba58" type="6" refreshedVersion="4" background="1">
    <textPr prompt="0" codePage="850" sourceFile="C:\Users\Clarissa\Google Drive\2015-07-07\SAIDAS\2015091100\paranaiba.bacia" decimal="," thousands="." space="1" consecutive="1">
      <textFields count="2">
        <textField/>
        <textField/>
      </textFields>
    </textPr>
  </connection>
  <connection id="261" name="paranaiba59" type="6" refreshedVersion="4" background="1">
    <textPr prompt="0" codePage="850" sourceFile="C:\Users\Clarissa\Google Drive\2015-07-07\SAIDAS\2015091100\paranaiba.bacia" decimal="," thousands="." space="1" consecutive="1">
      <textFields count="2">
        <textField/>
        <textField/>
      </textFields>
    </textPr>
  </connection>
  <connection id="262" name="paranaiba6" type="6" refreshedVersion="4" background="1">
    <textPr prompt="0" codePage="850" sourceFile="C:\Users\Clarissa\Google Drive\2015-07-07\CHUVA_DE_GRADE\20150914\paranaiba.bacia" decimal="," thousands="." space="1" consecutive="1">
      <textFields count="2">
        <textField/>
        <textField/>
      </textFields>
    </textPr>
  </connection>
  <connection id="263" name="paranaiba60" type="6" refreshedVersion="4" background="1">
    <textPr prompt="0" codePage="850" sourceFile="C:\Users\Clarissa\Google Drive\2015-07-07\CHUVA_DE_GRADE\20150911\paranaiba.bacia" decimal="," thousands="." space="1" consecutive="1">
      <textFields count="2">
        <textField/>
        <textField/>
      </textFields>
    </textPr>
  </connection>
  <connection id="264" name="paranaiba61" type="6" refreshedVersion="4" background="1">
    <textPr prompt="0" codePage="850" sourceFile="C:\Users\Clarissa\Google Drive\2015-07-07\SAIDAS\2015090900\paranaiba.bacia" decimal="," thousands="." space="1" consecutive="1">
      <textFields count="2">
        <textField/>
        <textField/>
      </textFields>
    </textPr>
  </connection>
  <connection id="265" name="paranaiba62" type="6" refreshedVersion="4" background="1">
    <textPr prompt="0" codePage="850" sourceFile="C:\Users\Clarissa\Google Drive\2015-07-07\SAIDAS\2015091000\paranaiba.bacia" decimal="," thousands="." space="1" consecutive="1">
      <textFields count="2">
        <textField/>
        <textField/>
      </textFields>
    </textPr>
  </connection>
  <connection id="266" name="paranaiba63" type="6" refreshedVersion="4" background="1">
    <textPr prompt="0" codePage="850" sourceFile="C:\Users\Clarissa\Google Drive\2015-07-07\SAIDAS\2015091100\paranaiba.bacia" decimal="," thousands="." space="1" consecutive="1">
      <textFields count="2">
        <textField/>
        <textField/>
      </textFields>
    </textPr>
  </connection>
  <connection id="267" name="paranaiba64" type="6" refreshedVersion="4" background="1">
    <textPr prompt="0" codePage="850" sourceFile="C:\Users\Clarissa\Google Drive\2015-07-07\CHUVA_DE_GRADE\20150911\paranaiba.bacia" decimal="," thousands="." space="1" consecutive="1">
      <textFields count="2">
        <textField/>
        <textField/>
      </textFields>
    </textPr>
  </connection>
  <connection id="268" name="paranaiba65" type="6" refreshedVersion="4" background="1">
    <textPr prompt="0" codePage="850" sourceFile="C:\Users\Clarissa\Google Drive\2015-07-07\SAIDAS\2015090900\paranaiba.bacia" decimal="," thousands="." space="1" consecutive="1">
      <textFields count="2">
        <textField/>
        <textField/>
      </textFields>
    </textPr>
  </connection>
  <connection id="269" name="paranaiba66" type="6" refreshedVersion="4" background="1">
    <textPr prompt="0" codePage="850" sourceFile="C:\Users\Clarissa\Google Drive\2015-07-07\SAIDAS\2015091000\paranaiba.bacia" decimal="," thousands="." space="1" consecutive="1">
      <textFields count="2">
        <textField/>
        <textField/>
      </textFields>
    </textPr>
  </connection>
  <connection id="270" name="paranaiba7" type="6" refreshedVersion="4" background="1">
    <textPr prompt="0" codePage="850" sourceFile="C:\Users\Clarissa\Google Drive\2015-07-07\CHUVA_DE_GRADE\20150914\paranaiba.bacia" decimal="," thousands="." space="1" consecutive="1">
      <textFields count="2">
        <textField/>
        <textField/>
      </textFields>
    </textPr>
  </connection>
  <connection id="271" name="paranaiba8" type="6" refreshedVersion="4" background="1">
    <textPr prompt="0" codePage="850" sourceFile="C:\Users\Clarissa\Google Drive\2015-07-07\CHUVA_DE_GRADE\20150914\paranaiba.bacia" decimal="," thousands="." space="1" consecutive="1">
      <textFields count="2">
        <textField/>
        <textField/>
      </textFields>
    </textPr>
  </connection>
  <connection id="272" name="paranaiba9" type="6" refreshedVersion="4" background="1">
    <textPr prompt="0" codePage="850" sourceFile="C:\Users\Clarissa\Google Drive\2015-07-07\CHUVA_DE_GRADE\20150914\paranaiba.bacia" decimal="," thousands="." space="1" consecutive="1">
      <textFields count="2">
        <textField/>
        <textField/>
      </textFields>
    </textPr>
  </connection>
</connections>
</file>

<file path=xl/sharedStrings.xml><?xml version="1.0" encoding="utf-8"?>
<sst xmlns="http://schemas.openxmlformats.org/spreadsheetml/2006/main" count="515" uniqueCount="161">
  <si>
    <t>Chuva</t>
  </si>
  <si>
    <t>Vazão</t>
  </si>
  <si>
    <t>Evaporação</t>
  </si>
  <si>
    <t>Potencial</t>
  </si>
  <si>
    <t>média</t>
  </si>
  <si>
    <t>Erro</t>
  </si>
  <si>
    <t>quadratico</t>
  </si>
  <si>
    <t>km2</t>
  </si>
  <si>
    <t>Ad=</t>
  </si>
  <si>
    <t>anual</t>
  </si>
  <si>
    <t>(mm/mês)</t>
  </si>
  <si>
    <t>m3/s</t>
  </si>
  <si>
    <t>Rsolo</t>
  </si>
  <si>
    <t>tu</t>
  </si>
  <si>
    <t>dsol</t>
  </si>
  <si>
    <t>k</t>
  </si>
  <si>
    <t>tu0</t>
  </si>
  <si>
    <t>es</t>
  </si>
  <si>
    <t>er</t>
  </si>
  <si>
    <t>rec</t>
  </si>
  <si>
    <t>rsub</t>
  </si>
  <si>
    <t>eb</t>
  </si>
  <si>
    <t>calculada</t>
  </si>
  <si>
    <t>tuin</t>
  </si>
  <si>
    <t>ebin</t>
  </si>
  <si>
    <t>observada</t>
  </si>
  <si>
    <t>Inicialização</t>
  </si>
  <si>
    <t>Dados</t>
  </si>
  <si>
    <t>0,1&lt;10</t>
  </si>
  <si>
    <t>0&lt;70</t>
  </si>
  <si>
    <t>1&lt;6</t>
  </si>
  <si>
    <t>valores</t>
  </si>
  <si>
    <t>fornecidos</t>
  </si>
  <si>
    <t>em azul</t>
  </si>
  <si>
    <t>Parâmetros</t>
  </si>
  <si>
    <t>C.Eficiencia</t>
  </si>
  <si>
    <t>C.C.Massa</t>
  </si>
  <si>
    <t>VT</t>
  </si>
  <si>
    <t>VN</t>
  </si>
  <si>
    <t>Sign</t>
  </si>
  <si>
    <t>Test</t>
  </si>
  <si>
    <t>Sign Test</t>
  </si>
  <si>
    <t>Curva de Massa</t>
  </si>
  <si>
    <t>%</t>
  </si>
  <si>
    <t>relativo</t>
  </si>
  <si>
    <t>Erro R.Q.</t>
  </si>
  <si>
    <t>Soma</t>
  </si>
  <si>
    <t>400&lt;2000</t>
  </si>
  <si>
    <t>Str</t>
  </si>
  <si>
    <t>dia</t>
  </si>
  <si>
    <t>k2t</t>
  </si>
  <si>
    <t>peso</t>
  </si>
  <si>
    <t>Capc</t>
  </si>
  <si>
    <t>Ponderada</t>
  </si>
  <si>
    <t>P1</t>
  </si>
  <si>
    <t>P2</t>
  </si>
  <si>
    <t>P3</t>
  </si>
  <si>
    <t>P4</t>
  </si>
  <si>
    <t>P5</t>
  </si>
  <si>
    <t>P6</t>
  </si>
  <si>
    <t>P7</t>
  </si>
  <si>
    <t>P8</t>
  </si>
  <si>
    <t>P9</t>
  </si>
  <si>
    <t>P10</t>
  </si>
  <si>
    <t>P11</t>
  </si>
  <si>
    <t>P12</t>
  </si>
  <si>
    <t>P13</t>
  </si>
  <si>
    <t>P14</t>
  </si>
  <si>
    <t>P15</t>
  </si>
  <si>
    <t>Distribuição temporal das chuvas</t>
  </si>
  <si>
    <t xml:space="preserve">Rio Grande - Água Vermelha </t>
  </si>
  <si>
    <t>jan</t>
  </si>
  <si>
    <t>fev</t>
  </si>
  <si>
    <t>mar</t>
  </si>
  <si>
    <t>abr</t>
  </si>
  <si>
    <t>mai</t>
  </si>
  <si>
    <t>jun</t>
  </si>
  <si>
    <t>jul</t>
  </si>
  <si>
    <t>ago</t>
  </si>
  <si>
    <t>set</t>
  </si>
  <si>
    <t>out</t>
  </si>
  <si>
    <t>nov</t>
  </si>
  <si>
    <t>dez</t>
  </si>
  <si>
    <t>ecof</t>
  </si>
  <si>
    <t>Des Padrão</t>
  </si>
  <si>
    <t>teor de umidade inicial</t>
  </si>
  <si>
    <t>teor de umidade</t>
  </si>
  <si>
    <t>escoamento superficial</t>
  </si>
  <si>
    <t>escoamento de base</t>
  </si>
  <si>
    <t>COEF. PRECIPITAÇÃO</t>
  </si>
  <si>
    <t>chuva média</t>
  </si>
  <si>
    <t>obs</t>
  </si>
  <si>
    <t>fator</t>
  </si>
  <si>
    <t>sat</t>
  </si>
  <si>
    <t>crec</t>
  </si>
  <si>
    <t>ai</t>
  </si>
  <si>
    <t>capc</t>
  </si>
  <si>
    <t>kkt</t>
  </si>
  <si>
    <t>ed</t>
  </si>
  <si>
    <t>(mm/dia)</t>
  </si>
  <si>
    <t>tot / med</t>
  </si>
  <si>
    <t>Diária</t>
  </si>
  <si>
    <t>Área de Drenagem</t>
  </si>
  <si>
    <t>Rsup</t>
  </si>
  <si>
    <t>H</t>
  </si>
  <si>
    <t>Marg</t>
  </si>
  <si>
    <t>Rsup2</t>
  </si>
  <si>
    <t>k1t</t>
  </si>
  <si>
    <t>Ed2</t>
  </si>
  <si>
    <t>k3t</t>
  </si>
  <si>
    <t>Rsub</t>
  </si>
  <si>
    <t>ESQUERDA</t>
  </si>
  <si>
    <t>Atualizar só as células com fundo verde</t>
  </si>
  <si>
    <t>Chuva Prevista</t>
  </si>
  <si>
    <t>Vazão observada</t>
  </si>
  <si>
    <t>Chuva observada</t>
  </si>
  <si>
    <t>ETA</t>
  </si>
  <si>
    <t>GFS</t>
  </si>
  <si>
    <t>CFS</t>
  </si>
  <si>
    <t>Coeficientes para chuva perfeita</t>
  </si>
  <si>
    <t>.</t>
  </si>
  <si>
    <t>Q obs</t>
  </si>
  <si>
    <t>Q calc</t>
  </si>
  <si>
    <t>ebin:</t>
  </si>
  <si>
    <t>tuin:</t>
  </si>
  <si>
    <t>Previsão:</t>
  </si>
  <si>
    <t>Chuva Perfeita:</t>
  </si>
  <si>
    <t>Inicialização:</t>
  </si>
  <si>
    <t>Carregar previsões de chuva:</t>
  </si>
  <si>
    <t>Carregar dados observados:</t>
  </si>
  <si>
    <t>Atualizar data:</t>
  </si>
  <si>
    <t>Data</t>
  </si>
  <si>
    <t>Vazão_prev</t>
  </si>
  <si>
    <t>Data Rodada</t>
  </si>
  <si>
    <t>Posto</t>
  </si>
  <si>
    <t xml:space="preserve">               --&gt; Caso a calibração tenha sido refeita</t>
  </si>
  <si>
    <t>Parametros</t>
  </si>
  <si>
    <t>Temporais</t>
  </si>
  <si>
    <t>Rsup:</t>
  </si>
  <si>
    <t>quadrático</t>
  </si>
  <si>
    <t>Relativo</t>
  </si>
  <si>
    <t>m³/s</t>
  </si>
  <si>
    <t>Chuva distribuída (mm/dia)</t>
  </si>
  <si>
    <t>Reservatório do solo</t>
  </si>
  <si>
    <t>Reservatório
superficial</t>
  </si>
  <si>
    <t>Reservatório
subterrâneo</t>
  </si>
  <si>
    <t>Reservatório
superficial 2</t>
  </si>
  <si>
    <t xml:space="preserve">Coef Eficiência = </t>
  </si>
  <si>
    <t>Chuva prev</t>
  </si>
  <si>
    <t>OBS</t>
  </si>
  <si>
    <t>C.PERF</t>
  </si>
  <si>
    <t>Area de drenagem</t>
  </si>
  <si>
    <t>ETP</t>
  </si>
  <si>
    <t>Auxiliar</t>
  </si>
  <si>
    <t>Salvar e fechar:</t>
  </si>
  <si>
    <t>NomeBacia =</t>
  </si>
  <si>
    <t>Posto =</t>
  </si>
  <si>
    <t>Coef</t>
  </si>
  <si>
    <t>Q_final</t>
  </si>
  <si>
    <t>uruguai</t>
  </si>
  <si>
    <t>Espaciais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</si>
</sst>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8">
    <numFmt numFmtId="164" formatCode="0.0"/>
    <numFmt numFmtId="165" formatCode="0.000"/>
    <numFmt numFmtId="166" formatCode="0.0000"/>
    <numFmt numFmtId="167" formatCode="0.00000"/>
    <numFmt numFmtId="168" formatCode="0.000000"/>
    <numFmt numFmtId="169" formatCode="0\ &quot;km²&quot;"/>
    <numFmt numFmtId="170" formatCode="0.0%"/>
    <numFmt numFmtId="171" formatCode="yyyymmdd"/>
  </numFmts>
  <fonts count="28" x14ac:knownFonts="1">
    <font>
      <sz val="10"/>
      <name val="Arial"/>
    </font>
    <font>
      <sz val="10"/>
      <name val="Arial"/>
      <family val="2"/>
    </font>
    <font>
      <sz val="8"/>
      <name val="Arial"/>
      <family val="2"/>
    </font>
    <font>
      <sz val="10"/>
      <name val="Arial"/>
      <family val="2"/>
    </font>
    <font>
      <sz val="10"/>
      <color indexed="8"/>
      <name val="Arial"/>
      <family val="2"/>
    </font>
    <font>
      <sz val="12"/>
      <color indexed="8"/>
      <name val="Times New Roman"/>
      <family val="1"/>
    </font>
    <font>
      <sz val="10"/>
      <color theme="3"/>
      <name val="Arial"/>
      <family val="2"/>
    </font>
    <font>
      <sz val="8"/>
      <color theme="0" tint="-0.249977111117893"/>
      <name val="Arial"/>
      <family val="2"/>
    </font>
    <font>
      <b/>
      <sz val="12"/>
      <name val="Arial"/>
      <family val="2"/>
    </font>
    <font>
      <b/>
      <sz val="18"/>
      <name val="Arial"/>
      <family val="2"/>
    </font>
    <font>
      <sz val="10"/>
      <color rgb="FF92D050"/>
      <name val="Arial"/>
      <family val="2"/>
    </font>
    <font>
      <sz val="10"/>
      <color theme="1"/>
      <name val="Arial"/>
      <family val="2"/>
    </font>
    <font>
      <b/>
      <sz val="10"/>
      <name val="Arial"/>
      <family val="2"/>
    </font>
    <font>
      <u/>
      <sz val="10"/>
      <color theme="10"/>
      <name val="Arial"/>
      <family val="2"/>
    </font>
    <font>
      <u/>
      <sz val="10"/>
      <color theme="11"/>
      <name val="Arial"/>
      <family val="2"/>
    </font>
    <font>
      <sz val="10"/>
      <color indexed="10"/>
      <name val="Arial"/>
      <family val="2"/>
    </font>
    <font>
      <i/>
      <sz val="10"/>
      <name val="Arial"/>
      <family val="2"/>
    </font>
    <font>
      <b/>
      <i/>
      <sz val="10"/>
      <name val="Arial"/>
      <family val="2"/>
    </font>
    <font>
      <sz val="7"/>
      <name val="Arial"/>
      <family val="2"/>
    </font>
    <font>
      <sz val="8"/>
      <color theme="9" tint="-0.249977111117893"/>
      <name val="Arial"/>
      <family val="2"/>
    </font>
    <font>
      <sz val="10"/>
      <color rgb="FFFF0000"/>
      <name val="Arial"/>
      <family val="2"/>
    </font>
    <font>
      <b/>
      <sz val="14"/>
      <name val="Arial"/>
      <family val="2"/>
    </font>
    <font>
      <sz val="10"/>
      <color theme="0"/>
      <name val="Arial"/>
      <family val="2"/>
    </font>
    <font>
      <b/>
      <sz val="10"/>
      <color theme="0"/>
      <name val="Arial"/>
      <family val="2"/>
    </font>
    <font>
      <b/>
      <sz val="10"/>
      <name val="Arial"/>
      <family val="2"/>
    </font>
    <font>
      <sz val="9"/>
      <color theme="9" tint="-0.249977111117893"/>
      <name val="Arial"/>
      <family val="2"/>
    </font>
    <font>
      <b/>
      <sz val="10"/>
      <name val="Arial"/>
      <family val="2"/>
    </font>
    <font>
      <b/>
      <sz val="10"/>
      <name val="Arial"/>
      <family val="2"/>
    </font>
  </fonts>
  <fills count="35">
    <fill>
      <patternFill patternType="none"/>
    </fill>
    <fill>
      <patternFill patternType="gray125"/>
    </fill>
    <fill>
      <patternFill patternType="solid">
        <fgColor indexed="27"/>
        <bgColor indexed="64"/>
      </patternFill>
    </fill>
    <fill>
      <patternFill patternType="solid">
        <fgColor indexed="26"/>
        <bgColor indexed="64"/>
      </patternFill>
    </fill>
    <fill>
      <patternFill patternType="solid">
        <fgColor indexed="46"/>
        <bgColor indexed="64"/>
      </patternFill>
    </fill>
    <fill>
      <patternFill patternType="solid">
        <fgColor indexed="29"/>
        <bgColor indexed="64"/>
      </patternFill>
    </fill>
    <fill>
      <patternFill patternType="solid">
        <fgColor indexed="43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rgb="FFCC99FF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FF505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rgb="FF21FFC4"/>
        <bgColor indexed="64"/>
      </patternFill>
    </fill>
    <fill>
      <patternFill patternType="solid">
        <fgColor theme="9" tint="-0.249977111117893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theme="3" tint="0.59999389629810485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rgb="FFCCFF99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rgb="FFFFFF99"/>
        <bgColor indexed="64"/>
      </patternFill>
    </fill>
    <fill>
      <patternFill patternType="solid">
        <fgColor theme="0" tint="-0.14999847407452621"/>
        <bgColor indexed="64"/>
      </patternFill>
    </fill>
  </fills>
  <borders count="58">
    <border>
      <left/>
      <right/>
      <top/>
      <bottom/>
      <diagonal/>
    </border>
    <border>
      <left style="thin">
        <color auto="1"/>
      </left>
      <right/>
      <top style="thin">
        <color auto="1"/>
      </top>
      <bottom/>
      <diagonal/>
    </border>
    <border>
      <left/>
      <right/>
      <top style="thin">
        <color auto="1"/>
      </top>
      <bottom/>
      <diagonal/>
    </border>
    <border>
      <left/>
      <right style="thin">
        <color auto="1"/>
      </right>
      <top style="thin">
        <color auto="1"/>
      </top>
      <bottom/>
      <diagonal/>
    </border>
    <border>
      <left style="thin">
        <color auto="1"/>
      </left>
      <right/>
      <top/>
      <bottom/>
      <diagonal/>
    </border>
    <border>
      <left/>
      <right style="thin">
        <color auto="1"/>
      </right>
      <top/>
      <bottom/>
      <diagonal/>
    </border>
    <border>
      <left style="thin">
        <color auto="1"/>
      </left>
      <right/>
      <top/>
      <bottom style="thin">
        <color auto="1"/>
      </bottom>
      <diagonal/>
    </border>
    <border>
      <left/>
      <right/>
      <top/>
      <bottom style="thin">
        <color auto="1"/>
      </bottom>
      <diagonal/>
    </border>
    <border>
      <left/>
      <right style="thin">
        <color auto="1"/>
      </right>
      <top/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/>
      <right style="medium">
        <color auto="1"/>
      </right>
      <top style="thin">
        <color auto="1"/>
      </top>
      <bottom style="thin">
        <color auto="1"/>
      </bottom>
      <diagonal/>
    </border>
    <border>
      <left style="medium">
        <color auto="1"/>
      </left>
      <right style="medium">
        <color auto="1"/>
      </right>
      <top style="thin">
        <color auto="1"/>
      </top>
      <bottom style="thin">
        <color auto="1"/>
      </bottom>
      <diagonal/>
    </border>
    <border>
      <left style="medium">
        <color auto="1"/>
      </left>
      <right style="thick">
        <color auto="1"/>
      </right>
      <top style="thin">
        <color auto="1"/>
      </top>
      <bottom style="thin">
        <color auto="1"/>
      </bottom>
      <diagonal/>
    </border>
    <border>
      <left/>
      <right style="medium">
        <color auto="1"/>
      </right>
      <top style="thin">
        <color auto="1"/>
      </top>
      <bottom style="thick">
        <color auto="1"/>
      </bottom>
      <diagonal/>
    </border>
    <border>
      <left style="medium">
        <color auto="1"/>
      </left>
      <right style="medium">
        <color auto="1"/>
      </right>
      <top style="thin">
        <color auto="1"/>
      </top>
      <bottom style="thick">
        <color auto="1"/>
      </bottom>
      <diagonal/>
    </border>
    <border>
      <left style="medium">
        <color auto="1"/>
      </left>
      <right style="thick">
        <color auto="1"/>
      </right>
      <top style="thin">
        <color auto="1"/>
      </top>
      <bottom style="thick">
        <color auto="1"/>
      </bottom>
      <diagonal/>
    </border>
    <border>
      <left/>
      <right style="medium">
        <color auto="1"/>
      </right>
      <top style="thick">
        <color auto="1"/>
      </top>
      <bottom style="thin">
        <color auto="1"/>
      </bottom>
      <diagonal/>
    </border>
    <border>
      <left style="medium">
        <color auto="1"/>
      </left>
      <right style="medium">
        <color auto="1"/>
      </right>
      <top style="thick">
        <color auto="1"/>
      </top>
      <bottom style="thin">
        <color auto="1"/>
      </bottom>
      <diagonal/>
    </border>
    <border>
      <left style="medium">
        <color auto="1"/>
      </left>
      <right style="thick">
        <color auto="1"/>
      </right>
      <top style="thick">
        <color auto="1"/>
      </top>
      <bottom style="thin">
        <color auto="1"/>
      </bottom>
      <diagonal/>
    </border>
    <border>
      <left/>
      <right style="medium">
        <color auto="1"/>
      </right>
      <top style="thin">
        <color auto="1"/>
      </top>
      <bottom/>
      <diagonal/>
    </border>
    <border>
      <left style="medium">
        <color auto="1"/>
      </left>
      <right style="medium">
        <color auto="1"/>
      </right>
      <top style="thin">
        <color auto="1"/>
      </top>
      <bottom/>
      <diagonal/>
    </border>
    <border>
      <left style="medium">
        <color auto="1"/>
      </left>
      <right style="thick">
        <color auto="1"/>
      </right>
      <top style="thin">
        <color auto="1"/>
      </top>
      <bottom/>
      <diagonal/>
    </border>
    <border>
      <left style="medium">
        <color auto="1"/>
      </left>
      <right style="thin">
        <color auto="1"/>
      </right>
      <top style="medium">
        <color auto="1"/>
      </top>
      <bottom style="thin">
        <color auto="1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thin">
        <color auto="1"/>
      </left>
      <right style="medium">
        <color indexed="64"/>
      </right>
      <top style="thin">
        <color auto="1"/>
      </top>
      <bottom/>
      <diagonal/>
    </border>
    <border>
      <left style="thin">
        <color auto="1"/>
      </left>
      <right style="medium">
        <color indexed="64"/>
      </right>
      <top style="medium">
        <color indexed="64"/>
      </top>
      <bottom style="thin">
        <color auto="1"/>
      </bottom>
      <diagonal/>
    </border>
    <border>
      <left style="thin">
        <color auto="1"/>
      </left>
      <right style="medium">
        <color indexed="64"/>
      </right>
      <top style="thin">
        <color auto="1"/>
      </top>
      <bottom style="medium">
        <color indexed="64"/>
      </bottom>
      <diagonal/>
    </border>
    <border>
      <left style="thin">
        <color indexed="64"/>
      </left>
      <right style="thin">
        <color auto="1"/>
      </right>
      <top style="thin">
        <color auto="1"/>
      </top>
      <bottom style="medium">
        <color auto="1"/>
      </bottom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auto="1"/>
      </right>
      <top style="medium">
        <color auto="1"/>
      </top>
      <bottom style="thin">
        <color auto="1"/>
      </bottom>
      <diagonal/>
    </border>
    <border>
      <left/>
      <right style="thin">
        <color auto="1"/>
      </right>
      <top style="medium">
        <color auto="1"/>
      </top>
      <bottom style="thin">
        <color auto="1"/>
      </bottom>
      <diagonal/>
    </border>
    <border>
      <left style="medium">
        <color auto="1"/>
      </left>
      <right/>
      <top style="medium">
        <color auto="1"/>
      </top>
      <bottom style="thin">
        <color auto="1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thin">
        <color auto="1"/>
      </left>
      <right style="thin">
        <color indexed="64"/>
      </right>
      <top/>
      <bottom/>
      <diagonal/>
    </border>
    <border>
      <left style="medium">
        <color indexed="64"/>
      </left>
      <right style="thin">
        <color auto="1"/>
      </right>
      <top style="thin">
        <color auto="1"/>
      </top>
      <bottom/>
      <diagonal/>
    </border>
    <border>
      <left/>
      <right style="medium">
        <color indexed="64"/>
      </right>
      <top/>
      <bottom style="thin">
        <color auto="1"/>
      </bottom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thin">
        <color auto="1"/>
      </left>
      <right style="medium">
        <color indexed="64"/>
      </right>
      <top/>
      <bottom/>
      <diagonal/>
    </border>
    <border>
      <left style="thin">
        <color auto="1"/>
      </left>
      <right style="medium">
        <color indexed="64"/>
      </right>
      <top/>
      <bottom style="thin">
        <color auto="1"/>
      </bottom>
      <diagonal/>
    </border>
    <border>
      <left style="medium">
        <color indexed="64"/>
      </left>
      <right style="thin">
        <color auto="1"/>
      </right>
      <top/>
      <bottom style="thin">
        <color auto="1"/>
      </bottom>
      <diagonal/>
    </border>
    <border>
      <left style="medium">
        <color indexed="64"/>
      </left>
      <right style="thin">
        <color auto="1"/>
      </right>
      <top/>
      <bottom style="medium">
        <color indexed="64"/>
      </bottom>
      <diagonal/>
    </border>
  </borders>
  <cellStyleXfs count="26">
    <xf numFmtId="0" fontId="0" fillId="0" borderId="0"/>
    <xf numFmtId="0" fontId="4" fillId="0" borderId="0"/>
    <xf numFmtId="9" fontId="1" fillId="0" borderId="0" applyFont="0" applyFill="0" applyBorder="0" applyAlignment="0" applyProtection="0"/>
    <xf numFmtId="0" fontId="13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" fillId="0" borderId="0"/>
    <xf numFmtId="0" fontId="13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4" fillId="0" borderId="0" applyNumberFormat="0" applyFill="0" applyBorder="0" applyAlignment="0" applyProtection="0"/>
  </cellStyleXfs>
  <cellXfs count="411">
    <xf numFmtId="0" fontId="0" fillId="0" borderId="0" xfId="0"/>
    <xf numFmtId="0" fontId="0" fillId="2" borderId="0" xfId="0" applyFill="1"/>
    <xf numFmtId="0" fontId="0" fillId="0" borderId="0" xfId="0" applyAlignment="1">
      <alignment horizontal="right"/>
    </xf>
    <xf numFmtId="0" fontId="0" fillId="3" borderId="0" xfId="0" applyFill="1"/>
    <xf numFmtId="164" fontId="0" fillId="0" borderId="0" xfId="0" applyNumberFormat="1"/>
    <xf numFmtId="165" fontId="0" fillId="0" borderId="0" xfId="0" applyNumberFormat="1"/>
    <xf numFmtId="1" fontId="0" fillId="3" borderId="0" xfId="0" applyNumberFormat="1" applyFill="1"/>
    <xf numFmtId="1" fontId="0" fillId="0" borderId="0" xfId="0" applyNumberFormat="1"/>
    <xf numFmtId="2" fontId="0" fillId="0" borderId="0" xfId="0" applyNumberFormat="1"/>
    <xf numFmtId="2" fontId="0" fillId="3" borderId="0" xfId="0" applyNumberFormat="1" applyFill="1"/>
    <xf numFmtId="0" fontId="0" fillId="0" borderId="1" xfId="0" applyBorder="1"/>
    <xf numFmtId="0" fontId="0" fillId="0" borderId="2" xfId="0" applyBorder="1"/>
    <xf numFmtId="0" fontId="0" fillId="0" borderId="3" xfId="0" applyBorder="1"/>
    <xf numFmtId="0" fontId="0" fillId="0" borderId="4" xfId="0" applyBorder="1"/>
    <xf numFmtId="0" fontId="0" fillId="0" borderId="5" xfId="0" applyBorder="1"/>
    <xf numFmtId="0" fontId="0" fillId="0" borderId="6" xfId="0" applyBorder="1"/>
    <xf numFmtId="0" fontId="0" fillId="0" borderId="7" xfId="0" applyBorder="1"/>
    <xf numFmtId="0" fontId="0" fillId="0" borderId="8" xfId="0" applyBorder="1"/>
    <xf numFmtId="0" fontId="0" fillId="2" borderId="1" xfId="0" applyFill="1" applyBorder="1"/>
    <xf numFmtId="0" fontId="0" fillId="2" borderId="4" xfId="0" applyFill="1" applyBorder="1"/>
    <xf numFmtId="0" fontId="0" fillId="2" borderId="6" xfId="0" applyFill="1" applyBorder="1"/>
    <xf numFmtId="0" fontId="0" fillId="2" borderId="2" xfId="0" applyFill="1" applyBorder="1"/>
    <xf numFmtId="0" fontId="0" fillId="0" borderId="9" xfId="0" applyBorder="1" applyAlignment="1">
      <alignment horizontal="right"/>
    </xf>
    <xf numFmtId="0" fontId="0" fillId="0" borderId="10" xfId="0" applyBorder="1"/>
    <xf numFmtId="0" fontId="2" fillId="0" borderId="2" xfId="0" applyFont="1" applyBorder="1"/>
    <xf numFmtId="0" fontId="2" fillId="0" borderId="3" xfId="0" applyFont="1" applyBorder="1"/>
    <xf numFmtId="0" fontId="2" fillId="0" borderId="0" xfId="0" applyFont="1" applyBorder="1"/>
    <xf numFmtId="0" fontId="2" fillId="0" borderId="5" xfId="0" applyFont="1" applyBorder="1"/>
    <xf numFmtId="0" fontId="2" fillId="0" borderId="7" xfId="0" applyFont="1" applyBorder="1"/>
    <xf numFmtId="0" fontId="2" fillId="0" borderId="8" xfId="0" applyFont="1" applyBorder="1"/>
    <xf numFmtId="166" fontId="0" fillId="0" borderId="11" xfId="0" applyNumberFormat="1" applyBorder="1"/>
    <xf numFmtId="166" fontId="0" fillId="0" borderId="0" xfId="0" applyNumberFormat="1" applyBorder="1"/>
    <xf numFmtId="166" fontId="0" fillId="0" borderId="12" xfId="0" applyNumberFormat="1" applyBorder="1"/>
    <xf numFmtId="2" fontId="0" fillId="0" borderId="0" xfId="0" applyNumberFormat="1" applyAlignment="1">
      <alignment horizontal="center"/>
    </xf>
    <xf numFmtId="166" fontId="0" fillId="0" borderId="0" xfId="0" applyNumberFormat="1" applyAlignment="1">
      <alignment horizontal="center"/>
    </xf>
    <xf numFmtId="166" fontId="0" fillId="0" borderId="1" xfId="0" applyNumberFormat="1" applyBorder="1"/>
    <xf numFmtId="166" fontId="0" fillId="0" borderId="3" xfId="0" applyNumberFormat="1" applyBorder="1"/>
    <xf numFmtId="166" fontId="0" fillId="0" borderId="0" xfId="0" applyNumberFormat="1"/>
    <xf numFmtId="1" fontId="0" fillId="3" borderId="6" xfId="0" applyNumberFormat="1" applyFill="1" applyBorder="1"/>
    <xf numFmtId="1" fontId="0" fillId="3" borderId="8" xfId="0" applyNumberFormat="1" applyFill="1" applyBorder="1"/>
    <xf numFmtId="1" fontId="0" fillId="3" borderId="0" xfId="0" applyNumberFormat="1" applyFill="1" applyAlignment="1">
      <alignment horizontal="right"/>
    </xf>
    <xf numFmtId="167" fontId="0" fillId="0" borderId="0" xfId="0" applyNumberFormat="1" applyAlignment="1">
      <alignment horizontal="center"/>
    </xf>
    <xf numFmtId="1" fontId="0" fillId="0" borderId="0" xfId="0" applyNumberFormat="1" applyAlignment="1">
      <alignment horizontal="right"/>
    </xf>
    <xf numFmtId="166" fontId="0" fillId="0" borderId="4" xfId="0" applyNumberFormat="1" applyBorder="1"/>
    <xf numFmtId="166" fontId="0" fillId="0" borderId="5" xfId="0" applyNumberFormat="1" applyBorder="1"/>
    <xf numFmtId="0" fontId="0" fillId="0" borderId="0" xfId="0" applyBorder="1"/>
    <xf numFmtId="165" fontId="0" fillId="0" borderId="7" xfId="0" applyNumberFormat="1" applyFill="1" applyBorder="1"/>
    <xf numFmtId="1" fontId="0" fillId="0" borderId="5" xfId="0" applyNumberFormat="1" applyBorder="1"/>
    <xf numFmtId="0" fontId="0" fillId="0" borderId="6" xfId="0" applyFill="1" applyBorder="1" applyAlignment="1">
      <alignment horizontal="left"/>
    </xf>
    <xf numFmtId="0" fontId="0" fillId="0" borderId="0" xfId="0" applyAlignment="1">
      <alignment horizontal="center"/>
    </xf>
    <xf numFmtId="1" fontId="0" fillId="0" borderId="8" xfId="0" applyNumberFormat="1" applyBorder="1"/>
    <xf numFmtId="2" fontId="0" fillId="2" borderId="0" xfId="0" applyNumberFormat="1" applyFill="1"/>
    <xf numFmtId="1" fontId="3" fillId="0" borderId="0" xfId="0" applyNumberFormat="1" applyFont="1"/>
    <xf numFmtId="0" fontId="3" fillId="0" borderId="0" xfId="0" applyFont="1"/>
    <xf numFmtId="0" fontId="0" fillId="4" borderId="0" xfId="0" applyFill="1" applyAlignment="1">
      <alignment horizontal="right"/>
    </xf>
    <xf numFmtId="0" fontId="0" fillId="4" borderId="13" xfId="0" applyFill="1" applyBorder="1"/>
    <xf numFmtId="17" fontId="5" fillId="0" borderId="14" xfId="1" applyNumberFormat="1" applyFont="1" applyFill="1" applyBorder="1" applyAlignment="1">
      <alignment horizontal="center" wrapText="1"/>
    </xf>
    <xf numFmtId="2" fontId="3" fillId="5" borderId="0" xfId="0" applyNumberFormat="1" applyFont="1" applyFill="1" applyAlignment="1">
      <alignment horizontal="center"/>
    </xf>
    <xf numFmtId="0" fontId="3" fillId="2" borderId="0" xfId="0" applyFont="1" applyFill="1"/>
    <xf numFmtId="1" fontId="0" fillId="5" borderId="2" xfId="0" applyNumberFormat="1" applyFill="1" applyBorder="1"/>
    <xf numFmtId="165" fontId="0" fillId="5" borderId="0" xfId="0" applyNumberFormat="1" applyFill="1" applyBorder="1"/>
    <xf numFmtId="2" fontId="0" fillId="5" borderId="0" xfId="0" applyNumberFormat="1" applyFill="1" applyBorder="1"/>
    <xf numFmtId="1" fontId="0" fillId="0" borderId="0" xfId="0" applyNumberFormat="1" applyBorder="1"/>
    <xf numFmtId="164" fontId="0" fillId="0" borderId="15" xfId="0" applyNumberFormat="1" applyFill="1" applyBorder="1" applyAlignment="1">
      <alignment vertical="center"/>
    </xf>
    <xf numFmtId="164" fontId="0" fillId="0" borderId="16" xfId="0" applyNumberFormat="1" applyFill="1" applyBorder="1" applyAlignment="1">
      <alignment vertical="center"/>
    </xf>
    <xf numFmtId="164" fontId="0" fillId="0" borderId="17" xfId="0" applyNumberFormat="1" applyFill="1" applyBorder="1" applyAlignment="1">
      <alignment vertical="center"/>
    </xf>
    <xf numFmtId="164" fontId="0" fillId="0" borderId="18" xfId="0" applyNumberFormat="1" applyFill="1" applyBorder="1" applyAlignment="1">
      <alignment vertical="center"/>
    </xf>
    <xf numFmtId="164" fontId="0" fillId="0" borderId="19" xfId="0" applyNumberFormat="1" applyFill="1" applyBorder="1" applyAlignment="1">
      <alignment vertical="center"/>
    </xf>
    <xf numFmtId="164" fontId="0" fillId="0" borderId="20" xfId="0" applyNumberFormat="1" applyFill="1" applyBorder="1" applyAlignment="1">
      <alignment vertical="center"/>
    </xf>
    <xf numFmtId="164" fontId="0" fillId="0" borderId="21" xfId="0" applyNumberFormat="1" applyFill="1" applyBorder="1" applyAlignment="1">
      <alignment vertical="center"/>
    </xf>
    <xf numFmtId="164" fontId="0" fillId="0" borderId="22" xfId="0" applyNumberFormat="1" applyFill="1" applyBorder="1" applyAlignment="1">
      <alignment vertical="center"/>
    </xf>
    <xf numFmtId="164" fontId="0" fillId="0" borderId="23" xfId="0" applyNumberFormat="1" applyFill="1" applyBorder="1" applyAlignment="1">
      <alignment vertical="center"/>
    </xf>
    <xf numFmtId="0" fontId="0" fillId="0" borderId="0" xfId="0" applyAlignment="1">
      <alignment wrapText="1"/>
    </xf>
    <xf numFmtId="0" fontId="3" fillId="0" borderId="0" xfId="0" applyFont="1" applyAlignment="1">
      <alignment wrapText="1"/>
    </xf>
    <xf numFmtId="0" fontId="2" fillId="0" borderId="0" xfId="0" applyFont="1" applyFill="1" applyBorder="1" applyAlignment="1">
      <alignment wrapText="1"/>
    </xf>
    <xf numFmtId="0" fontId="0" fillId="0" borderId="0" xfId="0" applyAlignment="1">
      <alignment horizontal="center" wrapText="1"/>
    </xf>
    <xf numFmtId="1" fontId="3" fillId="0" borderId="6" xfId="0" applyNumberFormat="1" applyFont="1" applyBorder="1" applyAlignment="1">
      <alignment wrapText="1"/>
    </xf>
    <xf numFmtId="1" fontId="0" fillId="0" borderId="7" xfId="0" applyNumberFormat="1" applyBorder="1" applyAlignment="1">
      <alignment wrapText="1"/>
    </xf>
    <xf numFmtId="9" fontId="1" fillId="0" borderId="8" xfId="2" applyBorder="1" applyAlignment="1">
      <alignment wrapText="1"/>
    </xf>
    <xf numFmtId="9" fontId="1" fillId="0" borderId="0" xfId="2" applyBorder="1" applyAlignment="1">
      <alignment wrapText="1"/>
    </xf>
    <xf numFmtId="2" fontId="0" fillId="6" borderId="0" xfId="0" applyNumberFormat="1" applyFill="1" applyAlignment="1">
      <alignment wrapText="1"/>
    </xf>
    <xf numFmtId="1" fontId="0" fillId="0" borderId="6" xfId="0" applyNumberFormat="1" applyBorder="1" applyAlignment="1">
      <alignment wrapText="1"/>
    </xf>
    <xf numFmtId="2" fontId="0" fillId="0" borderId="0" xfId="0" applyNumberFormat="1" applyFill="1" applyAlignment="1">
      <alignment wrapText="1"/>
    </xf>
    <xf numFmtId="1" fontId="0" fillId="0" borderId="0" xfId="0" applyNumberFormat="1" applyFill="1" applyAlignment="1">
      <alignment wrapText="1"/>
    </xf>
    <xf numFmtId="1" fontId="3" fillId="0" borderId="6" xfId="0" applyNumberFormat="1" applyFont="1" applyFill="1" applyBorder="1" applyAlignment="1">
      <alignment wrapText="1"/>
    </xf>
    <xf numFmtId="1" fontId="0" fillId="0" borderId="7" xfId="0" applyNumberFormat="1" applyFill="1" applyBorder="1" applyAlignment="1">
      <alignment wrapText="1"/>
    </xf>
    <xf numFmtId="9" fontId="1" fillId="0" borderId="8" xfId="2" applyFill="1" applyBorder="1" applyAlignment="1">
      <alignment wrapText="1"/>
    </xf>
    <xf numFmtId="9" fontId="1" fillId="0" borderId="0" xfId="2" applyFill="1" applyBorder="1" applyAlignment="1">
      <alignment wrapText="1"/>
    </xf>
    <xf numFmtId="1" fontId="0" fillId="3" borderId="0" xfId="0" applyNumberFormat="1" applyFill="1" applyAlignment="1">
      <alignment horizontal="right" wrapText="1"/>
    </xf>
    <xf numFmtId="1" fontId="0" fillId="3" borderId="0" xfId="0" applyNumberFormat="1" applyFill="1" applyAlignment="1">
      <alignment wrapText="1"/>
    </xf>
    <xf numFmtId="2" fontId="0" fillId="3" borderId="0" xfId="0" applyNumberFormat="1" applyFill="1" applyAlignment="1">
      <alignment wrapText="1"/>
    </xf>
    <xf numFmtId="1" fontId="0" fillId="3" borderId="6" xfId="0" applyNumberFormat="1" applyFill="1" applyBorder="1" applyAlignment="1">
      <alignment wrapText="1"/>
    </xf>
    <xf numFmtId="1" fontId="0" fillId="3" borderId="7" xfId="0" applyNumberFormat="1" applyFill="1" applyBorder="1" applyAlignment="1">
      <alignment wrapText="1"/>
    </xf>
    <xf numFmtId="1" fontId="0" fillId="0" borderId="0" xfId="0" applyNumberFormat="1" applyAlignment="1">
      <alignment wrapText="1"/>
    </xf>
    <xf numFmtId="9" fontId="1" fillId="0" borderId="0" xfId="2" applyAlignment="1">
      <alignment wrapText="1"/>
    </xf>
    <xf numFmtId="164" fontId="0" fillId="0" borderId="0" xfId="0" applyNumberFormat="1" applyAlignment="1">
      <alignment wrapText="1"/>
    </xf>
    <xf numFmtId="1" fontId="3" fillId="8" borderId="0" xfId="0" applyNumberFormat="1" applyFont="1" applyFill="1" applyAlignment="1">
      <alignment wrapText="1"/>
    </xf>
    <xf numFmtId="164" fontId="0" fillId="7" borderId="0" xfId="0" applyNumberFormat="1" applyFill="1" applyAlignment="1">
      <alignment wrapText="1"/>
    </xf>
    <xf numFmtId="2" fontId="0" fillId="0" borderId="0" xfId="0" applyNumberFormat="1" applyAlignment="1">
      <alignment wrapText="1"/>
    </xf>
    <xf numFmtId="164" fontId="0" fillId="0" borderId="24" xfId="0" applyNumberFormat="1" applyFill="1" applyBorder="1" applyAlignment="1">
      <alignment vertical="center"/>
    </xf>
    <xf numFmtId="164" fontId="0" fillId="0" borderId="25" xfId="0" applyNumberFormat="1" applyFill="1" applyBorder="1" applyAlignment="1">
      <alignment vertical="center"/>
    </xf>
    <xf numFmtId="164" fontId="0" fillId="0" borderId="26" xfId="0" applyNumberFormat="1" applyFill="1" applyBorder="1" applyAlignment="1">
      <alignment vertical="center"/>
    </xf>
    <xf numFmtId="17" fontId="5" fillId="0" borderId="0" xfId="1" applyNumberFormat="1" applyFont="1" applyFill="1" applyBorder="1" applyAlignment="1">
      <alignment horizontal="center" wrapText="1"/>
    </xf>
    <xf numFmtId="164" fontId="0" fillId="0" borderId="0" xfId="0" applyNumberFormat="1" applyFill="1" applyBorder="1" applyAlignment="1">
      <alignment vertical="center"/>
    </xf>
    <xf numFmtId="0" fontId="0" fillId="0" borderId="0" xfId="0" applyFill="1" applyBorder="1" applyAlignment="1">
      <alignment horizontal="right"/>
    </xf>
    <xf numFmtId="0" fontId="1" fillId="0" borderId="0" xfId="0" applyFont="1"/>
    <xf numFmtId="17" fontId="0" fillId="0" borderId="0" xfId="0" applyNumberFormat="1"/>
    <xf numFmtId="0" fontId="0" fillId="9" borderId="0" xfId="0" applyFill="1"/>
    <xf numFmtId="17" fontId="6" fillId="10" borderId="0" xfId="0" applyNumberFormat="1" applyFont="1" applyFill="1"/>
    <xf numFmtId="0" fontId="6" fillId="10" borderId="0" xfId="0" applyFont="1" applyFill="1" applyAlignment="1">
      <alignment horizontal="center" vertical="center"/>
    </xf>
    <xf numFmtId="164" fontId="6" fillId="10" borderId="0" xfId="0" applyNumberFormat="1" applyFont="1" applyFill="1" applyAlignment="1">
      <alignment horizontal="center" wrapText="1"/>
    </xf>
    <xf numFmtId="9" fontId="7" fillId="0" borderId="0" xfId="0" applyNumberFormat="1" applyFont="1"/>
    <xf numFmtId="0" fontId="8" fillId="11" borderId="0" xfId="0" applyFont="1" applyFill="1"/>
    <xf numFmtId="9" fontId="9" fillId="11" borderId="0" xfId="0" applyNumberFormat="1" applyFont="1" applyFill="1"/>
    <xf numFmtId="0" fontId="0" fillId="0" borderId="0" xfId="0" applyFill="1" applyAlignment="1">
      <alignment horizontal="right"/>
    </xf>
    <xf numFmtId="0" fontId="0" fillId="0" borderId="0" xfId="0" applyFill="1"/>
    <xf numFmtId="0" fontId="8" fillId="0" borderId="0" xfId="0" applyFont="1" applyFill="1"/>
    <xf numFmtId="1" fontId="0" fillId="0" borderId="0" xfId="0" applyNumberFormat="1" applyFill="1" applyAlignment="1">
      <alignment horizontal="right"/>
    </xf>
    <xf numFmtId="1" fontId="1" fillId="3" borderId="0" xfId="0" applyNumberFormat="1" applyFont="1" applyFill="1"/>
    <xf numFmtId="1" fontId="1" fillId="0" borderId="0" xfId="0" applyNumberFormat="1" applyFont="1" applyFill="1" applyAlignment="1">
      <alignment horizontal="right"/>
    </xf>
    <xf numFmtId="1" fontId="10" fillId="0" borderId="0" xfId="0" applyNumberFormat="1" applyFont="1" applyAlignment="1">
      <alignment wrapText="1"/>
    </xf>
    <xf numFmtId="0" fontId="11" fillId="12" borderId="0" xfId="0" applyFont="1" applyFill="1"/>
    <xf numFmtId="2" fontId="0" fillId="5" borderId="0" xfId="0" applyNumberFormat="1" applyFill="1" applyBorder="1" applyAlignment="1">
      <alignment horizontal="center" vertical="center"/>
    </xf>
    <xf numFmtId="2" fontId="0" fillId="2" borderId="0" xfId="0" applyNumberFormat="1" applyFill="1" applyBorder="1" applyAlignment="1">
      <alignment horizontal="center" vertical="center"/>
    </xf>
    <xf numFmtId="0" fontId="0" fillId="14" borderId="27" xfId="0" applyFill="1" applyBorder="1" applyAlignment="1">
      <alignment horizontal="center" vertical="center"/>
    </xf>
    <xf numFmtId="0" fontId="0" fillId="0" borderId="0" xfId="0" applyAlignment="1">
      <alignment horizontal="center" vertical="center"/>
    </xf>
    <xf numFmtId="14" fontId="0" fillId="0" borderId="0" xfId="0" applyNumberFormat="1" applyFill="1" applyAlignment="1">
      <alignment horizontal="center" vertical="center"/>
    </xf>
    <xf numFmtId="2" fontId="0" fillId="13" borderId="0" xfId="0" applyNumberFormat="1" applyFill="1" applyAlignment="1">
      <alignment horizontal="center" vertical="center"/>
    </xf>
    <xf numFmtId="0" fontId="0" fillId="9" borderId="31" xfId="0" applyFill="1" applyBorder="1" applyAlignment="1">
      <alignment horizontal="center" vertical="center"/>
    </xf>
    <xf numFmtId="0" fontId="0" fillId="9" borderId="0" xfId="0" applyFill="1" applyBorder="1" applyAlignment="1">
      <alignment horizontal="center" vertical="center"/>
    </xf>
    <xf numFmtId="0" fontId="0" fillId="9" borderId="33" xfId="0" applyFill="1" applyBorder="1" applyAlignment="1">
      <alignment horizontal="center" vertical="center"/>
    </xf>
    <xf numFmtId="0" fontId="0" fillId="9" borderId="34" xfId="0" applyFill="1" applyBorder="1" applyAlignment="1">
      <alignment horizontal="center" vertical="center"/>
    </xf>
    <xf numFmtId="1" fontId="0" fillId="0" borderId="0" xfId="0" applyNumberFormat="1" applyAlignment="1">
      <alignment horizontal="center" vertical="center"/>
    </xf>
    <xf numFmtId="1" fontId="0" fillId="0" borderId="6" xfId="0" applyNumberFormat="1" applyBorder="1" applyAlignment="1">
      <alignment horizontal="center" vertical="center" wrapText="1"/>
    </xf>
    <xf numFmtId="0" fontId="18" fillId="0" borderId="0" xfId="0" applyFont="1" applyFill="1" applyAlignment="1">
      <alignment horizontal="center" vertical="center" wrapText="1"/>
    </xf>
    <xf numFmtId="0" fontId="19" fillId="19" borderId="0" xfId="0" applyFont="1" applyFill="1" applyAlignment="1">
      <alignment horizontal="center" vertical="center"/>
    </xf>
    <xf numFmtId="0" fontId="0" fillId="0" borderId="0" xfId="0" applyBorder="1" applyAlignment="1">
      <alignment horizontal="center" vertical="center"/>
    </xf>
    <xf numFmtId="2" fontId="0" fillId="0" borderId="0" xfId="0" applyNumberFormat="1" applyFill="1" applyBorder="1" applyAlignment="1">
      <alignment horizontal="center" vertical="center"/>
    </xf>
    <xf numFmtId="164" fontId="0" fillId="15" borderId="0" xfId="0" applyNumberFormat="1" applyFill="1" applyBorder="1" applyAlignment="1">
      <alignment horizontal="center" vertical="center"/>
    </xf>
    <xf numFmtId="164" fontId="0" fillId="0" borderId="0" xfId="0" applyNumberFormat="1" applyFill="1" applyAlignment="1">
      <alignment horizontal="center" vertical="center" wrapText="1"/>
    </xf>
    <xf numFmtId="2" fontId="0" fillId="0" borderId="0" xfId="0" applyNumberFormat="1" applyBorder="1" applyAlignment="1">
      <alignment horizontal="center" vertical="center"/>
    </xf>
    <xf numFmtId="0" fontId="0" fillId="18" borderId="0" xfId="0" applyFill="1" applyBorder="1" applyAlignment="1">
      <alignment horizontal="center" vertical="center"/>
    </xf>
    <xf numFmtId="0" fontId="19" fillId="19" borderId="0" xfId="0" applyFont="1" applyFill="1" applyBorder="1" applyAlignment="1">
      <alignment horizontal="center" vertical="center"/>
    </xf>
    <xf numFmtId="1" fontId="0" fillId="5" borderId="0" xfId="0" applyNumberFormat="1" applyFill="1" applyBorder="1" applyAlignment="1">
      <alignment horizontal="center" vertical="center"/>
    </xf>
    <xf numFmtId="166" fontId="0" fillId="0" borderId="0" xfId="0" applyNumberFormat="1" applyAlignment="1">
      <alignment horizontal="center" vertical="center"/>
    </xf>
    <xf numFmtId="0" fontId="1" fillId="0" borderId="0" xfId="0" applyFont="1" applyFill="1" applyBorder="1" applyAlignment="1">
      <alignment horizontal="center" vertical="center"/>
    </xf>
    <xf numFmtId="0" fontId="0" fillId="0" borderId="0" xfId="0" applyFill="1" applyBorder="1" applyAlignment="1">
      <alignment horizontal="center" vertical="center"/>
    </xf>
    <xf numFmtId="166" fontId="0" fillId="0" borderId="1" xfId="0" applyNumberFormat="1" applyBorder="1" applyAlignment="1">
      <alignment horizontal="center" vertical="center"/>
    </xf>
    <xf numFmtId="166" fontId="0" fillId="11" borderId="3" xfId="0" applyNumberFormat="1" applyFill="1" applyBorder="1" applyAlignment="1">
      <alignment horizontal="center" vertical="center"/>
    </xf>
    <xf numFmtId="166" fontId="0" fillId="0" borderId="0" xfId="0" applyNumberFormat="1" applyFill="1" applyBorder="1" applyAlignment="1">
      <alignment horizontal="center" vertical="center"/>
    </xf>
    <xf numFmtId="166" fontId="0" fillId="0" borderId="0" xfId="0" applyNumberFormat="1" applyFill="1" applyAlignment="1">
      <alignment horizontal="center" vertical="center"/>
    </xf>
    <xf numFmtId="166" fontId="0" fillId="0" borderId="0" xfId="0" applyNumberFormat="1" applyBorder="1" applyAlignment="1">
      <alignment horizontal="center" vertical="center"/>
    </xf>
    <xf numFmtId="166" fontId="0" fillId="0" borderId="4" xfId="0" applyNumberFormat="1" applyBorder="1" applyAlignment="1">
      <alignment horizontal="center" vertical="center"/>
    </xf>
    <xf numFmtId="166" fontId="0" fillId="0" borderId="5" xfId="0" applyNumberFormat="1" applyBorder="1" applyAlignment="1">
      <alignment horizontal="center" vertical="center"/>
    </xf>
    <xf numFmtId="0" fontId="0" fillId="0" borderId="0" xfId="0" applyFill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2" fillId="0" borderId="0" xfId="0" applyFont="1" applyFill="1" applyBorder="1" applyAlignment="1">
      <alignment horizontal="center" vertical="center"/>
    </xf>
    <xf numFmtId="1" fontId="0" fillId="0" borderId="5" xfId="0" applyNumberFormat="1" applyBorder="1" applyAlignment="1">
      <alignment horizontal="center" vertical="center"/>
    </xf>
    <xf numFmtId="1" fontId="0" fillId="0" borderId="0" xfId="0" applyNumberFormat="1" applyBorder="1" applyAlignment="1">
      <alignment horizontal="center" vertical="center"/>
    </xf>
    <xf numFmtId="0" fontId="0" fillId="0" borderId="6" xfId="0" applyFill="1" applyBorder="1" applyAlignment="1">
      <alignment horizontal="center" vertical="center"/>
    </xf>
    <xf numFmtId="1" fontId="0" fillId="0" borderId="8" xfId="0" applyNumberFormat="1" applyBorder="1" applyAlignment="1">
      <alignment horizontal="center" vertical="center"/>
    </xf>
    <xf numFmtId="0" fontId="15" fillId="0" borderId="0" xfId="0" applyFont="1" applyBorder="1" applyAlignment="1">
      <alignment horizontal="center" vertical="center"/>
    </xf>
    <xf numFmtId="0" fontId="0" fillId="0" borderId="6" xfId="0" applyBorder="1" applyAlignment="1">
      <alignment horizontal="center" vertical="center"/>
    </xf>
    <xf numFmtId="0" fontId="0" fillId="0" borderId="4" xfId="0" applyBorder="1" applyAlignment="1">
      <alignment horizontal="center" vertical="center"/>
    </xf>
    <xf numFmtId="0" fontId="0" fillId="0" borderId="9" xfId="0" applyBorder="1" applyAlignment="1">
      <alignment horizontal="center" vertical="center"/>
    </xf>
    <xf numFmtId="0" fontId="16" fillId="0" borderId="0" xfId="0" applyFont="1" applyAlignment="1">
      <alignment horizontal="center" vertical="center"/>
    </xf>
    <xf numFmtId="165" fontId="0" fillId="0" borderId="0" xfId="0" applyNumberFormat="1" applyAlignment="1">
      <alignment horizontal="center" vertical="center"/>
    </xf>
    <xf numFmtId="2" fontId="0" fillId="0" borderId="0" xfId="0" applyNumberFormat="1" applyAlignment="1">
      <alignment horizontal="center" vertical="center"/>
    </xf>
    <xf numFmtId="0" fontId="12" fillId="11" borderId="0" xfId="0" applyFont="1" applyFill="1" applyAlignment="1">
      <alignment horizontal="center" vertical="center"/>
    </xf>
    <xf numFmtId="0" fontId="16" fillId="18" borderId="0" xfId="0" applyFont="1" applyFill="1" applyAlignment="1">
      <alignment horizontal="center" vertical="center"/>
    </xf>
    <xf numFmtId="0" fontId="17" fillId="11" borderId="0" xfId="0" applyFont="1" applyFill="1" applyAlignment="1">
      <alignment horizontal="center" vertical="center"/>
    </xf>
    <xf numFmtId="2" fontId="1" fillId="0" borderId="0" xfId="0" applyNumberFormat="1" applyFont="1" applyAlignment="1">
      <alignment horizontal="center" vertical="center"/>
    </xf>
    <xf numFmtId="1" fontId="0" fillId="0" borderId="7" xfId="0" applyNumberFormat="1" applyBorder="1" applyAlignment="1">
      <alignment horizontal="center" vertical="center" wrapText="1"/>
    </xf>
    <xf numFmtId="9" fontId="1" fillId="0" borderId="8" xfId="2" applyBorder="1" applyAlignment="1">
      <alignment horizontal="center" vertical="center" wrapText="1"/>
    </xf>
    <xf numFmtId="9" fontId="1" fillId="0" borderId="7" xfId="2" applyBorder="1" applyAlignment="1">
      <alignment horizontal="center" vertical="center" wrapText="1"/>
    </xf>
    <xf numFmtId="168" fontId="0" fillId="3" borderId="0" xfId="0" applyNumberFormat="1" applyFill="1" applyAlignment="1">
      <alignment horizontal="center" vertical="center"/>
    </xf>
    <xf numFmtId="1" fontId="0" fillId="0" borderId="7" xfId="0" applyNumberFormat="1" applyFill="1" applyBorder="1" applyAlignment="1">
      <alignment horizontal="center" vertical="center" wrapText="1"/>
    </xf>
    <xf numFmtId="9" fontId="1" fillId="0" borderId="8" xfId="2" applyFill="1" applyBorder="1" applyAlignment="1">
      <alignment horizontal="center" vertical="center" wrapText="1"/>
    </xf>
    <xf numFmtId="9" fontId="1" fillId="0" borderId="7" xfId="2" applyFill="1" applyBorder="1" applyAlignment="1">
      <alignment horizontal="center" vertical="center" wrapText="1"/>
    </xf>
    <xf numFmtId="1" fontId="1" fillId="0" borderId="6" xfId="0" applyNumberFormat="1" applyFont="1" applyFill="1" applyBorder="1" applyAlignment="1">
      <alignment horizontal="center" vertical="center" wrapText="1"/>
    </xf>
    <xf numFmtId="2" fontId="0" fillId="3" borderId="0" xfId="0" applyNumberFormat="1" applyFill="1" applyAlignment="1">
      <alignment horizontal="center" vertical="center"/>
    </xf>
    <xf numFmtId="0" fontId="0" fillId="3" borderId="0" xfId="0" applyFill="1" applyAlignment="1">
      <alignment horizontal="center" vertical="center"/>
    </xf>
    <xf numFmtId="1" fontId="0" fillId="3" borderId="7" xfId="0" applyNumberFormat="1" applyFill="1" applyBorder="1" applyAlignment="1">
      <alignment horizontal="center" vertical="center" wrapText="1"/>
    </xf>
    <xf numFmtId="1" fontId="0" fillId="3" borderId="6" xfId="0" applyNumberFormat="1" applyFill="1" applyBorder="1" applyAlignment="1">
      <alignment horizontal="center" vertical="center" wrapText="1"/>
    </xf>
    <xf numFmtId="1" fontId="0" fillId="3" borderId="0" xfId="0" applyNumberFormat="1" applyFill="1" applyAlignment="1">
      <alignment horizontal="center" vertical="center"/>
    </xf>
    <xf numFmtId="166" fontId="0" fillId="0" borderId="11" xfId="0" applyNumberFormat="1" applyBorder="1" applyAlignment="1">
      <alignment horizontal="center" vertical="center"/>
    </xf>
    <xf numFmtId="1" fontId="0" fillId="10" borderId="0" xfId="0" applyNumberFormat="1" applyFill="1" applyAlignment="1">
      <alignment horizontal="center" vertical="center"/>
    </xf>
    <xf numFmtId="166" fontId="0" fillId="0" borderId="12" xfId="0" applyNumberFormat="1" applyBorder="1" applyAlignment="1">
      <alignment horizontal="center" vertical="center"/>
    </xf>
    <xf numFmtId="0" fontId="0" fillId="0" borderId="7" xfId="0" applyBorder="1" applyAlignment="1">
      <alignment horizontal="center" vertical="center"/>
    </xf>
    <xf numFmtId="1" fontId="0" fillId="17" borderId="0" xfId="0" applyNumberFormat="1" applyFill="1" applyAlignment="1">
      <alignment horizontal="center" vertical="center"/>
    </xf>
    <xf numFmtId="164" fontId="0" fillId="0" borderId="0" xfId="0" applyNumberFormat="1" applyAlignment="1">
      <alignment horizontal="center" vertical="center" wrapText="1"/>
    </xf>
    <xf numFmtId="164" fontId="0" fillId="0" borderId="0" xfId="0" applyNumberFormat="1" applyAlignment="1">
      <alignment horizontal="center" vertical="center"/>
    </xf>
    <xf numFmtId="166" fontId="0" fillId="0" borderId="3" xfId="0" applyNumberFormat="1" applyBorder="1" applyAlignment="1">
      <alignment horizontal="center" vertical="center"/>
    </xf>
    <xf numFmtId="14" fontId="1" fillId="0" borderId="16" xfId="9" applyNumberFormat="1" applyBorder="1" applyAlignment="1">
      <alignment horizontal="center" vertical="center"/>
    </xf>
    <xf numFmtId="1" fontId="0" fillId="3" borderId="6" xfId="0" applyNumberFormat="1" applyFill="1" applyBorder="1" applyAlignment="1">
      <alignment horizontal="center" vertical="center"/>
    </xf>
    <xf numFmtId="1" fontId="0" fillId="3" borderId="8" xfId="0" applyNumberFormat="1" applyFill="1" applyBorder="1" applyAlignment="1">
      <alignment horizontal="center" vertical="center"/>
    </xf>
    <xf numFmtId="165" fontId="0" fillId="0" borderId="7" xfId="0" applyNumberFormat="1" applyFill="1" applyBorder="1" applyAlignment="1">
      <alignment horizontal="center" vertical="center"/>
    </xf>
    <xf numFmtId="170" fontId="0" fillId="0" borderId="0" xfId="2" applyNumberFormat="1" applyFont="1" applyAlignment="1">
      <alignment horizontal="center" vertical="center"/>
    </xf>
    <xf numFmtId="164" fontId="0" fillId="16" borderId="0" xfId="0" applyNumberFormat="1" applyFill="1" applyAlignment="1">
      <alignment horizontal="center" vertical="center"/>
    </xf>
    <xf numFmtId="167" fontId="0" fillId="0" borderId="0" xfId="0" applyNumberFormat="1" applyAlignment="1">
      <alignment horizontal="center" vertical="center"/>
    </xf>
    <xf numFmtId="0" fontId="1" fillId="0" borderId="0" xfId="0" applyFont="1" applyAlignment="1">
      <alignment horizontal="center" vertical="center"/>
    </xf>
    <xf numFmtId="14" fontId="0" fillId="0" borderId="0" xfId="0" applyNumberFormat="1" applyAlignment="1">
      <alignment horizontal="center" vertical="center"/>
    </xf>
    <xf numFmtId="0" fontId="0" fillId="4" borderId="13" xfId="0" applyFill="1" applyBorder="1" applyAlignment="1">
      <alignment horizontal="center" vertical="center"/>
    </xf>
    <xf numFmtId="165" fontId="0" fillId="15" borderId="0" xfId="0" applyNumberFormat="1" applyFill="1" applyAlignment="1">
      <alignment horizontal="center" vertical="center"/>
    </xf>
    <xf numFmtId="166" fontId="12" fillId="21" borderId="0" xfId="0" applyNumberFormat="1" applyFont="1" applyFill="1" applyAlignment="1">
      <alignment horizontal="center" vertical="center"/>
    </xf>
    <xf numFmtId="0" fontId="0" fillId="18" borderId="0" xfId="0" applyFill="1" applyAlignment="1">
      <alignment horizontal="center" vertical="center"/>
    </xf>
    <xf numFmtId="165" fontId="0" fillId="3" borderId="0" xfId="0" applyNumberFormat="1" applyFill="1" applyAlignment="1">
      <alignment horizontal="center" vertical="center"/>
    </xf>
    <xf numFmtId="0" fontId="1" fillId="0" borderId="0" xfId="0" applyFont="1" applyAlignment="1">
      <alignment horizontal="center" vertical="center"/>
    </xf>
    <xf numFmtId="0" fontId="1" fillId="0" borderId="0" xfId="9"/>
    <xf numFmtId="0" fontId="12" fillId="0" borderId="0" xfId="9" applyFont="1"/>
    <xf numFmtId="14" fontId="1" fillId="0" borderId="0" xfId="9" applyNumberFormat="1"/>
    <xf numFmtId="0" fontId="21" fillId="0" borderId="0" xfId="9" applyFont="1"/>
    <xf numFmtId="14" fontId="1" fillId="0" borderId="0" xfId="9" applyNumberFormat="1" applyAlignment="1">
      <alignment horizontal="center" vertical="center"/>
    </xf>
    <xf numFmtId="14" fontId="1" fillId="23" borderId="0" xfId="9" applyNumberFormat="1" applyFill="1" applyAlignment="1">
      <alignment horizontal="center" vertical="center"/>
    </xf>
    <xf numFmtId="14" fontId="1" fillId="17" borderId="0" xfId="9" applyNumberFormat="1" applyFill="1" applyAlignment="1">
      <alignment horizontal="center" vertical="center"/>
    </xf>
    <xf numFmtId="0" fontId="1" fillId="14" borderId="0" xfId="9" applyFill="1" applyBorder="1"/>
    <xf numFmtId="0" fontId="1" fillId="14" borderId="36" xfId="9" applyFill="1" applyBorder="1"/>
    <xf numFmtId="0" fontId="1" fillId="14" borderId="37" xfId="9" applyFill="1" applyBorder="1"/>
    <xf numFmtId="0" fontId="1" fillId="14" borderId="0" xfId="9" applyFont="1" applyFill="1" applyBorder="1" applyAlignment="1">
      <alignment vertical="center" wrapText="1"/>
    </xf>
    <xf numFmtId="0" fontId="22" fillId="14" borderId="0" xfId="9" applyFont="1" applyFill="1" applyBorder="1"/>
    <xf numFmtId="14" fontId="22" fillId="14" borderId="0" xfId="9" applyNumberFormat="1" applyFont="1" applyFill="1" applyBorder="1" applyAlignment="1">
      <alignment horizontal="center" vertical="center"/>
    </xf>
    <xf numFmtId="0" fontId="1" fillId="14" borderId="37" xfId="9" applyFill="1" applyBorder="1" applyAlignment="1"/>
    <xf numFmtId="1" fontId="23" fillId="26" borderId="32" xfId="9" applyNumberFormat="1" applyFont="1" applyFill="1" applyBorder="1" applyAlignment="1">
      <alignment horizontal="center" vertical="center"/>
    </xf>
    <xf numFmtId="0" fontId="12" fillId="14" borderId="37" xfId="9" applyFont="1" applyFill="1" applyBorder="1" applyAlignment="1">
      <alignment vertical="center" wrapText="1"/>
    </xf>
    <xf numFmtId="0" fontId="12" fillId="14" borderId="32" xfId="9" applyFont="1" applyFill="1" applyBorder="1" applyAlignment="1">
      <alignment horizontal="center" vertical="center"/>
    </xf>
    <xf numFmtId="0" fontId="12" fillId="14" borderId="31" xfId="9" applyFont="1" applyFill="1" applyBorder="1" applyAlignment="1">
      <alignment horizontal="center" vertical="center"/>
    </xf>
    <xf numFmtId="0" fontId="12" fillId="14" borderId="0" xfId="9" applyFont="1" applyFill="1" applyBorder="1" applyAlignment="1">
      <alignment horizontal="center" vertical="center" wrapText="1"/>
    </xf>
    <xf numFmtId="0" fontId="12" fillId="14" borderId="0" xfId="9" applyFont="1" applyFill="1" applyBorder="1" applyAlignment="1">
      <alignment vertical="center" wrapText="1"/>
    </xf>
    <xf numFmtId="2" fontId="0" fillId="14" borderId="27" xfId="0" applyNumberFormat="1" applyFill="1" applyBorder="1" applyAlignment="1">
      <alignment horizontal="center" vertical="center"/>
    </xf>
    <xf numFmtId="2" fontId="0" fillId="17" borderId="27" xfId="0" applyNumberFormat="1" applyFill="1" applyBorder="1" applyAlignment="1">
      <alignment horizontal="center" vertical="center"/>
    </xf>
    <xf numFmtId="1" fontId="23" fillId="26" borderId="0" xfId="9" applyNumberFormat="1" applyFont="1" applyFill="1" applyBorder="1" applyAlignment="1">
      <alignment horizontal="center" vertical="center"/>
    </xf>
    <xf numFmtId="1" fontId="0" fillId="2" borderId="2" xfId="0" applyNumberFormat="1" applyFill="1" applyBorder="1" applyAlignment="1">
      <alignment horizontal="center" vertical="center"/>
    </xf>
    <xf numFmtId="164" fontId="1" fillId="0" borderId="0" xfId="0" applyNumberFormat="1" applyFont="1" applyAlignment="1">
      <alignment horizontal="center" vertical="center"/>
    </xf>
    <xf numFmtId="1" fontId="1" fillId="0" borderId="0" xfId="0" applyNumberFormat="1" applyFont="1" applyAlignment="1">
      <alignment horizontal="center" vertical="center"/>
    </xf>
    <xf numFmtId="0" fontId="1" fillId="0" borderId="0" xfId="0" applyFont="1" applyAlignment="1">
      <alignment horizontal="center" vertical="center"/>
    </xf>
    <xf numFmtId="14" fontId="0" fillId="0" borderId="0" xfId="0" applyNumberFormat="1"/>
    <xf numFmtId="14" fontId="1" fillId="14" borderId="0" xfId="9" applyNumberFormat="1" applyFill="1" applyBorder="1"/>
    <xf numFmtId="14" fontId="1" fillId="0" borderId="0" xfId="0" applyNumberFormat="1" applyFont="1" applyFill="1" applyAlignment="1">
      <alignment horizontal="center" vertical="center"/>
    </xf>
    <xf numFmtId="1" fontId="1" fillId="0" borderId="0" xfId="0" applyNumberFormat="1" applyFont="1" applyFill="1" applyAlignment="1">
      <alignment horizontal="center" vertical="center"/>
    </xf>
    <xf numFmtId="1" fontId="0" fillId="0" borderId="0" xfId="0" applyNumberFormat="1" applyAlignment="1">
      <alignment horizontal="center"/>
    </xf>
    <xf numFmtId="14" fontId="1" fillId="0" borderId="0" xfId="0" applyNumberFormat="1" applyFont="1"/>
    <xf numFmtId="0" fontId="1" fillId="0" borderId="0" xfId="0" applyFont="1" applyAlignment="1">
      <alignment horizontal="center" vertical="center"/>
    </xf>
    <xf numFmtId="171" fontId="20" fillId="22" borderId="0" xfId="9" applyNumberFormat="1" applyFont="1" applyFill="1" applyAlignment="1">
      <alignment horizontal="center" vertical="center"/>
    </xf>
    <xf numFmtId="2" fontId="1" fillId="24" borderId="40" xfId="9" applyNumberFormat="1" applyFill="1" applyBorder="1" applyAlignment="1">
      <alignment horizontal="center" vertical="center"/>
    </xf>
    <xf numFmtId="2" fontId="1" fillId="24" borderId="41" xfId="9" applyNumberFormat="1" applyFill="1" applyBorder="1" applyAlignment="1">
      <alignment horizontal="center" vertical="center"/>
    </xf>
    <xf numFmtId="2" fontId="1" fillId="25" borderId="44" xfId="9" applyNumberFormat="1" applyFill="1" applyBorder="1" applyAlignment="1">
      <alignment horizontal="center" vertical="center"/>
    </xf>
    <xf numFmtId="2" fontId="1" fillId="25" borderId="42" xfId="9" applyNumberFormat="1" applyFill="1" applyBorder="1" applyAlignment="1">
      <alignment horizontal="center" vertical="center"/>
    </xf>
    <xf numFmtId="2" fontId="1" fillId="25" borderId="45" xfId="9" applyNumberFormat="1" applyFill="1" applyBorder="1" applyAlignment="1">
      <alignment horizontal="center" vertical="center"/>
    </xf>
    <xf numFmtId="0" fontId="20" fillId="14" borderId="0" xfId="0" applyFont="1" applyFill="1" applyBorder="1" applyAlignment="1">
      <alignment vertical="center"/>
    </xf>
    <xf numFmtId="0" fontId="24" fillId="0" borderId="0" xfId="0" applyFont="1" applyFill="1" applyAlignment="1">
      <alignment horizontal="center" vertical="center"/>
    </xf>
    <xf numFmtId="0" fontId="12" fillId="14" borderId="0" xfId="9" applyFont="1" applyFill="1" applyBorder="1" applyAlignment="1">
      <alignment horizontal="center" vertical="center"/>
    </xf>
    <xf numFmtId="0" fontId="1" fillId="27" borderId="0" xfId="9" applyFill="1" applyAlignment="1">
      <alignment horizontal="center" vertical="center" wrapText="1"/>
    </xf>
    <xf numFmtId="0" fontId="1" fillId="0" borderId="0" xfId="9" applyAlignment="1">
      <alignment horizontal="center" vertical="center" wrapText="1"/>
    </xf>
    <xf numFmtId="0" fontId="1" fillId="28" borderId="0" xfId="9" applyFill="1" applyAlignment="1">
      <alignment horizontal="center" vertical="center" wrapText="1"/>
    </xf>
    <xf numFmtId="0" fontId="1" fillId="12" borderId="0" xfId="9" applyFill="1" applyAlignment="1">
      <alignment horizontal="center" vertical="center" wrapText="1"/>
    </xf>
    <xf numFmtId="0" fontId="1" fillId="29" borderId="0" xfId="9" applyFill="1" applyAlignment="1">
      <alignment horizontal="center" vertical="center" wrapText="1"/>
    </xf>
    <xf numFmtId="1" fontId="1" fillId="0" borderId="7" xfId="9" applyNumberFormat="1" applyBorder="1" applyAlignment="1">
      <alignment horizontal="center" vertical="center" wrapText="1"/>
    </xf>
    <xf numFmtId="1" fontId="1" fillId="0" borderId="6" xfId="9" applyNumberFormat="1" applyFont="1" applyBorder="1" applyAlignment="1">
      <alignment horizontal="center" vertical="center" wrapText="1"/>
    </xf>
    <xf numFmtId="0" fontId="1" fillId="24" borderId="0" xfId="9" applyFont="1" applyFill="1" applyAlignment="1">
      <alignment horizontal="center" vertical="center" wrapText="1"/>
    </xf>
    <xf numFmtId="0" fontId="12" fillId="0" borderId="0" xfId="0" applyFont="1" applyFill="1" applyBorder="1" applyAlignment="1">
      <alignment horizontal="center" vertical="center"/>
    </xf>
    <xf numFmtId="0" fontId="19" fillId="19" borderId="5" xfId="0" applyFont="1" applyFill="1" applyBorder="1" applyAlignment="1">
      <alignment horizontal="center" vertical="center"/>
    </xf>
    <xf numFmtId="0" fontId="0" fillId="0" borderId="4" xfId="0" applyFont="1" applyFill="1" applyBorder="1" applyAlignment="1">
      <alignment horizontal="center" vertical="center"/>
    </xf>
    <xf numFmtId="0" fontId="0" fillId="0" borderId="6" xfId="0" applyFont="1" applyFill="1" applyBorder="1" applyAlignment="1">
      <alignment horizontal="center" vertical="center"/>
    </xf>
    <xf numFmtId="0" fontId="0" fillId="18" borderId="7" xfId="0" applyFill="1" applyBorder="1" applyAlignment="1">
      <alignment horizontal="center" vertical="center"/>
    </xf>
    <xf numFmtId="2" fontId="0" fillId="0" borderId="7" xfId="0" applyNumberFormat="1" applyFill="1" applyBorder="1" applyAlignment="1">
      <alignment horizontal="center" vertical="center"/>
    </xf>
    <xf numFmtId="0" fontId="19" fillId="19" borderId="7" xfId="0" applyFont="1" applyFill="1" applyBorder="1" applyAlignment="1">
      <alignment horizontal="center" vertical="center"/>
    </xf>
    <xf numFmtId="0" fontId="19" fillId="19" borderId="8" xfId="0" applyFont="1" applyFill="1" applyBorder="1" applyAlignment="1">
      <alignment horizontal="center" vertical="center"/>
    </xf>
    <xf numFmtId="1" fontId="0" fillId="5" borderId="2" xfId="0" applyNumberFormat="1" applyFill="1" applyBorder="1" applyAlignment="1">
      <alignment horizontal="center" vertical="center"/>
    </xf>
    <xf numFmtId="0" fontId="19" fillId="19" borderId="2" xfId="0" applyFont="1" applyFill="1" applyBorder="1" applyAlignment="1">
      <alignment horizontal="center" vertical="center"/>
    </xf>
    <xf numFmtId="0" fontId="19" fillId="19" borderId="3" xfId="0" applyFont="1" applyFill="1" applyBorder="1" applyAlignment="1">
      <alignment horizontal="center" vertical="center"/>
    </xf>
    <xf numFmtId="164" fontId="0" fillId="15" borderId="7" xfId="0" applyNumberFormat="1" applyFill="1" applyBorder="1" applyAlignment="1">
      <alignment horizontal="center" vertical="center"/>
    </xf>
    <xf numFmtId="2" fontId="0" fillId="0" borderId="7" xfId="0" applyNumberFormat="1" applyBorder="1" applyAlignment="1">
      <alignment horizontal="center" vertical="center"/>
    </xf>
    <xf numFmtId="1" fontId="1" fillId="8" borderId="7" xfId="0" applyNumberFormat="1" applyFont="1" applyFill="1" applyBorder="1" applyAlignment="1">
      <alignment horizontal="center" vertical="center" wrapText="1"/>
    </xf>
    <xf numFmtId="0" fontId="12" fillId="0" borderId="0" xfId="0" applyFont="1" applyFill="1" applyBorder="1" applyAlignment="1">
      <alignment vertical="center"/>
    </xf>
    <xf numFmtId="0" fontId="0" fillId="0" borderId="13" xfId="0" applyBorder="1" applyAlignment="1">
      <alignment horizontal="center" vertical="center"/>
    </xf>
    <xf numFmtId="0" fontId="12" fillId="0" borderId="0" xfId="0" applyFont="1" applyFill="1" applyBorder="1" applyAlignment="1">
      <alignment horizontal="center" vertical="center"/>
    </xf>
    <xf numFmtId="0" fontId="0" fillId="0" borderId="9" xfId="0" applyBorder="1" applyAlignment="1">
      <alignment horizontal="center" vertical="center"/>
    </xf>
    <xf numFmtId="0" fontId="0" fillId="0" borderId="13" xfId="0" applyBorder="1" applyAlignment="1">
      <alignment horizontal="center" vertical="center"/>
    </xf>
    <xf numFmtId="0" fontId="1" fillId="24" borderId="0" xfId="9" applyFont="1" applyFill="1" applyAlignment="1">
      <alignment horizontal="center" vertical="center" wrapText="1"/>
    </xf>
    <xf numFmtId="0" fontId="1" fillId="0" borderId="0" xfId="0" applyFont="1" applyAlignment="1">
      <alignment horizontal="center" vertical="center"/>
    </xf>
    <xf numFmtId="165" fontId="1" fillId="15" borderId="0" xfId="9" applyNumberFormat="1" applyFill="1" applyAlignment="1">
      <alignment horizontal="center" vertical="center"/>
    </xf>
    <xf numFmtId="0" fontId="0" fillId="30" borderId="0" xfId="0" applyFill="1" applyAlignment="1">
      <alignment horizontal="center" vertical="center" wrapText="1"/>
    </xf>
    <xf numFmtId="0" fontId="0" fillId="27" borderId="0" xfId="0" applyFill="1" applyAlignment="1">
      <alignment horizontal="center" vertical="center" wrapText="1"/>
    </xf>
    <xf numFmtId="0" fontId="0" fillId="31" borderId="0" xfId="0" applyFill="1" applyAlignment="1">
      <alignment horizontal="center" vertical="center" wrapText="1"/>
    </xf>
    <xf numFmtId="0" fontId="0" fillId="18" borderId="0" xfId="0" applyFill="1" applyAlignment="1">
      <alignment horizontal="center" vertical="center" wrapText="1"/>
    </xf>
    <xf numFmtId="0" fontId="0" fillId="21" borderId="0" xfId="0" applyFill="1" applyAlignment="1">
      <alignment horizontal="center" vertical="center" wrapText="1"/>
    </xf>
    <xf numFmtId="0" fontId="1" fillId="30" borderId="0" xfId="0" applyFont="1" applyFill="1" applyAlignment="1">
      <alignment horizontal="center" vertical="center" wrapText="1"/>
    </xf>
    <xf numFmtId="0" fontId="16" fillId="30" borderId="0" xfId="0" applyFont="1" applyFill="1" applyAlignment="1">
      <alignment horizontal="center" vertical="center" wrapText="1"/>
    </xf>
    <xf numFmtId="0" fontId="1" fillId="0" borderId="0" xfId="0" applyFont="1" applyAlignment="1">
      <alignment horizontal="center" vertical="center" wrapText="1"/>
    </xf>
    <xf numFmtId="0" fontId="0" fillId="0" borderId="0" xfId="0" applyAlignment="1">
      <alignment horizontal="center" vertical="center" wrapText="1"/>
    </xf>
    <xf numFmtId="2" fontId="0" fillId="14" borderId="46" xfId="0" applyNumberFormat="1" applyFill="1" applyBorder="1" applyAlignment="1">
      <alignment horizontal="center" vertical="center"/>
    </xf>
    <xf numFmtId="2" fontId="0" fillId="17" borderId="46" xfId="0" applyNumberFormat="1" applyFill="1" applyBorder="1" applyAlignment="1">
      <alignment horizontal="center" vertical="center"/>
    </xf>
    <xf numFmtId="0" fontId="0" fillId="14" borderId="46" xfId="0" applyFill="1" applyBorder="1" applyAlignment="1">
      <alignment horizontal="center" vertical="center"/>
    </xf>
    <xf numFmtId="0" fontId="1" fillId="27" borderId="0" xfId="0" applyFont="1" applyFill="1" applyBorder="1" applyAlignment="1">
      <alignment horizontal="center" vertical="center" wrapText="1"/>
    </xf>
    <xf numFmtId="0" fontId="0" fillId="27" borderId="0" xfId="0" applyFill="1" applyBorder="1" applyAlignment="1">
      <alignment horizontal="center" vertical="center" wrapText="1"/>
    </xf>
    <xf numFmtId="0" fontId="0" fillId="20" borderId="38" xfId="0" applyFill="1" applyBorder="1" applyAlignment="1">
      <alignment horizontal="center" vertical="center"/>
    </xf>
    <xf numFmtId="0" fontId="0" fillId="20" borderId="37" xfId="0" applyFill="1" applyBorder="1" applyAlignment="1">
      <alignment horizontal="center" vertical="center"/>
    </xf>
    <xf numFmtId="1" fontId="12" fillId="20" borderId="37" xfId="0" applyNumberFormat="1" applyFont="1" applyFill="1" applyBorder="1" applyAlignment="1">
      <alignment horizontal="center" vertical="center"/>
    </xf>
    <xf numFmtId="1" fontId="0" fillId="20" borderId="37" xfId="0" applyNumberFormat="1" applyFill="1" applyBorder="1" applyAlignment="1">
      <alignment horizontal="center" vertical="center"/>
    </xf>
    <xf numFmtId="0" fontId="1" fillId="20" borderId="37" xfId="0" applyFont="1" applyFill="1" applyBorder="1" applyAlignment="1">
      <alignment horizontal="center" vertical="center"/>
    </xf>
    <xf numFmtId="0" fontId="1" fillId="20" borderId="38" xfId="0" applyFont="1" applyFill="1" applyBorder="1" applyAlignment="1">
      <alignment horizontal="center" vertical="center"/>
    </xf>
    <xf numFmtId="2" fontId="23" fillId="26" borderId="31" xfId="9" applyNumberFormat="1" applyFont="1" applyFill="1" applyBorder="1" applyAlignment="1">
      <alignment horizontal="center" vertical="center"/>
    </xf>
    <xf numFmtId="2" fontId="12" fillId="14" borderId="48" xfId="9" applyNumberFormat="1" applyFont="1" applyFill="1" applyBorder="1" applyAlignment="1">
      <alignment horizontal="left" vertical="center"/>
    </xf>
    <xf numFmtId="14" fontId="12" fillId="14" borderId="46" xfId="9" applyNumberFormat="1" applyFont="1" applyFill="1" applyBorder="1" applyAlignment="1">
      <alignment horizontal="center" vertical="center"/>
    </xf>
    <xf numFmtId="14" fontId="12" fillId="14" borderId="43" xfId="9" applyNumberFormat="1" applyFont="1" applyFill="1" applyBorder="1" applyAlignment="1">
      <alignment horizontal="center" vertical="center"/>
    </xf>
    <xf numFmtId="14" fontId="12" fillId="14" borderId="27" xfId="9" applyNumberFormat="1" applyFont="1" applyFill="1" applyBorder="1" applyAlignment="1">
      <alignment horizontal="center" vertical="center"/>
    </xf>
    <xf numFmtId="0" fontId="12" fillId="14" borderId="43" xfId="9" applyFont="1" applyFill="1" applyBorder="1" applyAlignment="1">
      <alignment horizontal="center" vertical="center"/>
    </xf>
    <xf numFmtId="0" fontId="12" fillId="14" borderId="42" xfId="9" applyFont="1" applyFill="1" applyBorder="1" applyAlignment="1">
      <alignment horizontal="center" vertical="center"/>
    </xf>
    <xf numFmtId="0" fontId="12" fillId="14" borderId="39" xfId="9" applyFont="1" applyFill="1" applyBorder="1" applyAlignment="1">
      <alignment horizontal="center" vertical="center"/>
    </xf>
    <xf numFmtId="0" fontId="0" fillId="0" borderId="0" xfId="0" applyNumberFormat="1" applyFill="1" applyBorder="1" applyAlignment="1">
      <alignment horizontal="center" vertical="center"/>
    </xf>
    <xf numFmtId="0" fontId="24" fillId="0" borderId="0" xfId="0" applyNumberFormat="1" applyFont="1" applyFill="1" applyBorder="1" applyAlignment="1"/>
    <xf numFmtId="0" fontId="24" fillId="0" borderId="0" xfId="0" applyFont="1" applyFill="1" applyBorder="1" applyAlignment="1">
      <alignment horizontal="center" vertical="center"/>
    </xf>
    <xf numFmtId="0" fontId="1" fillId="0" borderId="0" xfId="9" applyNumberFormat="1" applyFont="1" applyFill="1" applyBorder="1" applyAlignment="1">
      <alignment horizontal="center" vertical="center"/>
    </xf>
    <xf numFmtId="0" fontId="0" fillId="0" borderId="0" xfId="0" applyNumberFormat="1" applyFill="1" applyBorder="1"/>
    <xf numFmtId="14" fontId="0" fillId="0" borderId="0" xfId="0" applyNumberFormat="1" applyFill="1" applyBorder="1" applyAlignment="1">
      <alignment horizontal="center" vertical="center"/>
    </xf>
    <xf numFmtId="14" fontId="20" fillId="0" borderId="0" xfId="9" applyNumberFormat="1" applyFont="1" applyFill="1" applyAlignment="1">
      <alignment horizontal="left" vertical="center"/>
    </xf>
    <xf numFmtId="2" fontId="1" fillId="22" borderId="50" xfId="9" applyNumberFormat="1" applyFill="1" applyBorder="1" applyAlignment="1">
      <alignment horizontal="center" vertical="center"/>
    </xf>
    <xf numFmtId="0" fontId="1" fillId="0" borderId="0" xfId="9" applyNumberFormat="1" applyFill="1" applyAlignment="1">
      <alignment horizontal="center" vertical="center"/>
    </xf>
    <xf numFmtId="0" fontId="1" fillId="0" borderId="0" xfId="9" applyNumberFormat="1" applyAlignment="1">
      <alignment horizontal="center" vertical="center"/>
    </xf>
    <xf numFmtId="0" fontId="1" fillId="0" borderId="1" xfId="9" applyNumberFormat="1" applyFill="1" applyBorder="1" applyAlignment="1">
      <alignment horizontal="center" vertical="center"/>
    </xf>
    <xf numFmtId="0" fontId="1" fillId="0" borderId="0" xfId="9" applyNumberFormat="1" applyFill="1" applyBorder="1" applyAlignment="1">
      <alignment vertical="center"/>
    </xf>
    <xf numFmtId="0" fontId="1" fillId="22" borderId="0" xfId="9" applyNumberFormat="1" applyFill="1" applyAlignment="1">
      <alignment horizontal="center" vertical="center"/>
    </xf>
    <xf numFmtId="0" fontId="12" fillId="0" borderId="0" xfId="9" applyNumberFormat="1" applyFont="1" applyFill="1" applyAlignment="1">
      <alignment horizontal="center" vertical="center"/>
    </xf>
    <xf numFmtId="0" fontId="12" fillId="22" borderId="9" xfId="9" applyNumberFormat="1" applyFont="1" applyFill="1" applyBorder="1" applyAlignment="1">
      <alignment horizontal="center" vertical="center"/>
    </xf>
    <xf numFmtId="0" fontId="12" fillId="22" borderId="14" xfId="9" applyNumberFormat="1" applyFont="1" applyFill="1" applyBorder="1" applyAlignment="1">
      <alignment horizontal="center" vertical="center"/>
    </xf>
    <xf numFmtId="0" fontId="1" fillId="22" borderId="4" xfId="9" applyNumberFormat="1" applyFill="1" applyBorder="1" applyAlignment="1">
      <alignment horizontal="center" vertical="center"/>
    </xf>
    <xf numFmtId="2" fontId="1" fillId="22" borderId="11" xfId="9" applyNumberFormat="1" applyFill="1" applyBorder="1" applyAlignment="1">
      <alignment horizontal="center" vertical="center"/>
    </xf>
    <xf numFmtId="2" fontId="1" fillId="22" borderId="12" xfId="9" applyNumberFormat="1" applyFill="1" applyBorder="1" applyAlignment="1">
      <alignment horizontal="center" vertical="center"/>
    </xf>
    <xf numFmtId="0" fontId="1" fillId="22" borderId="0" xfId="9" applyNumberFormat="1" applyFill="1" applyBorder="1" applyAlignment="1">
      <alignment horizontal="center" vertical="center"/>
    </xf>
    <xf numFmtId="171" fontId="1" fillId="34" borderId="0" xfId="9" applyNumberFormat="1" applyFont="1" applyFill="1" applyAlignment="1">
      <alignment horizontal="center" vertical="center"/>
    </xf>
    <xf numFmtId="2" fontId="1" fillId="22" borderId="4" xfId="9" applyNumberFormat="1" applyFill="1" applyBorder="1" applyAlignment="1">
      <alignment horizontal="center" vertical="center"/>
    </xf>
    <xf numFmtId="2" fontId="1" fillId="22" borderId="6" xfId="9" applyNumberFormat="1" applyFill="1" applyBorder="1" applyAlignment="1">
      <alignment horizontal="center" vertical="center"/>
    </xf>
    <xf numFmtId="2" fontId="1" fillId="22" borderId="0" xfId="9" applyNumberFormat="1" applyFill="1" applyBorder="1" applyAlignment="1">
      <alignment horizontal="center" vertical="center"/>
    </xf>
    <xf numFmtId="14" fontId="1" fillId="22" borderId="0" xfId="9" applyNumberFormat="1" applyFill="1" applyBorder="1" applyAlignment="1">
      <alignment horizontal="center" vertical="center"/>
    </xf>
    <xf numFmtId="2" fontId="1" fillId="22" borderId="1" xfId="9" applyNumberFormat="1" applyFill="1" applyBorder="1" applyAlignment="1">
      <alignment horizontal="center" vertical="center"/>
    </xf>
    <xf numFmtId="0" fontId="1" fillId="0" borderId="0" xfId="9" applyNumberFormat="1" applyFill="1" applyBorder="1" applyAlignment="1">
      <alignment horizontal="center" vertical="center"/>
    </xf>
    <xf numFmtId="14" fontId="1" fillId="0" borderId="0" xfId="9" applyNumberFormat="1" applyFill="1" applyBorder="1" applyAlignment="1">
      <alignment horizontal="center" vertical="center"/>
    </xf>
    <xf numFmtId="14" fontId="1" fillId="22" borderId="50" xfId="9" applyNumberFormat="1" applyFill="1" applyBorder="1" applyAlignment="1">
      <alignment horizontal="center" vertical="center"/>
    </xf>
    <xf numFmtId="0" fontId="1" fillId="0" borderId="0" xfId="0" applyFont="1" applyFill="1" applyAlignment="1">
      <alignment horizontal="center" vertical="center"/>
    </xf>
    <xf numFmtId="0" fontId="1" fillId="0" borderId="4" xfId="0" applyFont="1" applyBorder="1" applyAlignment="1">
      <alignment horizontal="center" vertical="center" wrapText="1"/>
    </xf>
    <xf numFmtId="0" fontId="1" fillId="0" borderId="0" xfId="0" applyFont="1" applyBorder="1" applyAlignment="1">
      <alignment horizontal="center" vertical="center"/>
    </xf>
    <xf numFmtId="0" fontId="25" fillId="19" borderId="2" xfId="0" applyFont="1" applyFill="1" applyBorder="1" applyAlignment="1">
      <alignment horizontal="center" vertical="center"/>
    </xf>
    <xf numFmtId="0" fontId="25" fillId="19" borderId="5" xfId="0" applyFont="1" applyFill="1" applyBorder="1" applyAlignment="1">
      <alignment horizontal="center" vertical="center"/>
    </xf>
    <xf numFmtId="0" fontId="0" fillId="9" borderId="29" xfId="0" applyFill="1" applyBorder="1" applyAlignment="1">
      <alignment horizontal="center" vertical="center"/>
    </xf>
    <xf numFmtId="0" fontId="12" fillId="0" borderId="31" xfId="0" applyNumberFormat="1" applyFont="1" applyFill="1" applyBorder="1" applyAlignment="1"/>
    <xf numFmtId="0" fontId="24" fillId="0" borderId="32" xfId="0" applyNumberFormat="1" applyFont="1" applyFill="1" applyBorder="1" applyAlignment="1"/>
    <xf numFmtId="0" fontId="0" fillId="0" borderId="31" xfId="0" applyFill="1" applyBorder="1" applyAlignment="1">
      <alignment horizontal="center" vertical="center"/>
    </xf>
    <xf numFmtId="0" fontId="0" fillId="0" borderId="32" xfId="0" applyFill="1" applyBorder="1" applyAlignment="1">
      <alignment horizontal="center" vertical="center"/>
    </xf>
    <xf numFmtId="0" fontId="0" fillId="0" borderId="34" xfId="0" applyFill="1" applyBorder="1" applyAlignment="1">
      <alignment horizontal="center" vertical="center"/>
    </xf>
    <xf numFmtId="0" fontId="0" fillId="0" borderId="35" xfId="0" applyFill="1" applyBorder="1" applyAlignment="1">
      <alignment horizontal="center" vertical="center"/>
    </xf>
    <xf numFmtId="0" fontId="1" fillId="0" borderId="7" xfId="9" applyNumberFormat="1" applyFont="1" applyFill="1" applyBorder="1" applyAlignment="1">
      <alignment horizontal="center" vertical="center"/>
    </xf>
    <xf numFmtId="0" fontId="0" fillId="0" borderId="51" xfId="0" applyFill="1" applyBorder="1" applyAlignment="1">
      <alignment horizontal="center" vertical="center"/>
    </xf>
    <xf numFmtId="0" fontId="1" fillId="0" borderId="52" xfId="9" applyNumberFormat="1" applyFont="1" applyFill="1" applyBorder="1" applyAlignment="1">
      <alignment horizontal="center" vertical="center"/>
    </xf>
    <xf numFmtId="0" fontId="0" fillId="0" borderId="53" xfId="0" applyNumberFormat="1" applyFill="1" applyBorder="1" applyAlignment="1">
      <alignment horizontal="center" vertical="center"/>
    </xf>
    <xf numFmtId="0" fontId="0" fillId="0" borderId="53" xfId="0" applyFill="1" applyBorder="1" applyAlignment="1">
      <alignment horizontal="center" vertical="center"/>
    </xf>
    <xf numFmtId="0" fontId="0" fillId="0" borderId="54" xfId="0" applyNumberFormat="1" applyFill="1" applyBorder="1" applyAlignment="1">
      <alignment horizontal="center" vertical="center"/>
    </xf>
    <xf numFmtId="0" fontId="0" fillId="0" borderId="55" xfId="0" applyNumberFormat="1" applyFill="1" applyBorder="1" applyAlignment="1">
      <alignment horizontal="center" vertical="center"/>
    </xf>
    <xf numFmtId="0" fontId="0" fillId="0" borderId="56" xfId="0" applyFill="1" applyBorder="1" applyAlignment="1">
      <alignment horizontal="center" vertical="center"/>
    </xf>
    <xf numFmtId="0" fontId="0" fillId="0" borderId="57" xfId="0" applyFill="1" applyBorder="1" applyAlignment="1">
      <alignment horizontal="center" vertical="center"/>
    </xf>
    <xf numFmtId="0" fontId="26" fillId="0" borderId="1" xfId="0" applyNumberFormat="1" applyFont="1" applyFill="1" applyBorder="1" applyAlignment="1"/>
    <xf numFmtId="0" fontId="0" fillId="0" borderId="2" xfId="0" applyNumberFormat="1" applyFill="1" applyBorder="1" applyAlignment="1">
      <alignment horizontal="center"/>
    </xf>
    <xf numFmtId="0" fontId="0" fillId="0" borderId="39" xfId="0" applyNumberFormat="1" applyFill="1" applyBorder="1" applyAlignment="1">
      <alignment horizontal="center"/>
    </xf>
    <xf numFmtId="0" fontId="12" fillId="0" borderId="0" xfId="0" applyFont="1" applyAlignment="1">
      <alignment horizontal="center" vertical="center"/>
    </xf>
    <xf numFmtId="0" fontId="12" fillId="0" borderId="24" xfId="0" applyNumberFormat="1" applyFont="1" applyFill="1" applyBorder="1" applyAlignment="1"/>
    <xf numFmtId="0" fontId="27" fillId="0" borderId="31" xfId="0" applyFont="1" applyFill="1" applyBorder="1" applyAlignment="1">
      <alignment horizontal="center" vertical="center"/>
    </xf>
    <xf numFmtId="0" fontId="27" fillId="0" borderId="0" xfId="0" applyFont="1" applyFill="1" applyBorder="1" applyAlignment="1">
      <alignment horizontal="center" vertical="center"/>
    </xf>
    <xf numFmtId="0" fontId="27" fillId="0" borderId="32" xfId="0" applyFont="1" applyFill="1" applyBorder="1" applyAlignment="1">
      <alignment horizontal="center" vertical="center"/>
    </xf>
    <xf numFmtId="0" fontId="27" fillId="0" borderId="0" xfId="0" applyNumberFormat="1" applyFont="1" applyFill="1" applyBorder="1" applyAlignment="1"/>
    <xf numFmtId="0" fontId="27" fillId="0" borderId="0" xfId="0" applyFont="1" applyFill="1" applyAlignment="1">
      <alignment horizontal="center" vertical="center"/>
    </xf>
    <xf numFmtId="0" fontId="12" fillId="14" borderId="38" xfId="9" applyFont="1" applyFill="1" applyBorder="1" applyAlignment="1">
      <alignment horizontal="center" vertical="center"/>
    </xf>
    <xf numFmtId="0" fontId="12" fillId="14" borderId="37" xfId="9" applyFont="1" applyFill="1" applyBorder="1" applyAlignment="1">
      <alignment horizontal="center" vertical="center"/>
    </xf>
    <xf numFmtId="2" fontId="12" fillId="14" borderId="47" xfId="9" applyNumberFormat="1" applyFont="1" applyFill="1" applyBorder="1" applyAlignment="1">
      <alignment horizontal="right" vertical="center"/>
    </xf>
    <xf numFmtId="2" fontId="12" fillId="14" borderId="49" xfId="9" applyNumberFormat="1" applyFont="1" applyFill="1" applyBorder="1" applyAlignment="1">
      <alignment horizontal="right" vertical="center"/>
    </xf>
    <xf numFmtId="0" fontId="12" fillId="14" borderId="38" xfId="9" applyFont="1" applyFill="1" applyBorder="1" applyAlignment="1">
      <alignment horizontal="center" vertical="center" wrapText="1"/>
    </xf>
    <xf numFmtId="0" fontId="12" fillId="14" borderId="37" xfId="9" applyFont="1" applyFill="1" applyBorder="1" applyAlignment="1">
      <alignment horizontal="center" vertical="center" wrapText="1"/>
    </xf>
    <xf numFmtId="0" fontId="1" fillId="14" borderId="37" xfId="9" applyFill="1" applyBorder="1" applyAlignment="1">
      <alignment horizontal="center"/>
    </xf>
    <xf numFmtId="0" fontId="12" fillId="14" borderId="28" xfId="9" applyFont="1" applyFill="1" applyBorder="1" applyAlignment="1">
      <alignment horizontal="center" vertical="center" wrapText="1"/>
    </xf>
    <xf numFmtId="0" fontId="12" fillId="14" borderId="29" xfId="9" applyFont="1" applyFill="1" applyBorder="1" applyAlignment="1">
      <alignment horizontal="center" vertical="center" wrapText="1"/>
    </xf>
    <xf numFmtId="0" fontId="12" fillId="14" borderId="30" xfId="9" applyFont="1" applyFill="1" applyBorder="1" applyAlignment="1">
      <alignment horizontal="center" vertical="center" wrapText="1"/>
    </xf>
    <xf numFmtId="0" fontId="12" fillId="14" borderId="31" xfId="9" applyFont="1" applyFill="1" applyBorder="1" applyAlignment="1">
      <alignment horizontal="center" vertical="center" wrapText="1"/>
    </xf>
    <xf numFmtId="0" fontId="12" fillId="14" borderId="0" xfId="9" applyFont="1" applyFill="1" applyBorder="1" applyAlignment="1">
      <alignment horizontal="center" vertical="center" wrapText="1"/>
    </xf>
    <xf numFmtId="0" fontId="12" fillId="14" borderId="32" xfId="9" applyFont="1" applyFill="1" applyBorder="1" applyAlignment="1">
      <alignment horizontal="center" vertical="center" wrapText="1"/>
    </xf>
    <xf numFmtId="14" fontId="23" fillId="26" borderId="37" xfId="9" applyNumberFormat="1" applyFont="1" applyFill="1" applyBorder="1" applyAlignment="1">
      <alignment horizontal="center" vertical="center"/>
    </xf>
    <xf numFmtId="14" fontId="23" fillId="26" borderId="36" xfId="9" applyNumberFormat="1" applyFont="1" applyFill="1" applyBorder="1" applyAlignment="1">
      <alignment horizontal="center" vertical="center"/>
    </xf>
    <xf numFmtId="0" fontId="1" fillId="14" borderId="36" xfId="9" applyFill="1" applyBorder="1" applyAlignment="1">
      <alignment horizontal="center"/>
    </xf>
    <xf numFmtId="0" fontId="12" fillId="0" borderId="0" xfId="0" applyFont="1" applyAlignment="1">
      <alignment horizontal="center" vertical="center"/>
    </xf>
    <xf numFmtId="0" fontId="0" fillId="0" borderId="9" xfId="0" applyBorder="1" applyAlignment="1">
      <alignment horizontal="center" vertical="center"/>
    </xf>
    <xf numFmtId="0" fontId="0" fillId="0" borderId="13" xfId="0" applyBorder="1" applyAlignment="1">
      <alignment horizontal="center" vertical="center"/>
    </xf>
    <xf numFmtId="0" fontId="0" fillId="0" borderId="10" xfId="0" applyBorder="1" applyAlignment="1">
      <alignment horizontal="center" vertical="center"/>
    </xf>
    <xf numFmtId="0" fontId="1" fillId="24" borderId="0" xfId="9" applyFont="1" applyFill="1" applyAlignment="1">
      <alignment horizontal="center" vertical="center" wrapText="1"/>
    </xf>
    <xf numFmtId="169" fontId="1" fillId="4" borderId="13" xfId="0" applyNumberFormat="1" applyFont="1" applyFill="1" applyBorder="1" applyAlignment="1">
      <alignment horizontal="center" vertical="center"/>
    </xf>
    <xf numFmtId="169" fontId="1" fillId="4" borderId="10" xfId="0" applyNumberFormat="1" applyFont="1" applyFill="1" applyBorder="1" applyAlignment="1">
      <alignment horizontal="center" vertical="center"/>
    </xf>
    <xf numFmtId="0" fontId="12" fillId="0" borderId="0" xfId="0" applyFont="1" applyFill="1" applyBorder="1" applyAlignment="1">
      <alignment horizontal="center" vertical="center"/>
    </xf>
    <xf numFmtId="0" fontId="1" fillId="0" borderId="0" xfId="9" applyFont="1" applyAlignment="1">
      <alignment horizontal="center" vertical="center"/>
    </xf>
    <xf numFmtId="0" fontId="12" fillId="0" borderId="0" xfId="9" applyFont="1" applyAlignment="1">
      <alignment horizontal="center"/>
    </xf>
    <xf numFmtId="0" fontId="1" fillId="25" borderId="0" xfId="0" applyFont="1" applyFill="1" applyAlignment="1">
      <alignment horizontal="center" vertical="center" wrapText="1"/>
    </xf>
    <xf numFmtId="0" fontId="1" fillId="32" borderId="0" xfId="0" applyFont="1" applyFill="1" applyAlignment="1">
      <alignment horizontal="center" vertical="center" wrapText="1"/>
    </xf>
    <xf numFmtId="0" fontId="1" fillId="33" borderId="0" xfId="0" applyFont="1" applyFill="1" applyBorder="1" applyAlignment="1">
      <alignment horizontal="center" vertical="center" wrapText="1"/>
    </xf>
    <xf numFmtId="0" fontId="1" fillId="33" borderId="0" xfId="0" applyFont="1" applyFill="1" applyAlignment="1">
      <alignment horizontal="center" vertical="center" wrapText="1"/>
    </xf>
    <xf numFmtId="0" fontId="16" fillId="25" borderId="0" xfId="0" applyFont="1" applyFill="1" applyAlignment="1">
      <alignment horizontal="center" vertical="center" wrapText="1"/>
    </xf>
    <xf numFmtId="0" fontId="1" fillId="9" borderId="28" xfId="0" applyFont="1" applyFill="1" applyBorder="1" applyAlignment="1">
      <alignment horizontal="center" vertical="center"/>
    </xf>
    <xf numFmtId="0" fontId="1" fillId="9" borderId="29" xfId="0" applyFont="1" applyFill="1" applyBorder="1" applyAlignment="1">
      <alignment horizontal="center" vertical="center"/>
    </xf>
    <xf numFmtId="0" fontId="12" fillId="0" borderId="28" xfId="0" applyFont="1" applyBorder="1" applyAlignment="1">
      <alignment horizontal="center" vertical="center"/>
    </xf>
    <xf numFmtId="0" fontId="12" fillId="0" borderId="29" xfId="0" applyFont="1" applyBorder="1" applyAlignment="1">
      <alignment horizontal="center" vertical="center"/>
    </xf>
    <xf numFmtId="0" fontId="12" fillId="0" borderId="30" xfId="0" applyFont="1" applyBorder="1" applyAlignment="1">
      <alignment horizontal="center" vertical="center"/>
    </xf>
    <xf numFmtId="0" fontId="12" fillId="22" borderId="7" xfId="9" applyNumberFormat="1" applyFont="1" applyFill="1" applyBorder="1" applyAlignment="1">
      <alignment horizontal="center" vertical="center"/>
    </xf>
    <xf numFmtId="0" fontId="12" fillId="22" borderId="0" xfId="9" applyNumberFormat="1" applyFont="1" applyFill="1" applyAlignment="1">
      <alignment horizontal="center" vertical="center" wrapText="1"/>
    </xf>
    <xf numFmtId="0" fontId="12" fillId="22" borderId="0" xfId="9" applyNumberFormat="1" applyFont="1" applyFill="1" applyBorder="1" applyAlignment="1">
      <alignment horizontal="center" vertical="center" wrapText="1"/>
    </xf>
    <xf numFmtId="0" fontId="12" fillId="22" borderId="7" xfId="9" applyNumberFormat="1" applyFont="1" applyFill="1" applyBorder="1" applyAlignment="1">
      <alignment horizontal="center" vertical="center" wrapText="1"/>
    </xf>
    <xf numFmtId="0" fontId="1" fillId="34" borderId="0" xfId="9" applyNumberFormat="1" applyFill="1" applyAlignment="1">
      <alignment horizontal="center" vertical="center"/>
    </xf>
  </cellXfs>
  <cellStyles count="26">
    <cellStyle name="Hiperlink" xfId="3" builtinId="8" hidden="1"/>
    <cellStyle name="Hiperlink" xfId="5" builtinId="8" hidden="1"/>
    <cellStyle name="Hiperlink" xfId="7" builtinId="8" hidden="1"/>
    <cellStyle name="Hiperlink" xfId="10" builtinId="8" hidden="1"/>
    <cellStyle name="Hiperlink" xfId="12" builtinId="8" hidden="1"/>
    <cellStyle name="Hiperlink" xfId="14" builtinId="8" hidden="1"/>
    <cellStyle name="Hiperlink" xfId="16" builtinId="8" hidden="1"/>
    <cellStyle name="Hiperlink" xfId="18" builtinId="8" hidden="1"/>
    <cellStyle name="Hiperlink" xfId="20" builtinId="8" hidden="1"/>
    <cellStyle name="Hiperlink" xfId="22" builtinId="8" hidden="1"/>
    <cellStyle name="Hiperlink" xfId="24" builtinId="8" hidden="1"/>
    <cellStyle name="Hiperlink Visitado" xfId="4" builtinId="9" hidden="1"/>
    <cellStyle name="Hiperlink Visitado" xfId="6" builtinId="9" hidden="1"/>
    <cellStyle name="Hiperlink Visitado" xfId="8" builtinId="9" hidden="1"/>
    <cellStyle name="Hiperlink Visitado" xfId="11" builtinId="9" hidden="1"/>
    <cellStyle name="Hiperlink Visitado" xfId="13" builtinId="9" hidden="1"/>
    <cellStyle name="Hiperlink Visitado" xfId="15" builtinId="9" hidden="1"/>
    <cellStyle name="Hiperlink Visitado" xfId="17" builtinId="9" hidden="1"/>
    <cellStyle name="Hiperlink Visitado" xfId="19" builtinId="9" hidden="1"/>
    <cellStyle name="Hiperlink Visitado" xfId="21" builtinId="9" hidden="1"/>
    <cellStyle name="Hiperlink Visitado" xfId="23" builtinId="9" hidden="1"/>
    <cellStyle name="Hiperlink Visitado" xfId="25" builtinId="9" hidden="1"/>
    <cellStyle name="Normal" xfId="0" builtinId="0"/>
    <cellStyle name="Normal 2" xfId="9"/>
    <cellStyle name="Normal_Plan1" xfId="1"/>
    <cellStyle name="Porcentagem" xfId="2" builtinId="5"/>
  </cellStyles>
  <dxfs count="0"/>
  <tableStyles count="0" defaultTableStyle="TableStyleMedium9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00080"/>
      <rgbColor rgb="00808000"/>
      <rgbColor rgb="00800080"/>
      <rgbColor rgb="00008080"/>
      <rgbColor rgb="00C0C0C0"/>
      <rgbColor rgb="00808080"/>
      <rgbColor rgb="008080FF"/>
      <rgbColor rgb="00802060"/>
      <rgbColor rgb="00FFFFC0"/>
      <rgbColor rgb="00A0E0E0"/>
      <rgbColor rgb="00600080"/>
      <rgbColor rgb="00FF8080"/>
      <rgbColor rgb="000080C0"/>
      <rgbColor rgb="00C0C0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69FFFF"/>
      <rgbColor rgb="00CCFFCC"/>
      <rgbColor rgb="00FFFF99"/>
      <rgbColor rgb="00A6CAF0"/>
      <rgbColor rgb="00CC9CCC"/>
      <rgbColor rgb="00CC99FF"/>
      <rgbColor rgb="00E3E3E3"/>
      <rgbColor rgb="003366FF"/>
      <rgbColor rgb="0033CCCC"/>
      <rgbColor rgb="00339933"/>
      <rgbColor rgb="00999933"/>
      <rgbColor rgb="00996633"/>
      <rgbColor rgb="00996666"/>
      <rgbColor rgb="00666699"/>
      <rgbColor rgb="00969696"/>
      <rgbColor rgb="003333CC"/>
      <rgbColor rgb="00336666"/>
      <rgbColor rgb="00003300"/>
      <rgbColor rgb="00333300"/>
      <rgbColor rgb="00663300"/>
      <rgbColor rgb="00993366"/>
      <rgbColor rgb="00333399"/>
      <rgbColor rgb="00424242"/>
    </indexedColors>
    <mruColors>
      <color rgb="FFFF505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connections" Target="connection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theme" Target="theme/theme1.xml"/><Relationship Id="rId17" Type="http://schemas.microsoft.com/office/2006/relationships/vbaProject" Target="vbaProject.bin"/><Relationship Id="rId2" Type="http://schemas.openxmlformats.org/officeDocument/2006/relationships/worksheet" Target="worksheets/sheet2.xml"/><Relationship Id="rId16" Type="http://schemas.openxmlformats.org/officeDocument/2006/relationships/calcChain" Target="calcChain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sharedStrings" Target="sharedStrings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tyles" Target="styles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400"/>
            </a:pPr>
            <a:r>
              <a:rPr lang="pt-BR" sz="1400" b="1" i="0" u="none" strike="noStrike" baseline="0">
                <a:effectLst/>
              </a:rPr>
              <a:t>Inicialização com chuva observada</a:t>
            </a:r>
            <a:r>
              <a:rPr lang="pt-BR" sz="1400" b="1" i="0" u="none" strike="noStrike" baseline="0"/>
              <a:t> </a:t>
            </a:r>
            <a:endParaRPr lang="pt-BR" sz="1400"/>
          </a:p>
        </c:rich>
      </c:tx>
      <c:layout>
        <c:manualLayout>
          <c:xMode val="edge"/>
          <c:yMode val="edge"/>
          <c:x val="0.31746004163272695"/>
          <c:y val="4.4804318488529012E-3"/>
        </c:manualLayout>
      </c:layout>
      <c:overlay val="0"/>
    </c:title>
    <c:autoTitleDeleted val="0"/>
    <c:plotArea>
      <c:layout>
        <c:manualLayout>
          <c:layoutTarget val="inner"/>
          <c:xMode val="edge"/>
          <c:yMode val="edge"/>
          <c:x val="0.10291270783847981"/>
          <c:y val="0.11255205044156417"/>
          <c:w val="0.81509369226708894"/>
          <c:h val="0.69443318397337583"/>
        </c:manualLayout>
      </c:layout>
      <c:barChart>
        <c:barDir val="col"/>
        <c:grouping val="clustered"/>
        <c:varyColors val="0"/>
        <c:ser>
          <c:idx val="4"/>
          <c:order val="3"/>
          <c:tx>
            <c:v>Chuva obs</c:v>
          </c:tx>
          <c:spPr>
            <a:solidFill>
              <a:schemeClr val="tx2">
                <a:lumMod val="40000"/>
                <a:lumOff val="60000"/>
                <a:alpha val="67000"/>
              </a:schemeClr>
            </a:solidFill>
            <a:ln>
              <a:noFill/>
            </a:ln>
          </c:spPr>
          <c:invertIfNegative val="0"/>
          <c:val>
            <c:numRef>
              <c:f>Operacional_10_dias!$I$24:$I$52</c:f>
              <c:numCache>
                <c:formatCode>0.00</c:formatCode>
                <c:ptCount val="29"/>
                <c:pt idx="0">
                  <c:v>0.46</c:v>
                </c:pt>
                <c:pt idx="1">
                  <c:v>0.24</c:v>
                </c:pt>
                <c:pt idx="2">
                  <c:v>9.3000000000000007</c:v>
                </c:pt>
                <c:pt idx="3">
                  <c:v>31.29</c:v>
                </c:pt>
                <c:pt idx="4">
                  <c:v>4.3499999999999996</c:v>
                </c:pt>
                <c:pt idx="5">
                  <c:v>1.32</c:v>
                </c:pt>
                <c:pt idx="6">
                  <c:v>0.41</c:v>
                </c:pt>
                <c:pt idx="7">
                  <c:v>0.32</c:v>
                </c:pt>
                <c:pt idx="8">
                  <c:v>7.0000000000000007E-2</c:v>
                </c:pt>
                <c:pt idx="9">
                  <c:v>9.34</c:v>
                </c:pt>
                <c:pt idx="10">
                  <c:v>23.52</c:v>
                </c:pt>
                <c:pt idx="11">
                  <c:v>3.09</c:v>
                </c:pt>
                <c:pt idx="12">
                  <c:v>2.86</c:v>
                </c:pt>
                <c:pt idx="13">
                  <c:v>0.73</c:v>
                </c:pt>
                <c:pt idx="14">
                  <c:v>0.59</c:v>
                </c:pt>
                <c:pt idx="15">
                  <c:v>7.0000000000000007E-2</c:v>
                </c:pt>
                <c:pt idx="16">
                  <c:v>0.13</c:v>
                </c:pt>
                <c:pt idx="17">
                  <c:v>0.06</c:v>
                </c:pt>
                <c:pt idx="18">
                  <c:v>0.1</c:v>
                </c:pt>
                <c:pt idx="19">
                  <c:v>12.71</c:v>
                </c:pt>
                <c:pt idx="20">
                  <c:v>2.7</c:v>
                </c:pt>
                <c:pt idx="21">
                  <c:v>24.95</c:v>
                </c:pt>
                <c:pt idx="22">
                  <c:v>18.13</c:v>
                </c:pt>
                <c:pt idx="23">
                  <c:v>0.83</c:v>
                </c:pt>
                <c:pt idx="24">
                  <c:v>0.12</c:v>
                </c:pt>
                <c:pt idx="25">
                  <c:v>16.02</c:v>
                </c:pt>
                <c:pt idx="26">
                  <c:v>37.82</c:v>
                </c:pt>
                <c:pt idx="27">
                  <c:v>4.7</c:v>
                </c:pt>
                <c:pt idx="28">
                  <c:v>1.23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25A5-45F2-940C-6F11532F03F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35"/>
        <c:overlap val="100"/>
        <c:axId val="660772928"/>
        <c:axId val="660781632"/>
      </c:barChart>
      <c:lineChart>
        <c:grouping val="standard"/>
        <c:varyColors val="0"/>
        <c:ser>
          <c:idx val="0"/>
          <c:order val="0"/>
          <c:tx>
            <c:v>Vazão obs</c:v>
          </c:tx>
          <c:marker>
            <c:symbol val="none"/>
          </c:marker>
          <c:cat>
            <c:numRef>
              <c:f>Operacional_10_dias!$A$24:$A$52</c:f>
              <c:numCache>
                <c:formatCode>m/d/yyyy</c:formatCode>
                <c:ptCount val="29"/>
                <c:pt idx="0">
                  <c:v>42429</c:v>
                </c:pt>
                <c:pt idx="1">
                  <c:v>42430</c:v>
                </c:pt>
                <c:pt idx="2">
                  <c:v>42431</c:v>
                </c:pt>
                <c:pt idx="3">
                  <c:v>42432</c:v>
                </c:pt>
                <c:pt idx="4">
                  <c:v>42433</c:v>
                </c:pt>
                <c:pt idx="5">
                  <c:v>42434</c:v>
                </c:pt>
                <c:pt idx="6">
                  <c:v>42435</c:v>
                </c:pt>
                <c:pt idx="7">
                  <c:v>42436</c:v>
                </c:pt>
                <c:pt idx="8">
                  <c:v>42437</c:v>
                </c:pt>
                <c:pt idx="9">
                  <c:v>42438</c:v>
                </c:pt>
                <c:pt idx="10">
                  <c:v>42439</c:v>
                </c:pt>
                <c:pt idx="11">
                  <c:v>42440</c:v>
                </c:pt>
                <c:pt idx="12">
                  <c:v>42441</c:v>
                </c:pt>
                <c:pt idx="13">
                  <c:v>42442</c:v>
                </c:pt>
                <c:pt idx="14">
                  <c:v>42443</c:v>
                </c:pt>
                <c:pt idx="15">
                  <c:v>42444</c:v>
                </c:pt>
                <c:pt idx="16">
                  <c:v>42445</c:v>
                </c:pt>
                <c:pt idx="17">
                  <c:v>42446</c:v>
                </c:pt>
                <c:pt idx="18">
                  <c:v>42447</c:v>
                </c:pt>
                <c:pt idx="19">
                  <c:v>42448</c:v>
                </c:pt>
                <c:pt idx="20">
                  <c:v>42449</c:v>
                </c:pt>
                <c:pt idx="21">
                  <c:v>42450</c:v>
                </c:pt>
                <c:pt idx="22">
                  <c:v>42451</c:v>
                </c:pt>
                <c:pt idx="23">
                  <c:v>42452</c:v>
                </c:pt>
                <c:pt idx="24">
                  <c:v>42453</c:v>
                </c:pt>
                <c:pt idx="25">
                  <c:v>42454</c:v>
                </c:pt>
                <c:pt idx="26">
                  <c:v>42455</c:v>
                </c:pt>
                <c:pt idx="27">
                  <c:v>42456</c:v>
                </c:pt>
                <c:pt idx="28">
                  <c:v>42457</c:v>
                </c:pt>
              </c:numCache>
            </c:numRef>
          </c:cat>
          <c:val>
            <c:numRef>
              <c:f>Operacional_10_dias!$B$24:$B$52</c:f>
              <c:numCache>
                <c:formatCode>0</c:formatCode>
                <c:ptCount val="29"/>
                <c:pt idx="0">
                  <c:v>1035.03556978713</c:v>
                </c:pt>
                <c:pt idx="1">
                  <c:v>894.423546771171</c:v>
                </c:pt>
                <c:pt idx="2">
                  <c:v>770.51679494953601</c:v>
                </c:pt>
                <c:pt idx="3">
                  <c:v>2008.20300002503</c:v>
                </c:pt>
                <c:pt idx="4">
                  <c:v>2064.5436128544702</c:v>
                </c:pt>
                <c:pt idx="5">
                  <c:v>1933.3914916014901</c:v>
                </c:pt>
                <c:pt idx="6">
                  <c:v>1700.6263589523101</c:v>
                </c:pt>
                <c:pt idx="7">
                  <c:v>1339.08532292257</c:v>
                </c:pt>
                <c:pt idx="8">
                  <c:v>1099.2439515618901</c:v>
                </c:pt>
                <c:pt idx="9">
                  <c:v>1180.2527855814201</c:v>
                </c:pt>
                <c:pt idx="10">
                  <c:v>1709.14781201286</c:v>
                </c:pt>
                <c:pt idx="11">
                  <c:v>2064.19808210052</c:v>
                </c:pt>
                <c:pt idx="12">
                  <c:v>2041.8017553371501</c:v>
                </c:pt>
                <c:pt idx="13">
                  <c:v>1897.4468000433001</c:v>
                </c:pt>
                <c:pt idx="14">
                  <c:v>1561.3107932038799</c:v>
                </c:pt>
                <c:pt idx="15">
                  <c:v>1289.2214994701901</c:v>
                </c:pt>
                <c:pt idx="16">
                  <c:v>1090.66473545695</c:v>
                </c:pt>
                <c:pt idx="17">
                  <c:v>929.17803163181395</c:v>
                </c:pt>
                <c:pt idx="18">
                  <c:v>832.586682242763</c:v>
                </c:pt>
                <c:pt idx="19">
                  <c:v>760.89026976625405</c:v>
                </c:pt>
                <c:pt idx="20">
                  <c:v>671.57040358134805</c:v>
                </c:pt>
                <c:pt idx="21">
                  <c:v>907.67806605403598</c:v>
                </c:pt>
                <c:pt idx="22">
                  <c:v>2079.9068913917499</c:v>
                </c:pt>
                <c:pt idx="23">
                  <c:v>2114</c:v>
                </c:pt>
                <c:pt idx="24">
                  <c:v>1609</c:v>
                </c:pt>
                <c:pt idx="25">
                  <c:v>1553</c:v>
                </c:pt>
                <c:pt idx="26">
                  <c:v>2283</c:v>
                </c:pt>
                <c:pt idx="27">
                  <c:v>2411</c:v>
                </c:pt>
                <c:pt idx="28">
                  <c:v>2110</c:v>
                </c:pt>
              </c:numCache>
            </c:numRef>
          </c:val>
          <c:smooth val="1"/>
          <c:extLst>
            <c:ext xmlns:c16="http://schemas.microsoft.com/office/drawing/2014/chart" uri="{C3380CC4-5D6E-409C-BE32-E72D297353CC}">
              <c16:uniqueId val="{00000001-25A5-45F2-940C-6F11532F03F8}"/>
            </c:ext>
          </c:extLst>
        </c:ser>
        <c:ser>
          <c:idx val="1"/>
          <c:order val="1"/>
          <c:tx>
            <c:v>Q calc</c:v>
          </c:tx>
          <c:marker>
            <c:symbol val="none"/>
          </c:marker>
          <c:cat>
            <c:numRef>
              <c:f>Operacional_10_dias!$A$24:$A$52</c:f>
              <c:numCache>
                <c:formatCode>m/d/yyyy</c:formatCode>
                <c:ptCount val="29"/>
                <c:pt idx="0">
                  <c:v>42429</c:v>
                </c:pt>
                <c:pt idx="1">
                  <c:v>42430</c:v>
                </c:pt>
                <c:pt idx="2">
                  <c:v>42431</c:v>
                </c:pt>
                <c:pt idx="3">
                  <c:v>42432</c:v>
                </c:pt>
                <c:pt idx="4">
                  <c:v>42433</c:v>
                </c:pt>
                <c:pt idx="5">
                  <c:v>42434</c:v>
                </c:pt>
                <c:pt idx="6">
                  <c:v>42435</c:v>
                </c:pt>
                <c:pt idx="7">
                  <c:v>42436</c:v>
                </c:pt>
                <c:pt idx="8">
                  <c:v>42437</c:v>
                </c:pt>
                <c:pt idx="9">
                  <c:v>42438</c:v>
                </c:pt>
                <c:pt idx="10">
                  <c:v>42439</c:v>
                </c:pt>
                <c:pt idx="11">
                  <c:v>42440</c:v>
                </c:pt>
                <c:pt idx="12">
                  <c:v>42441</c:v>
                </c:pt>
                <c:pt idx="13">
                  <c:v>42442</c:v>
                </c:pt>
                <c:pt idx="14">
                  <c:v>42443</c:v>
                </c:pt>
                <c:pt idx="15">
                  <c:v>42444</c:v>
                </c:pt>
                <c:pt idx="16">
                  <c:v>42445</c:v>
                </c:pt>
                <c:pt idx="17">
                  <c:v>42446</c:v>
                </c:pt>
                <c:pt idx="18">
                  <c:v>42447</c:v>
                </c:pt>
                <c:pt idx="19">
                  <c:v>42448</c:v>
                </c:pt>
                <c:pt idx="20">
                  <c:v>42449</c:v>
                </c:pt>
                <c:pt idx="21">
                  <c:v>42450</c:v>
                </c:pt>
                <c:pt idx="22">
                  <c:v>42451</c:v>
                </c:pt>
                <c:pt idx="23">
                  <c:v>42452</c:v>
                </c:pt>
                <c:pt idx="24">
                  <c:v>42453</c:v>
                </c:pt>
                <c:pt idx="25">
                  <c:v>42454</c:v>
                </c:pt>
                <c:pt idx="26">
                  <c:v>42455</c:v>
                </c:pt>
                <c:pt idx="27">
                  <c:v>42456</c:v>
                </c:pt>
                <c:pt idx="28">
                  <c:v>42457</c:v>
                </c:pt>
              </c:numCache>
            </c:numRef>
          </c:cat>
          <c:val>
            <c:numRef>
              <c:f>Operacional_10_dias!$E$24:$E$52</c:f>
              <c:numCache>
                <c:formatCode>0</c:formatCode>
                <c:ptCount val="29"/>
                <c:pt idx="0">
                  <c:v>1049.422528724215</c:v>
                </c:pt>
                <c:pt idx="1">
                  <c:v>862.97064693653431</c:v>
                </c:pt>
                <c:pt idx="2">
                  <c:v>781.87694485499287</c:v>
                </c:pt>
                <c:pt idx="3">
                  <c:v>2015.2835387628393</c:v>
                </c:pt>
                <c:pt idx="4">
                  <c:v>2316.447365852468</c:v>
                </c:pt>
                <c:pt idx="5">
                  <c:v>1949.1376615096544</c:v>
                </c:pt>
                <c:pt idx="6">
                  <c:v>1535.3191391419666</c:v>
                </c:pt>
                <c:pt idx="7">
                  <c:v>1225.7764075248226</c:v>
                </c:pt>
                <c:pt idx="8">
                  <c:v>1002.62722551921</c:v>
                </c:pt>
                <c:pt idx="9">
                  <c:v>1181.3037124829168</c:v>
                </c:pt>
                <c:pt idx="10">
                  <c:v>1710.1463410102242</c:v>
                </c:pt>
                <c:pt idx="11">
                  <c:v>2440.2438718612666</c:v>
                </c:pt>
                <c:pt idx="12">
                  <c:v>2112.1861731406452</c:v>
                </c:pt>
                <c:pt idx="13">
                  <c:v>1772.7470839815267</c:v>
                </c:pt>
                <c:pt idx="14">
                  <c:v>1415.7528971016848</c:v>
                </c:pt>
                <c:pt idx="15">
                  <c:v>1148.6104543408542</c:v>
                </c:pt>
                <c:pt idx="16">
                  <c:v>946.87640018726324</c:v>
                </c:pt>
                <c:pt idx="17">
                  <c:v>794.10919165361429</c:v>
                </c:pt>
                <c:pt idx="18">
                  <c:v>726.41791195110068</c:v>
                </c:pt>
                <c:pt idx="19">
                  <c:v>758.86321682710786</c:v>
                </c:pt>
                <c:pt idx="20">
                  <c:v>720.69132105233962</c:v>
                </c:pt>
                <c:pt idx="21">
                  <c:v>907.72537981185394</c:v>
                </c:pt>
                <c:pt idx="22">
                  <c:v>2080.3405279106382</c:v>
                </c:pt>
                <c:pt idx="23">
                  <c:v>2071.0357635072796</c:v>
                </c:pt>
                <c:pt idx="24">
                  <c:v>1645.3172901389632</c:v>
                </c:pt>
                <c:pt idx="25">
                  <c:v>1553.3510188338412</c:v>
                </c:pt>
                <c:pt idx="26">
                  <c:v>2283.0119370215161</c:v>
                </c:pt>
                <c:pt idx="27">
                  <c:v>2416.4325795814093</c:v>
                </c:pt>
                <c:pt idx="28">
                  <c:v>2090.196038220738</c:v>
                </c:pt>
              </c:numCache>
            </c:numRef>
          </c:val>
          <c:smooth val="1"/>
          <c:extLst>
            <c:ext xmlns:c16="http://schemas.microsoft.com/office/drawing/2014/chart" uri="{C3380CC4-5D6E-409C-BE32-E72D297353CC}">
              <c16:uniqueId val="{00000002-25A5-45F2-940C-6F11532F03F8}"/>
            </c:ext>
          </c:extLst>
        </c:ser>
        <c:ser>
          <c:idx val="2"/>
          <c:order val="2"/>
          <c:tx>
            <c:v>Escoamento base</c:v>
          </c:tx>
          <c:marker>
            <c:symbol val="none"/>
          </c:marker>
          <c:cat>
            <c:numRef>
              <c:f>Operacional_10_dias!$A$24:$A$52</c:f>
              <c:numCache>
                <c:formatCode>m/d/yyyy</c:formatCode>
                <c:ptCount val="29"/>
                <c:pt idx="0">
                  <c:v>42429</c:v>
                </c:pt>
                <c:pt idx="1">
                  <c:v>42430</c:v>
                </c:pt>
                <c:pt idx="2">
                  <c:v>42431</c:v>
                </c:pt>
                <c:pt idx="3">
                  <c:v>42432</c:v>
                </c:pt>
                <c:pt idx="4">
                  <c:v>42433</c:v>
                </c:pt>
                <c:pt idx="5">
                  <c:v>42434</c:v>
                </c:pt>
                <c:pt idx="6">
                  <c:v>42435</c:v>
                </c:pt>
                <c:pt idx="7">
                  <c:v>42436</c:v>
                </c:pt>
                <c:pt idx="8">
                  <c:v>42437</c:v>
                </c:pt>
                <c:pt idx="9">
                  <c:v>42438</c:v>
                </c:pt>
                <c:pt idx="10">
                  <c:v>42439</c:v>
                </c:pt>
                <c:pt idx="11">
                  <c:v>42440</c:v>
                </c:pt>
                <c:pt idx="12">
                  <c:v>42441</c:v>
                </c:pt>
                <c:pt idx="13">
                  <c:v>42442</c:v>
                </c:pt>
                <c:pt idx="14">
                  <c:v>42443</c:v>
                </c:pt>
                <c:pt idx="15">
                  <c:v>42444</c:v>
                </c:pt>
                <c:pt idx="16">
                  <c:v>42445</c:v>
                </c:pt>
                <c:pt idx="17">
                  <c:v>42446</c:v>
                </c:pt>
                <c:pt idx="18">
                  <c:v>42447</c:v>
                </c:pt>
                <c:pt idx="19">
                  <c:v>42448</c:v>
                </c:pt>
                <c:pt idx="20">
                  <c:v>42449</c:v>
                </c:pt>
                <c:pt idx="21">
                  <c:v>42450</c:v>
                </c:pt>
                <c:pt idx="22">
                  <c:v>42451</c:v>
                </c:pt>
                <c:pt idx="23">
                  <c:v>42452</c:v>
                </c:pt>
                <c:pt idx="24">
                  <c:v>42453</c:v>
                </c:pt>
                <c:pt idx="25">
                  <c:v>42454</c:v>
                </c:pt>
                <c:pt idx="26">
                  <c:v>42455</c:v>
                </c:pt>
                <c:pt idx="27">
                  <c:v>42456</c:v>
                </c:pt>
                <c:pt idx="28">
                  <c:v>42457</c:v>
                </c:pt>
              </c:numCache>
            </c:numRef>
          </c:cat>
          <c:val>
            <c:numRef>
              <c:f>Operacional_10_dias!$F$24:$F$52</c:f>
              <c:numCache>
                <c:formatCode>0.00</c:formatCode>
                <c:ptCount val="29"/>
                <c:pt idx="0">
                  <c:v>249.8449596097982</c:v>
                </c:pt>
                <c:pt idx="1">
                  <c:v>250.00754634773659</c:v>
                </c:pt>
                <c:pt idx="2">
                  <c:v>249.21185308259496</c:v>
                </c:pt>
                <c:pt idx="3">
                  <c:v>248.143835730674</c:v>
                </c:pt>
                <c:pt idx="4">
                  <c:v>247.52851275148947</c:v>
                </c:pt>
                <c:pt idx="5">
                  <c:v>251.76213945349801</c:v>
                </c:pt>
                <c:pt idx="6">
                  <c:v>258.79078079509446</c:v>
                </c:pt>
                <c:pt idx="7">
                  <c:v>265.75039767062344</c:v>
                </c:pt>
                <c:pt idx="8">
                  <c:v>270.8291002228458</c:v>
                </c:pt>
                <c:pt idx="9">
                  <c:v>273.75061278692425</c:v>
                </c:pt>
                <c:pt idx="10">
                  <c:v>275.87593399071278</c:v>
                </c:pt>
                <c:pt idx="11">
                  <c:v>279.834878425569</c:v>
                </c:pt>
                <c:pt idx="12">
                  <c:v>286.59828962859422</c:v>
                </c:pt>
                <c:pt idx="13">
                  <c:v>296.10649094486013</c:v>
                </c:pt>
                <c:pt idx="14">
                  <c:v>305.23046549854746</c:v>
                </c:pt>
                <c:pt idx="15">
                  <c:v>313.43087380556437</c:v>
                </c:pt>
                <c:pt idx="16">
                  <c:v>318.77118421592644</c:v>
                </c:pt>
                <c:pt idx="17">
                  <c:v>321.73633732982518</c:v>
                </c:pt>
                <c:pt idx="18">
                  <c:v>322.72809361252524</c:v>
                </c:pt>
                <c:pt idx="19">
                  <c:v>322.16022813526422</c:v>
                </c:pt>
                <c:pt idx="20">
                  <c:v>321.57019299747486</c:v>
                </c:pt>
                <c:pt idx="21">
                  <c:v>321.82918876354728</c:v>
                </c:pt>
                <c:pt idx="22">
                  <c:v>322.32107607714011</c:v>
                </c:pt>
                <c:pt idx="23">
                  <c:v>324.4469187804396</c:v>
                </c:pt>
                <c:pt idx="24">
                  <c:v>330.8304488518869</c:v>
                </c:pt>
                <c:pt idx="25">
                  <c:v>338.36449651818793</c:v>
                </c:pt>
                <c:pt idx="26">
                  <c:v>343.93605125661549</c:v>
                </c:pt>
                <c:pt idx="27">
                  <c:v>349.99296704631161</c:v>
                </c:pt>
                <c:pt idx="28">
                  <c:v>358.64357013483868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25A5-45F2-940C-6F11532F03F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60780000"/>
        <c:axId val="660771296"/>
      </c:lineChart>
      <c:dateAx>
        <c:axId val="660780000"/>
        <c:scaling>
          <c:orientation val="minMax"/>
        </c:scaling>
        <c:delete val="0"/>
        <c:axPos val="b"/>
        <c:numFmt formatCode="m/d/yyyy" sourceLinked="0"/>
        <c:majorTickMark val="out"/>
        <c:minorTickMark val="none"/>
        <c:tickLblPos val="nextTo"/>
        <c:txPr>
          <a:bodyPr rot="0" vert="horz"/>
          <a:lstStyle/>
          <a:p>
            <a:pPr>
              <a:defRPr/>
            </a:pPr>
            <a:endParaRPr lang="pt-BR"/>
          </a:p>
        </c:txPr>
        <c:crossAx val="660771296"/>
        <c:crosses val="autoZero"/>
        <c:auto val="0"/>
        <c:lblOffset val="100"/>
        <c:baseTimeUnit val="days"/>
        <c:minorUnit val="1"/>
      </c:dateAx>
      <c:valAx>
        <c:axId val="660771296"/>
        <c:scaling>
          <c:orientation val="minMax"/>
          <c:min val="0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pt-BR"/>
                  <a:t>Vazões (m³/s)</a:t>
                </a:r>
              </a:p>
            </c:rich>
          </c:tx>
          <c:layout>
            <c:manualLayout>
              <c:xMode val="edge"/>
              <c:yMode val="edge"/>
              <c:x val="5.3936113587626873E-5"/>
              <c:y val="0.3198800936316068"/>
            </c:manualLayout>
          </c:layout>
          <c:overlay val="0"/>
        </c:title>
        <c:numFmt formatCode="0" sourceLinked="0"/>
        <c:majorTickMark val="out"/>
        <c:minorTickMark val="none"/>
        <c:tickLblPos val="nextTo"/>
        <c:txPr>
          <a:bodyPr rot="0" vert="horz"/>
          <a:lstStyle/>
          <a:p>
            <a:pPr>
              <a:defRPr/>
            </a:pPr>
            <a:endParaRPr lang="pt-BR"/>
          </a:p>
        </c:txPr>
        <c:crossAx val="660780000"/>
        <c:crossesAt val="42163"/>
        <c:crossBetween val="between"/>
      </c:valAx>
      <c:valAx>
        <c:axId val="660781632"/>
        <c:scaling>
          <c:orientation val="maxMin"/>
          <c:max val="150"/>
          <c:min val="0"/>
        </c:scaling>
        <c:delete val="0"/>
        <c:axPos val="r"/>
        <c:title>
          <c:tx>
            <c:rich>
              <a:bodyPr/>
              <a:lstStyle/>
              <a:p>
                <a:pPr>
                  <a:defRPr/>
                </a:pPr>
                <a:r>
                  <a:rPr lang="pt-BR"/>
                  <a:t>Precipitação (mm)</a:t>
                </a:r>
              </a:p>
            </c:rich>
          </c:tx>
          <c:layout>
            <c:manualLayout>
              <c:xMode val="edge"/>
              <c:yMode val="edge"/>
              <c:x val="0.96814726840855103"/>
              <c:y val="0.26795561850802646"/>
            </c:manualLayout>
          </c:layout>
          <c:overlay val="0"/>
        </c:title>
        <c:numFmt formatCode="0" sourceLinked="0"/>
        <c:majorTickMark val="out"/>
        <c:minorTickMark val="none"/>
        <c:tickLblPos val="nextTo"/>
        <c:crossAx val="660772928"/>
        <c:crosses val="max"/>
        <c:crossBetween val="between"/>
        <c:majorUnit val="10"/>
      </c:valAx>
      <c:catAx>
        <c:axId val="660772928"/>
        <c:scaling>
          <c:orientation val="minMax"/>
        </c:scaling>
        <c:delete val="1"/>
        <c:axPos val="t"/>
        <c:numFmt formatCode="mmm\-yy" sourceLinked="1"/>
        <c:majorTickMark val="out"/>
        <c:minorTickMark val="none"/>
        <c:tickLblPos val="nextTo"/>
        <c:crossAx val="660781632"/>
        <c:crosses val="autoZero"/>
        <c:auto val="0"/>
        <c:lblAlgn val="ctr"/>
        <c:lblOffset val="100"/>
        <c:noMultiLvlLbl val="1"/>
      </c:catAx>
    </c:plotArea>
    <c:legend>
      <c:legendPos val="r"/>
      <c:layout>
        <c:manualLayout>
          <c:xMode val="edge"/>
          <c:yMode val="edge"/>
          <c:x val="0"/>
          <c:y val="0.91977730563424609"/>
          <c:w val="1"/>
          <c:h val="8.0222694365753855E-2"/>
        </c:manualLayout>
      </c:layout>
      <c:overlay val="0"/>
    </c:legend>
    <c:plotVisOnly val="1"/>
    <c:dispBlanksAs val="gap"/>
    <c:showDLblsOverMax val="0"/>
  </c:chart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400"/>
            </a:pPr>
            <a:r>
              <a:rPr lang="pt-BR" sz="1400" b="1" i="0" u="none" strike="noStrike" baseline="0">
                <a:effectLst/>
              </a:rPr>
              <a:t>Inicialização com chuva ponderada</a:t>
            </a:r>
          </a:p>
        </c:rich>
      </c:tx>
      <c:layout>
        <c:manualLayout>
          <c:xMode val="edge"/>
          <c:yMode val="edge"/>
          <c:x val="0.32861355140524789"/>
          <c:y val="1.018454475285438E-2"/>
        </c:manualLayout>
      </c:layout>
      <c:overlay val="0"/>
    </c:title>
    <c:autoTitleDeleted val="0"/>
    <c:plotArea>
      <c:layout>
        <c:manualLayout>
          <c:layoutTarget val="inner"/>
          <c:xMode val="edge"/>
          <c:yMode val="edge"/>
          <c:x val="0.10291270783847981"/>
          <c:y val="0.11255205044156417"/>
          <c:w val="0.81509369226708894"/>
          <c:h val="0.69443318397337583"/>
        </c:manualLayout>
      </c:layout>
      <c:barChart>
        <c:barDir val="col"/>
        <c:grouping val="clustered"/>
        <c:varyColors val="0"/>
        <c:ser>
          <c:idx val="4"/>
          <c:order val="3"/>
          <c:tx>
            <c:v>Chuva perf ponderada</c:v>
          </c:tx>
          <c:spPr>
            <a:solidFill>
              <a:schemeClr val="tx2">
                <a:lumMod val="40000"/>
                <a:lumOff val="60000"/>
                <a:alpha val="67000"/>
              </a:schemeClr>
            </a:solidFill>
            <a:ln>
              <a:noFill/>
            </a:ln>
          </c:spPr>
          <c:invertIfNegative val="0"/>
          <c:val>
            <c:numRef>
              <c:f>Operacional_10_dias!$AC$24:$AC$52</c:f>
              <c:numCache>
                <c:formatCode>0.0</c:formatCode>
                <c:ptCount val="29"/>
                <c:pt idx="0">
                  <c:v>1.8739810199400995</c:v>
                </c:pt>
                <c:pt idx="1">
                  <c:v>3.5743669305951831</c:v>
                </c:pt>
                <c:pt idx="2">
                  <c:v>6.0902894020061362</c:v>
                </c:pt>
                <c:pt idx="3">
                  <c:v>23.379420429365496</c:v>
                </c:pt>
                <c:pt idx="4">
                  <c:v>14.628482023902196</c:v>
                </c:pt>
                <c:pt idx="5">
                  <c:v>6.3365742618437073</c:v>
                </c:pt>
                <c:pt idx="6">
                  <c:v>1.9112568381984532</c:v>
                </c:pt>
                <c:pt idx="7">
                  <c:v>0.42522718957934413</c:v>
                </c:pt>
                <c:pt idx="8">
                  <c:v>3.235732341488867</c:v>
                </c:pt>
                <c:pt idx="9">
                  <c:v>10.696820386751661</c:v>
                </c:pt>
                <c:pt idx="10">
                  <c:v>14.698274516498451</c:v>
                </c:pt>
                <c:pt idx="11">
                  <c:v>16.539364215000159</c:v>
                </c:pt>
                <c:pt idx="12">
                  <c:v>6.616338004985983</c:v>
                </c:pt>
                <c:pt idx="13">
                  <c:v>5.2141017624034536</c:v>
                </c:pt>
                <c:pt idx="14">
                  <c:v>0.604633352342139</c:v>
                </c:pt>
                <c:pt idx="15">
                  <c:v>0.35864688280172424</c:v>
                </c:pt>
                <c:pt idx="16">
                  <c:v>0.10451122861875817</c:v>
                </c:pt>
                <c:pt idx="17">
                  <c:v>0.10893418164959043</c:v>
                </c:pt>
                <c:pt idx="18">
                  <c:v>5.1415960175666218</c:v>
                </c:pt>
                <c:pt idx="19">
                  <c:v>7.3898745664426038</c:v>
                </c:pt>
                <c:pt idx="20">
                  <c:v>5.7233457425335121</c:v>
                </c:pt>
                <c:pt idx="21">
                  <c:v>9.9126409843517127</c:v>
                </c:pt>
                <c:pt idx="22">
                  <c:v>20.714867868449449</c:v>
                </c:pt>
                <c:pt idx="23">
                  <c:v>10.037475437603732</c:v>
                </c:pt>
                <c:pt idx="24">
                  <c:v>2.2946317768124884</c:v>
                </c:pt>
                <c:pt idx="25">
                  <c:v>7.7064400084301132</c:v>
                </c:pt>
                <c:pt idx="26">
                  <c:v>15.943710435198005</c:v>
                </c:pt>
                <c:pt idx="27">
                  <c:v>10.996606365718334</c:v>
                </c:pt>
                <c:pt idx="28">
                  <c:v>6.0648584285925313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01A2-4AD9-8944-9A497B8D294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34"/>
        <c:overlap val="100"/>
        <c:axId val="660779456"/>
        <c:axId val="660774560"/>
      </c:barChart>
      <c:lineChart>
        <c:grouping val="standard"/>
        <c:varyColors val="0"/>
        <c:ser>
          <c:idx val="0"/>
          <c:order val="0"/>
          <c:tx>
            <c:v>Vazão obs</c:v>
          </c:tx>
          <c:marker>
            <c:symbol val="none"/>
          </c:marker>
          <c:cat>
            <c:numRef>
              <c:f>Operacional_10_dias!$A$24:$A$52</c:f>
              <c:numCache>
                <c:formatCode>m/d/yyyy</c:formatCode>
                <c:ptCount val="29"/>
                <c:pt idx="0">
                  <c:v>42429</c:v>
                </c:pt>
                <c:pt idx="1">
                  <c:v>42430</c:v>
                </c:pt>
                <c:pt idx="2">
                  <c:v>42431</c:v>
                </c:pt>
                <c:pt idx="3">
                  <c:v>42432</c:v>
                </c:pt>
                <c:pt idx="4">
                  <c:v>42433</c:v>
                </c:pt>
                <c:pt idx="5">
                  <c:v>42434</c:v>
                </c:pt>
                <c:pt idx="6">
                  <c:v>42435</c:v>
                </c:pt>
                <c:pt idx="7">
                  <c:v>42436</c:v>
                </c:pt>
                <c:pt idx="8">
                  <c:v>42437</c:v>
                </c:pt>
                <c:pt idx="9">
                  <c:v>42438</c:v>
                </c:pt>
                <c:pt idx="10">
                  <c:v>42439</c:v>
                </c:pt>
                <c:pt idx="11">
                  <c:v>42440</c:v>
                </c:pt>
                <c:pt idx="12">
                  <c:v>42441</c:v>
                </c:pt>
                <c:pt idx="13">
                  <c:v>42442</c:v>
                </c:pt>
                <c:pt idx="14">
                  <c:v>42443</c:v>
                </c:pt>
                <c:pt idx="15">
                  <c:v>42444</c:v>
                </c:pt>
                <c:pt idx="16">
                  <c:v>42445</c:v>
                </c:pt>
                <c:pt idx="17">
                  <c:v>42446</c:v>
                </c:pt>
                <c:pt idx="18">
                  <c:v>42447</c:v>
                </c:pt>
                <c:pt idx="19">
                  <c:v>42448</c:v>
                </c:pt>
                <c:pt idx="20">
                  <c:v>42449</c:v>
                </c:pt>
                <c:pt idx="21">
                  <c:v>42450</c:v>
                </c:pt>
                <c:pt idx="22">
                  <c:v>42451</c:v>
                </c:pt>
                <c:pt idx="23">
                  <c:v>42452</c:v>
                </c:pt>
                <c:pt idx="24">
                  <c:v>42453</c:v>
                </c:pt>
                <c:pt idx="25">
                  <c:v>42454</c:v>
                </c:pt>
                <c:pt idx="26">
                  <c:v>42455</c:v>
                </c:pt>
                <c:pt idx="27">
                  <c:v>42456</c:v>
                </c:pt>
                <c:pt idx="28">
                  <c:v>42457</c:v>
                </c:pt>
              </c:numCache>
            </c:numRef>
          </c:cat>
          <c:val>
            <c:numRef>
              <c:f>Operacional_10_dias!$B$24:$B$52</c:f>
              <c:numCache>
                <c:formatCode>0</c:formatCode>
                <c:ptCount val="29"/>
                <c:pt idx="0">
                  <c:v>1035.03556978713</c:v>
                </c:pt>
                <c:pt idx="1">
                  <c:v>894.423546771171</c:v>
                </c:pt>
                <c:pt idx="2">
                  <c:v>770.51679494953601</c:v>
                </c:pt>
                <c:pt idx="3">
                  <c:v>2008.20300002503</c:v>
                </c:pt>
                <c:pt idx="4">
                  <c:v>2064.5436128544702</c:v>
                </c:pt>
                <c:pt idx="5">
                  <c:v>1933.3914916014901</c:v>
                </c:pt>
                <c:pt idx="6">
                  <c:v>1700.6263589523101</c:v>
                </c:pt>
                <c:pt idx="7">
                  <c:v>1339.08532292257</c:v>
                </c:pt>
                <c:pt idx="8">
                  <c:v>1099.2439515618901</c:v>
                </c:pt>
                <c:pt idx="9">
                  <c:v>1180.2527855814201</c:v>
                </c:pt>
                <c:pt idx="10">
                  <c:v>1709.14781201286</c:v>
                </c:pt>
                <c:pt idx="11">
                  <c:v>2064.19808210052</c:v>
                </c:pt>
                <c:pt idx="12">
                  <c:v>2041.8017553371501</c:v>
                </c:pt>
                <c:pt idx="13">
                  <c:v>1897.4468000433001</c:v>
                </c:pt>
                <c:pt idx="14">
                  <c:v>1561.3107932038799</c:v>
                </c:pt>
                <c:pt idx="15">
                  <c:v>1289.2214994701901</c:v>
                </c:pt>
                <c:pt idx="16">
                  <c:v>1090.66473545695</c:v>
                </c:pt>
                <c:pt idx="17">
                  <c:v>929.17803163181395</c:v>
                </c:pt>
                <c:pt idx="18">
                  <c:v>832.586682242763</c:v>
                </c:pt>
                <c:pt idx="19">
                  <c:v>760.89026976625405</c:v>
                </c:pt>
                <c:pt idx="20">
                  <c:v>671.57040358134805</c:v>
                </c:pt>
                <c:pt idx="21">
                  <c:v>907.67806605403598</c:v>
                </c:pt>
                <c:pt idx="22">
                  <c:v>2079.9068913917499</c:v>
                </c:pt>
                <c:pt idx="23">
                  <c:v>2114</c:v>
                </c:pt>
                <c:pt idx="24">
                  <c:v>1609</c:v>
                </c:pt>
                <c:pt idx="25">
                  <c:v>1553</c:v>
                </c:pt>
                <c:pt idx="26">
                  <c:v>2283</c:v>
                </c:pt>
                <c:pt idx="27">
                  <c:v>2411</c:v>
                </c:pt>
                <c:pt idx="28">
                  <c:v>2110</c:v>
                </c:pt>
              </c:numCache>
            </c:numRef>
          </c:val>
          <c:smooth val="1"/>
          <c:extLst>
            <c:ext xmlns:c16="http://schemas.microsoft.com/office/drawing/2014/chart" uri="{C3380CC4-5D6E-409C-BE32-E72D297353CC}">
              <c16:uniqueId val="{00000001-01A2-4AD9-8944-9A497B8D2946}"/>
            </c:ext>
          </c:extLst>
        </c:ser>
        <c:ser>
          <c:idx val="1"/>
          <c:order val="1"/>
          <c:tx>
            <c:v>Q calc</c:v>
          </c:tx>
          <c:marker>
            <c:symbol val="none"/>
          </c:marker>
          <c:cat>
            <c:numRef>
              <c:f>Operacional_10_dias!$A$24:$A$52</c:f>
              <c:numCache>
                <c:formatCode>m/d/yyyy</c:formatCode>
                <c:ptCount val="29"/>
                <c:pt idx="0">
                  <c:v>42429</c:v>
                </c:pt>
                <c:pt idx="1">
                  <c:v>42430</c:v>
                </c:pt>
                <c:pt idx="2">
                  <c:v>42431</c:v>
                </c:pt>
                <c:pt idx="3">
                  <c:v>42432</c:v>
                </c:pt>
                <c:pt idx="4">
                  <c:v>42433</c:v>
                </c:pt>
                <c:pt idx="5">
                  <c:v>42434</c:v>
                </c:pt>
                <c:pt idx="6">
                  <c:v>42435</c:v>
                </c:pt>
                <c:pt idx="7">
                  <c:v>42436</c:v>
                </c:pt>
                <c:pt idx="8">
                  <c:v>42437</c:v>
                </c:pt>
                <c:pt idx="9">
                  <c:v>42438</c:v>
                </c:pt>
                <c:pt idx="10">
                  <c:v>42439</c:v>
                </c:pt>
                <c:pt idx="11">
                  <c:v>42440</c:v>
                </c:pt>
                <c:pt idx="12">
                  <c:v>42441</c:v>
                </c:pt>
                <c:pt idx="13">
                  <c:v>42442</c:v>
                </c:pt>
                <c:pt idx="14">
                  <c:v>42443</c:v>
                </c:pt>
                <c:pt idx="15">
                  <c:v>42444</c:v>
                </c:pt>
                <c:pt idx="16">
                  <c:v>42445</c:v>
                </c:pt>
                <c:pt idx="17">
                  <c:v>42446</c:v>
                </c:pt>
                <c:pt idx="18">
                  <c:v>42447</c:v>
                </c:pt>
                <c:pt idx="19">
                  <c:v>42448</c:v>
                </c:pt>
                <c:pt idx="20">
                  <c:v>42449</c:v>
                </c:pt>
                <c:pt idx="21">
                  <c:v>42450</c:v>
                </c:pt>
                <c:pt idx="22">
                  <c:v>42451</c:v>
                </c:pt>
                <c:pt idx="23">
                  <c:v>42452</c:v>
                </c:pt>
                <c:pt idx="24">
                  <c:v>42453</c:v>
                </c:pt>
                <c:pt idx="25">
                  <c:v>42454</c:v>
                </c:pt>
                <c:pt idx="26">
                  <c:v>42455</c:v>
                </c:pt>
                <c:pt idx="27">
                  <c:v>42456</c:v>
                </c:pt>
                <c:pt idx="28">
                  <c:v>42457</c:v>
                </c:pt>
              </c:numCache>
            </c:numRef>
          </c:cat>
          <c:val>
            <c:numRef>
              <c:f>Operacional_10_dias!$E$24:$E$52</c:f>
              <c:numCache>
                <c:formatCode>0</c:formatCode>
                <c:ptCount val="29"/>
                <c:pt idx="0">
                  <c:v>1049.422528724215</c:v>
                </c:pt>
                <c:pt idx="1">
                  <c:v>862.97064693653431</c:v>
                </c:pt>
                <c:pt idx="2">
                  <c:v>781.87694485499287</c:v>
                </c:pt>
                <c:pt idx="3">
                  <c:v>2015.2835387628393</c:v>
                </c:pt>
                <c:pt idx="4">
                  <c:v>2316.447365852468</c:v>
                </c:pt>
                <c:pt idx="5">
                  <c:v>1949.1376615096544</c:v>
                </c:pt>
                <c:pt idx="6">
                  <c:v>1535.3191391419666</c:v>
                </c:pt>
                <c:pt idx="7">
                  <c:v>1225.7764075248226</c:v>
                </c:pt>
                <c:pt idx="8">
                  <c:v>1002.62722551921</c:v>
                </c:pt>
                <c:pt idx="9">
                  <c:v>1181.3037124829168</c:v>
                </c:pt>
                <c:pt idx="10">
                  <c:v>1710.1463410102242</c:v>
                </c:pt>
                <c:pt idx="11">
                  <c:v>2440.2438718612666</c:v>
                </c:pt>
                <c:pt idx="12">
                  <c:v>2112.1861731406452</c:v>
                </c:pt>
                <c:pt idx="13">
                  <c:v>1772.7470839815267</c:v>
                </c:pt>
                <c:pt idx="14">
                  <c:v>1415.7528971016848</c:v>
                </c:pt>
                <c:pt idx="15">
                  <c:v>1148.6104543408542</c:v>
                </c:pt>
                <c:pt idx="16">
                  <c:v>946.87640018726324</c:v>
                </c:pt>
                <c:pt idx="17">
                  <c:v>794.10919165361429</c:v>
                </c:pt>
                <c:pt idx="18">
                  <c:v>726.41791195110068</c:v>
                </c:pt>
                <c:pt idx="19">
                  <c:v>758.86321682710786</c:v>
                </c:pt>
                <c:pt idx="20">
                  <c:v>720.69132105233962</c:v>
                </c:pt>
                <c:pt idx="21">
                  <c:v>907.72537981185394</c:v>
                </c:pt>
                <c:pt idx="22">
                  <c:v>2080.3405279106382</c:v>
                </c:pt>
                <c:pt idx="23">
                  <c:v>2071.0357635072796</c:v>
                </c:pt>
                <c:pt idx="24">
                  <c:v>1645.3172901389632</c:v>
                </c:pt>
                <c:pt idx="25">
                  <c:v>1553.3510188338412</c:v>
                </c:pt>
                <c:pt idx="26">
                  <c:v>2283.0119370215161</c:v>
                </c:pt>
                <c:pt idx="27">
                  <c:v>2416.4325795814093</c:v>
                </c:pt>
                <c:pt idx="28">
                  <c:v>2090.196038220738</c:v>
                </c:pt>
              </c:numCache>
            </c:numRef>
          </c:val>
          <c:smooth val="1"/>
          <c:extLst>
            <c:ext xmlns:c16="http://schemas.microsoft.com/office/drawing/2014/chart" uri="{C3380CC4-5D6E-409C-BE32-E72D297353CC}">
              <c16:uniqueId val="{00000002-01A2-4AD9-8944-9A497B8D2946}"/>
            </c:ext>
          </c:extLst>
        </c:ser>
        <c:ser>
          <c:idx val="2"/>
          <c:order val="2"/>
          <c:tx>
            <c:v>Escoamento base</c:v>
          </c:tx>
          <c:marker>
            <c:symbol val="none"/>
          </c:marker>
          <c:cat>
            <c:numRef>
              <c:f>Operacional_10_dias!$A$24:$A$52</c:f>
              <c:numCache>
                <c:formatCode>m/d/yyyy</c:formatCode>
                <c:ptCount val="29"/>
                <c:pt idx="0">
                  <c:v>42429</c:v>
                </c:pt>
                <c:pt idx="1">
                  <c:v>42430</c:v>
                </c:pt>
                <c:pt idx="2">
                  <c:v>42431</c:v>
                </c:pt>
                <c:pt idx="3">
                  <c:v>42432</c:v>
                </c:pt>
                <c:pt idx="4">
                  <c:v>42433</c:v>
                </c:pt>
                <c:pt idx="5">
                  <c:v>42434</c:v>
                </c:pt>
                <c:pt idx="6">
                  <c:v>42435</c:v>
                </c:pt>
                <c:pt idx="7">
                  <c:v>42436</c:v>
                </c:pt>
                <c:pt idx="8">
                  <c:v>42437</c:v>
                </c:pt>
                <c:pt idx="9">
                  <c:v>42438</c:v>
                </c:pt>
                <c:pt idx="10">
                  <c:v>42439</c:v>
                </c:pt>
                <c:pt idx="11">
                  <c:v>42440</c:v>
                </c:pt>
                <c:pt idx="12">
                  <c:v>42441</c:v>
                </c:pt>
                <c:pt idx="13">
                  <c:v>42442</c:v>
                </c:pt>
                <c:pt idx="14">
                  <c:v>42443</c:v>
                </c:pt>
                <c:pt idx="15">
                  <c:v>42444</c:v>
                </c:pt>
                <c:pt idx="16">
                  <c:v>42445</c:v>
                </c:pt>
                <c:pt idx="17">
                  <c:v>42446</c:v>
                </c:pt>
                <c:pt idx="18">
                  <c:v>42447</c:v>
                </c:pt>
                <c:pt idx="19">
                  <c:v>42448</c:v>
                </c:pt>
                <c:pt idx="20">
                  <c:v>42449</c:v>
                </c:pt>
                <c:pt idx="21">
                  <c:v>42450</c:v>
                </c:pt>
                <c:pt idx="22">
                  <c:v>42451</c:v>
                </c:pt>
                <c:pt idx="23">
                  <c:v>42452</c:v>
                </c:pt>
                <c:pt idx="24">
                  <c:v>42453</c:v>
                </c:pt>
                <c:pt idx="25">
                  <c:v>42454</c:v>
                </c:pt>
                <c:pt idx="26">
                  <c:v>42455</c:v>
                </c:pt>
                <c:pt idx="27">
                  <c:v>42456</c:v>
                </c:pt>
                <c:pt idx="28">
                  <c:v>42457</c:v>
                </c:pt>
              </c:numCache>
            </c:numRef>
          </c:cat>
          <c:val>
            <c:numRef>
              <c:f>Operacional_10_dias!$F$24:$F$52</c:f>
              <c:numCache>
                <c:formatCode>0.00</c:formatCode>
                <c:ptCount val="29"/>
                <c:pt idx="0">
                  <c:v>249.8449596097982</c:v>
                </c:pt>
                <c:pt idx="1">
                  <c:v>250.00754634773659</c:v>
                </c:pt>
                <c:pt idx="2">
                  <c:v>249.21185308259496</c:v>
                </c:pt>
                <c:pt idx="3">
                  <c:v>248.143835730674</c:v>
                </c:pt>
                <c:pt idx="4">
                  <c:v>247.52851275148947</c:v>
                </c:pt>
                <c:pt idx="5">
                  <c:v>251.76213945349801</c:v>
                </c:pt>
                <c:pt idx="6">
                  <c:v>258.79078079509446</c:v>
                </c:pt>
                <c:pt idx="7">
                  <c:v>265.75039767062344</c:v>
                </c:pt>
                <c:pt idx="8">
                  <c:v>270.8291002228458</c:v>
                </c:pt>
                <c:pt idx="9">
                  <c:v>273.75061278692425</c:v>
                </c:pt>
                <c:pt idx="10">
                  <c:v>275.87593399071278</c:v>
                </c:pt>
                <c:pt idx="11">
                  <c:v>279.834878425569</c:v>
                </c:pt>
                <c:pt idx="12">
                  <c:v>286.59828962859422</c:v>
                </c:pt>
                <c:pt idx="13">
                  <c:v>296.10649094486013</c:v>
                </c:pt>
                <c:pt idx="14">
                  <c:v>305.23046549854746</c:v>
                </c:pt>
                <c:pt idx="15">
                  <c:v>313.43087380556437</c:v>
                </c:pt>
                <c:pt idx="16">
                  <c:v>318.77118421592644</c:v>
                </c:pt>
                <c:pt idx="17">
                  <c:v>321.73633732982518</c:v>
                </c:pt>
                <c:pt idx="18">
                  <c:v>322.72809361252524</c:v>
                </c:pt>
                <c:pt idx="19">
                  <c:v>322.16022813526422</c:v>
                </c:pt>
                <c:pt idx="20">
                  <c:v>321.57019299747486</c:v>
                </c:pt>
                <c:pt idx="21">
                  <c:v>321.82918876354728</c:v>
                </c:pt>
                <c:pt idx="22">
                  <c:v>322.32107607714011</c:v>
                </c:pt>
                <c:pt idx="23">
                  <c:v>324.4469187804396</c:v>
                </c:pt>
                <c:pt idx="24">
                  <c:v>330.8304488518869</c:v>
                </c:pt>
                <c:pt idx="25">
                  <c:v>338.36449651818793</c:v>
                </c:pt>
                <c:pt idx="26">
                  <c:v>343.93605125661549</c:v>
                </c:pt>
                <c:pt idx="27">
                  <c:v>349.99296704631161</c:v>
                </c:pt>
                <c:pt idx="28">
                  <c:v>358.64357013483868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01A2-4AD9-8944-9A497B8D294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60782720"/>
        <c:axId val="660782176"/>
      </c:lineChart>
      <c:dateAx>
        <c:axId val="660782720"/>
        <c:scaling>
          <c:orientation val="minMax"/>
        </c:scaling>
        <c:delete val="0"/>
        <c:axPos val="b"/>
        <c:numFmt formatCode="m/d/yyyy" sourceLinked="0"/>
        <c:majorTickMark val="out"/>
        <c:minorTickMark val="none"/>
        <c:tickLblPos val="nextTo"/>
        <c:txPr>
          <a:bodyPr rot="0" vert="horz"/>
          <a:lstStyle/>
          <a:p>
            <a:pPr>
              <a:defRPr/>
            </a:pPr>
            <a:endParaRPr lang="pt-BR"/>
          </a:p>
        </c:txPr>
        <c:crossAx val="660782176"/>
        <c:crosses val="autoZero"/>
        <c:auto val="0"/>
        <c:lblOffset val="100"/>
        <c:baseTimeUnit val="days"/>
        <c:minorUnit val="1"/>
      </c:dateAx>
      <c:valAx>
        <c:axId val="660782176"/>
        <c:scaling>
          <c:orientation val="minMax"/>
          <c:min val="0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pt-BR"/>
                  <a:t>Vazões (m³/s)</a:t>
                </a:r>
              </a:p>
            </c:rich>
          </c:tx>
          <c:layout>
            <c:manualLayout>
              <c:xMode val="edge"/>
              <c:yMode val="edge"/>
              <c:x val="5.3936113587626873E-5"/>
              <c:y val="0.3198800936316068"/>
            </c:manualLayout>
          </c:layout>
          <c:overlay val="0"/>
        </c:title>
        <c:numFmt formatCode="0" sourceLinked="0"/>
        <c:majorTickMark val="out"/>
        <c:minorTickMark val="none"/>
        <c:tickLblPos val="nextTo"/>
        <c:txPr>
          <a:bodyPr rot="0" vert="horz"/>
          <a:lstStyle/>
          <a:p>
            <a:pPr>
              <a:defRPr/>
            </a:pPr>
            <a:endParaRPr lang="pt-BR"/>
          </a:p>
        </c:txPr>
        <c:crossAx val="660782720"/>
        <c:crossesAt val="42163"/>
        <c:crossBetween val="between"/>
      </c:valAx>
      <c:valAx>
        <c:axId val="660774560"/>
        <c:scaling>
          <c:orientation val="maxMin"/>
          <c:max val="150"/>
          <c:min val="0"/>
        </c:scaling>
        <c:delete val="0"/>
        <c:axPos val="r"/>
        <c:title>
          <c:tx>
            <c:rich>
              <a:bodyPr/>
              <a:lstStyle/>
              <a:p>
                <a:pPr>
                  <a:defRPr/>
                </a:pPr>
                <a:r>
                  <a:rPr lang="pt-BR"/>
                  <a:t>Precipitação (mm)</a:t>
                </a:r>
              </a:p>
            </c:rich>
          </c:tx>
          <c:layout>
            <c:manualLayout>
              <c:xMode val="edge"/>
              <c:yMode val="edge"/>
              <c:x val="0.96814726840855103"/>
              <c:y val="0.26795561850802646"/>
            </c:manualLayout>
          </c:layout>
          <c:overlay val="0"/>
        </c:title>
        <c:numFmt formatCode="0" sourceLinked="0"/>
        <c:majorTickMark val="out"/>
        <c:minorTickMark val="none"/>
        <c:tickLblPos val="nextTo"/>
        <c:crossAx val="660779456"/>
        <c:crosses val="max"/>
        <c:crossBetween val="between"/>
        <c:majorUnit val="10"/>
      </c:valAx>
      <c:catAx>
        <c:axId val="660779456"/>
        <c:scaling>
          <c:orientation val="minMax"/>
        </c:scaling>
        <c:delete val="1"/>
        <c:axPos val="t"/>
        <c:numFmt formatCode="mmm\-yy" sourceLinked="1"/>
        <c:majorTickMark val="out"/>
        <c:minorTickMark val="none"/>
        <c:tickLblPos val="nextTo"/>
        <c:crossAx val="660774560"/>
        <c:crosses val="autoZero"/>
        <c:auto val="0"/>
        <c:lblAlgn val="ctr"/>
        <c:lblOffset val="100"/>
        <c:noMultiLvlLbl val="1"/>
      </c:catAx>
    </c:plotArea>
    <c:legend>
      <c:legendPos val="r"/>
      <c:layout>
        <c:manualLayout>
          <c:xMode val="edge"/>
          <c:yMode val="edge"/>
          <c:x val="0"/>
          <c:y val="0.91977730563424609"/>
          <c:w val="1"/>
          <c:h val="8.0222694365753855E-2"/>
        </c:manualLayout>
      </c:layout>
      <c:overlay val="0"/>
    </c:legend>
    <c:plotVisOnly val="1"/>
    <c:dispBlanksAs val="gap"/>
    <c:showDLblsOverMax val="0"/>
  </c:chart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0291270783847981"/>
          <c:y val="1.5777554121524279E-2"/>
          <c:w val="0.81509369226708894"/>
          <c:h val="0.77590966320428068"/>
        </c:manualLayout>
      </c:layout>
      <c:barChart>
        <c:barDir val="col"/>
        <c:grouping val="clustered"/>
        <c:varyColors val="0"/>
        <c:ser>
          <c:idx val="4"/>
          <c:order val="4"/>
          <c:tx>
            <c:v>Chuva obs Esq</c:v>
          </c:tx>
          <c:spPr>
            <a:solidFill>
              <a:schemeClr val="tx2">
                <a:lumMod val="40000"/>
                <a:lumOff val="60000"/>
                <a:alpha val="67000"/>
              </a:schemeClr>
            </a:solidFill>
            <a:ln>
              <a:noFill/>
            </a:ln>
          </c:spPr>
          <c:invertIfNegative val="0"/>
          <c:val>
            <c:numRef>
              <c:f>Operacional_10_dias!$I$24:$I$53</c:f>
              <c:numCache>
                <c:formatCode>0.00</c:formatCode>
                <c:ptCount val="30"/>
                <c:pt idx="0">
                  <c:v>0.46</c:v>
                </c:pt>
                <c:pt idx="1">
                  <c:v>0.24</c:v>
                </c:pt>
                <c:pt idx="2">
                  <c:v>9.3000000000000007</c:v>
                </c:pt>
                <c:pt idx="3">
                  <c:v>31.29</c:v>
                </c:pt>
                <c:pt idx="4">
                  <c:v>4.3499999999999996</c:v>
                </c:pt>
                <c:pt idx="5">
                  <c:v>1.32</c:v>
                </c:pt>
                <c:pt idx="6">
                  <c:v>0.41</c:v>
                </c:pt>
                <c:pt idx="7">
                  <c:v>0.32</c:v>
                </c:pt>
                <c:pt idx="8">
                  <c:v>7.0000000000000007E-2</c:v>
                </c:pt>
                <c:pt idx="9">
                  <c:v>9.34</c:v>
                </c:pt>
                <c:pt idx="10">
                  <c:v>23.52</c:v>
                </c:pt>
                <c:pt idx="11">
                  <c:v>3.09</c:v>
                </c:pt>
                <c:pt idx="12">
                  <c:v>2.86</c:v>
                </c:pt>
                <c:pt idx="13">
                  <c:v>0.73</c:v>
                </c:pt>
                <c:pt idx="14">
                  <c:v>0.59</c:v>
                </c:pt>
                <c:pt idx="15">
                  <c:v>7.0000000000000007E-2</c:v>
                </c:pt>
                <c:pt idx="16">
                  <c:v>0.13</c:v>
                </c:pt>
                <c:pt idx="17">
                  <c:v>0.06</c:v>
                </c:pt>
                <c:pt idx="18">
                  <c:v>0.1</c:v>
                </c:pt>
                <c:pt idx="19">
                  <c:v>12.71</c:v>
                </c:pt>
                <c:pt idx="20">
                  <c:v>2.7</c:v>
                </c:pt>
                <c:pt idx="21">
                  <c:v>24.95</c:v>
                </c:pt>
                <c:pt idx="22">
                  <c:v>18.13</c:v>
                </c:pt>
                <c:pt idx="23">
                  <c:v>0.83</c:v>
                </c:pt>
                <c:pt idx="24">
                  <c:v>0.12</c:v>
                </c:pt>
                <c:pt idx="25">
                  <c:v>16.02</c:v>
                </c:pt>
                <c:pt idx="26">
                  <c:v>37.82</c:v>
                </c:pt>
                <c:pt idx="27">
                  <c:v>4.7</c:v>
                </c:pt>
                <c:pt idx="28">
                  <c:v>1.23</c:v>
                </c:pt>
                <c:pt idx="29">
                  <c:v>0.25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45C6-4E0C-8543-5BA627800785}"/>
            </c:ext>
          </c:extLst>
        </c:ser>
        <c:ser>
          <c:idx val="5"/>
          <c:order val="5"/>
          <c:tx>
            <c:v>Chuva prev</c:v>
          </c:tx>
          <c:spPr>
            <a:solidFill>
              <a:schemeClr val="accent4"/>
            </a:solidFill>
            <a:ln>
              <a:noFill/>
            </a:ln>
          </c:spPr>
          <c:invertIfNegative val="0"/>
          <c:dPt>
            <c:idx val="39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1-45C6-4E0C-8543-5BA627800785}"/>
              </c:ext>
            </c:extLst>
          </c:dPt>
          <c:val>
            <c:numRef>
              <c:f>Operacional_10_dias!$BK$24:$BK$63</c:f>
              <c:numCache>
                <c:formatCode>General</c:formatCode>
                <c:ptCount val="40"/>
                <c:pt idx="30" formatCode="0.00">
                  <c:v>0.04</c:v>
                </c:pt>
                <c:pt idx="31" formatCode="0.00">
                  <c:v>0.12</c:v>
                </c:pt>
                <c:pt idx="32" formatCode="0.00">
                  <c:v>0.25</c:v>
                </c:pt>
                <c:pt idx="33" formatCode="0.00">
                  <c:v>0.49</c:v>
                </c:pt>
                <c:pt idx="34" formatCode="0.00">
                  <c:v>11.54</c:v>
                </c:pt>
                <c:pt idx="35" formatCode="0.00">
                  <c:v>12.39</c:v>
                </c:pt>
                <c:pt idx="36" formatCode="0.00">
                  <c:v>2.25</c:v>
                </c:pt>
                <c:pt idx="37" formatCode="0.00">
                  <c:v>11.93</c:v>
                </c:pt>
                <c:pt idx="38" formatCode="0.00">
                  <c:v>4.37</c:v>
                </c:pt>
                <c:pt idx="39" formatCode="0.00">
                  <c:v>0.06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45C6-4E0C-8543-5BA62780078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35"/>
        <c:overlap val="100"/>
        <c:axId val="660772384"/>
        <c:axId val="660769120"/>
      </c:barChart>
      <c:lineChart>
        <c:grouping val="standard"/>
        <c:varyColors val="0"/>
        <c:ser>
          <c:idx val="0"/>
          <c:order val="0"/>
          <c:tx>
            <c:v>Q obs</c:v>
          </c:tx>
          <c:spPr>
            <a:ln>
              <a:solidFill>
                <a:schemeClr val="accent1"/>
              </a:solidFill>
            </a:ln>
          </c:spPr>
          <c:marker>
            <c:symbol val="square"/>
            <c:size val="4"/>
            <c:spPr>
              <a:ln>
                <a:solidFill>
                  <a:schemeClr val="accent1"/>
                </a:solidFill>
              </a:ln>
            </c:spPr>
          </c:marker>
          <c:cat>
            <c:numRef>
              <c:f>Operacional_10_dias!$A$24:$A$63</c:f>
              <c:numCache>
                <c:formatCode>m/d/yyyy</c:formatCode>
                <c:ptCount val="40"/>
                <c:pt idx="0">
                  <c:v>42429</c:v>
                </c:pt>
                <c:pt idx="1">
                  <c:v>42430</c:v>
                </c:pt>
                <c:pt idx="2">
                  <c:v>42431</c:v>
                </c:pt>
                <c:pt idx="3">
                  <c:v>42432</c:v>
                </c:pt>
                <c:pt idx="4">
                  <c:v>42433</c:v>
                </c:pt>
                <c:pt idx="5">
                  <c:v>42434</c:v>
                </c:pt>
                <c:pt idx="6">
                  <c:v>42435</c:v>
                </c:pt>
                <c:pt idx="7">
                  <c:v>42436</c:v>
                </c:pt>
                <c:pt idx="8">
                  <c:v>42437</c:v>
                </c:pt>
                <c:pt idx="9">
                  <c:v>42438</c:v>
                </c:pt>
                <c:pt idx="10">
                  <c:v>42439</c:v>
                </c:pt>
                <c:pt idx="11">
                  <c:v>42440</c:v>
                </c:pt>
                <c:pt idx="12">
                  <c:v>42441</c:v>
                </c:pt>
                <c:pt idx="13">
                  <c:v>42442</c:v>
                </c:pt>
                <c:pt idx="14">
                  <c:v>42443</c:v>
                </c:pt>
                <c:pt idx="15">
                  <c:v>42444</c:v>
                </c:pt>
                <c:pt idx="16">
                  <c:v>42445</c:v>
                </c:pt>
                <c:pt idx="17">
                  <c:v>42446</c:v>
                </c:pt>
                <c:pt idx="18">
                  <c:v>42447</c:v>
                </c:pt>
                <c:pt idx="19">
                  <c:v>42448</c:v>
                </c:pt>
                <c:pt idx="20">
                  <c:v>42449</c:v>
                </c:pt>
                <c:pt idx="21">
                  <c:v>42450</c:v>
                </c:pt>
                <c:pt idx="22">
                  <c:v>42451</c:v>
                </c:pt>
                <c:pt idx="23">
                  <c:v>42452</c:v>
                </c:pt>
                <c:pt idx="24">
                  <c:v>42453</c:v>
                </c:pt>
                <c:pt idx="25">
                  <c:v>42454</c:v>
                </c:pt>
                <c:pt idx="26">
                  <c:v>42455</c:v>
                </c:pt>
                <c:pt idx="27">
                  <c:v>42456</c:v>
                </c:pt>
                <c:pt idx="28">
                  <c:v>42457</c:v>
                </c:pt>
                <c:pt idx="29">
                  <c:v>42458</c:v>
                </c:pt>
                <c:pt idx="30">
                  <c:v>42459</c:v>
                </c:pt>
                <c:pt idx="31">
                  <c:v>42460</c:v>
                </c:pt>
                <c:pt idx="32">
                  <c:v>42461</c:v>
                </c:pt>
                <c:pt idx="33">
                  <c:v>42462</c:v>
                </c:pt>
                <c:pt idx="34">
                  <c:v>42463</c:v>
                </c:pt>
                <c:pt idx="35">
                  <c:v>42464</c:v>
                </c:pt>
                <c:pt idx="36">
                  <c:v>42465</c:v>
                </c:pt>
                <c:pt idx="37">
                  <c:v>42466</c:v>
                </c:pt>
                <c:pt idx="38">
                  <c:v>42467</c:v>
                </c:pt>
                <c:pt idx="39">
                  <c:v>42468</c:v>
                </c:pt>
              </c:numCache>
            </c:numRef>
          </c:cat>
          <c:val>
            <c:numRef>
              <c:f>Operacional_10_dias!$B$24:$B$53</c:f>
              <c:numCache>
                <c:formatCode>0</c:formatCode>
                <c:ptCount val="30"/>
                <c:pt idx="0">
                  <c:v>1035.03556978713</c:v>
                </c:pt>
                <c:pt idx="1">
                  <c:v>894.423546771171</c:v>
                </c:pt>
                <c:pt idx="2">
                  <c:v>770.51679494953601</c:v>
                </c:pt>
                <c:pt idx="3">
                  <c:v>2008.20300002503</c:v>
                </c:pt>
                <c:pt idx="4">
                  <c:v>2064.5436128544702</c:v>
                </c:pt>
                <c:pt idx="5">
                  <c:v>1933.3914916014901</c:v>
                </c:pt>
                <c:pt idx="6">
                  <c:v>1700.6263589523101</c:v>
                </c:pt>
                <c:pt idx="7">
                  <c:v>1339.08532292257</c:v>
                </c:pt>
                <c:pt idx="8">
                  <c:v>1099.2439515618901</c:v>
                </c:pt>
                <c:pt idx="9">
                  <c:v>1180.2527855814201</c:v>
                </c:pt>
                <c:pt idx="10">
                  <c:v>1709.14781201286</c:v>
                </c:pt>
                <c:pt idx="11">
                  <c:v>2064.19808210052</c:v>
                </c:pt>
                <c:pt idx="12">
                  <c:v>2041.8017553371501</c:v>
                </c:pt>
                <c:pt idx="13">
                  <c:v>1897.4468000433001</c:v>
                </c:pt>
                <c:pt idx="14">
                  <c:v>1561.3107932038799</c:v>
                </c:pt>
                <c:pt idx="15">
                  <c:v>1289.2214994701901</c:v>
                </c:pt>
                <c:pt idx="16">
                  <c:v>1090.66473545695</c:v>
                </c:pt>
                <c:pt idx="17">
                  <c:v>929.17803163181395</c:v>
                </c:pt>
                <c:pt idx="18">
                  <c:v>832.586682242763</c:v>
                </c:pt>
                <c:pt idx="19">
                  <c:v>760.89026976625405</c:v>
                </c:pt>
                <c:pt idx="20">
                  <c:v>671.57040358134805</c:v>
                </c:pt>
                <c:pt idx="21">
                  <c:v>907.67806605403598</c:v>
                </c:pt>
                <c:pt idx="22">
                  <c:v>2079.9068913917499</c:v>
                </c:pt>
                <c:pt idx="23">
                  <c:v>2114</c:v>
                </c:pt>
                <c:pt idx="24">
                  <c:v>1609</c:v>
                </c:pt>
                <c:pt idx="25">
                  <c:v>1553</c:v>
                </c:pt>
                <c:pt idx="26">
                  <c:v>2283</c:v>
                </c:pt>
                <c:pt idx="27">
                  <c:v>2411</c:v>
                </c:pt>
                <c:pt idx="28">
                  <c:v>2110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45C6-4E0C-8543-5BA627800785}"/>
            </c:ext>
          </c:extLst>
        </c:ser>
        <c:ser>
          <c:idx val="3"/>
          <c:order val="1"/>
          <c:tx>
            <c:v>Q prev</c:v>
          </c:tx>
          <c:spPr>
            <a:ln>
              <a:solidFill>
                <a:schemeClr val="accent6">
                  <a:lumMod val="75000"/>
                </a:schemeClr>
              </a:solidFill>
            </a:ln>
          </c:spPr>
          <c:marker>
            <c:symbol val="circle"/>
            <c:size val="3"/>
            <c:spPr>
              <a:solidFill>
                <a:schemeClr val="accent6">
                  <a:lumMod val="75000"/>
                </a:schemeClr>
              </a:solidFill>
              <a:ln>
                <a:solidFill>
                  <a:schemeClr val="accent6">
                    <a:lumMod val="75000"/>
                  </a:schemeClr>
                </a:solidFill>
              </a:ln>
            </c:spPr>
          </c:marker>
          <c:val>
            <c:numRef>
              <c:f>Operacional_10_dias!$E$24:$E$63</c:f>
              <c:numCache>
                <c:formatCode>0</c:formatCode>
                <c:ptCount val="40"/>
                <c:pt idx="0">
                  <c:v>1049.422528724215</c:v>
                </c:pt>
                <c:pt idx="1">
                  <c:v>862.97064693653431</c:v>
                </c:pt>
                <c:pt idx="2">
                  <c:v>781.87694485499287</c:v>
                </c:pt>
                <c:pt idx="3">
                  <c:v>2015.2835387628393</c:v>
                </c:pt>
                <c:pt idx="4">
                  <c:v>2316.447365852468</c:v>
                </c:pt>
                <c:pt idx="5">
                  <c:v>1949.1376615096544</c:v>
                </c:pt>
                <c:pt idx="6">
                  <c:v>1535.3191391419666</c:v>
                </c:pt>
                <c:pt idx="7">
                  <c:v>1225.7764075248226</c:v>
                </c:pt>
                <c:pt idx="8">
                  <c:v>1002.62722551921</c:v>
                </c:pt>
                <c:pt idx="9">
                  <c:v>1181.3037124829168</c:v>
                </c:pt>
                <c:pt idx="10">
                  <c:v>1710.1463410102242</c:v>
                </c:pt>
                <c:pt idx="11">
                  <c:v>2440.2438718612666</c:v>
                </c:pt>
                <c:pt idx="12">
                  <c:v>2112.1861731406452</c:v>
                </c:pt>
                <c:pt idx="13">
                  <c:v>1772.7470839815267</c:v>
                </c:pt>
                <c:pt idx="14">
                  <c:v>1415.7528971016848</c:v>
                </c:pt>
                <c:pt idx="15">
                  <c:v>1148.6104543408542</c:v>
                </c:pt>
                <c:pt idx="16">
                  <c:v>946.87640018726324</c:v>
                </c:pt>
                <c:pt idx="17">
                  <c:v>794.10919165361429</c:v>
                </c:pt>
                <c:pt idx="18">
                  <c:v>726.41791195110068</c:v>
                </c:pt>
                <c:pt idx="19">
                  <c:v>758.86321682710786</c:v>
                </c:pt>
                <c:pt idx="20">
                  <c:v>720.69132105233962</c:v>
                </c:pt>
                <c:pt idx="21">
                  <c:v>907.72537981185394</c:v>
                </c:pt>
                <c:pt idx="22">
                  <c:v>2080.3405279106382</c:v>
                </c:pt>
                <c:pt idx="23">
                  <c:v>2071.0357635072796</c:v>
                </c:pt>
                <c:pt idx="24">
                  <c:v>1645.3172901389632</c:v>
                </c:pt>
                <c:pt idx="25">
                  <c:v>1553.3510188338412</c:v>
                </c:pt>
                <c:pt idx="26">
                  <c:v>2283.0119370215161</c:v>
                </c:pt>
                <c:pt idx="27">
                  <c:v>2416.4325795814093</c:v>
                </c:pt>
                <c:pt idx="28">
                  <c:v>2090.196038220738</c:v>
                </c:pt>
                <c:pt idx="29">
                  <c:v>1670.4192927883753</c:v>
                </c:pt>
                <c:pt idx="30">
                  <c:v>1356.3325791958575</c:v>
                </c:pt>
                <c:pt idx="31">
                  <c:v>1119.5881518246499</c:v>
                </c:pt>
                <c:pt idx="32">
                  <c:v>940.2777870958613</c:v>
                </c:pt>
                <c:pt idx="33">
                  <c:v>807.25314428438764</c:v>
                </c:pt>
                <c:pt idx="34">
                  <c:v>824.88776181619244</c:v>
                </c:pt>
                <c:pt idx="35">
                  <c:v>998.10469226625605</c:v>
                </c:pt>
                <c:pt idx="36">
                  <c:v>1084.1466387346607</c:v>
                </c:pt>
                <c:pt idx="37">
                  <c:v>1050.1131999087374</c:v>
                </c:pt>
                <c:pt idx="38">
                  <c:v>1053.4533326882686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45C6-4E0C-8543-5BA627800785}"/>
            </c:ext>
          </c:extLst>
        </c:ser>
        <c:ser>
          <c:idx val="1"/>
          <c:order val="2"/>
          <c:tx>
            <c:v>Q calc</c:v>
          </c:tx>
          <c:spPr>
            <a:ln>
              <a:solidFill>
                <a:schemeClr val="accent2"/>
              </a:solidFill>
            </a:ln>
          </c:spPr>
          <c:marker>
            <c:symbol val="square"/>
            <c:size val="4"/>
            <c:spPr>
              <a:ln>
                <a:solidFill>
                  <a:schemeClr val="accent2"/>
                </a:solidFill>
              </a:ln>
            </c:spPr>
          </c:marker>
          <c:cat>
            <c:numRef>
              <c:f>Operacional_10_dias!$A$24:$A$63</c:f>
              <c:numCache>
                <c:formatCode>m/d/yyyy</c:formatCode>
                <c:ptCount val="40"/>
                <c:pt idx="0">
                  <c:v>42429</c:v>
                </c:pt>
                <c:pt idx="1">
                  <c:v>42430</c:v>
                </c:pt>
                <c:pt idx="2">
                  <c:v>42431</c:v>
                </c:pt>
                <c:pt idx="3">
                  <c:v>42432</c:v>
                </c:pt>
                <c:pt idx="4">
                  <c:v>42433</c:v>
                </c:pt>
                <c:pt idx="5">
                  <c:v>42434</c:v>
                </c:pt>
                <c:pt idx="6">
                  <c:v>42435</c:v>
                </c:pt>
                <c:pt idx="7">
                  <c:v>42436</c:v>
                </c:pt>
                <c:pt idx="8">
                  <c:v>42437</c:v>
                </c:pt>
                <c:pt idx="9">
                  <c:v>42438</c:v>
                </c:pt>
                <c:pt idx="10">
                  <c:v>42439</c:v>
                </c:pt>
                <c:pt idx="11">
                  <c:v>42440</c:v>
                </c:pt>
                <c:pt idx="12">
                  <c:v>42441</c:v>
                </c:pt>
                <c:pt idx="13">
                  <c:v>42442</c:v>
                </c:pt>
                <c:pt idx="14">
                  <c:v>42443</c:v>
                </c:pt>
                <c:pt idx="15">
                  <c:v>42444</c:v>
                </c:pt>
                <c:pt idx="16">
                  <c:v>42445</c:v>
                </c:pt>
                <c:pt idx="17">
                  <c:v>42446</c:v>
                </c:pt>
                <c:pt idx="18">
                  <c:v>42447</c:v>
                </c:pt>
                <c:pt idx="19">
                  <c:v>42448</c:v>
                </c:pt>
                <c:pt idx="20">
                  <c:v>42449</c:v>
                </c:pt>
                <c:pt idx="21">
                  <c:v>42450</c:v>
                </c:pt>
                <c:pt idx="22">
                  <c:v>42451</c:v>
                </c:pt>
                <c:pt idx="23">
                  <c:v>42452</c:v>
                </c:pt>
                <c:pt idx="24">
                  <c:v>42453</c:v>
                </c:pt>
                <c:pt idx="25">
                  <c:v>42454</c:v>
                </c:pt>
                <c:pt idx="26">
                  <c:v>42455</c:v>
                </c:pt>
                <c:pt idx="27">
                  <c:v>42456</c:v>
                </c:pt>
                <c:pt idx="28">
                  <c:v>42457</c:v>
                </c:pt>
                <c:pt idx="29">
                  <c:v>42458</c:v>
                </c:pt>
                <c:pt idx="30">
                  <c:v>42459</c:v>
                </c:pt>
                <c:pt idx="31">
                  <c:v>42460</c:v>
                </c:pt>
                <c:pt idx="32">
                  <c:v>42461</c:v>
                </c:pt>
                <c:pt idx="33">
                  <c:v>42462</c:v>
                </c:pt>
                <c:pt idx="34">
                  <c:v>42463</c:v>
                </c:pt>
                <c:pt idx="35">
                  <c:v>42464</c:v>
                </c:pt>
                <c:pt idx="36">
                  <c:v>42465</c:v>
                </c:pt>
                <c:pt idx="37">
                  <c:v>42466</c:v>
                </c:pt>
                <c:pt idx="38">
                  <c:v>42467</c:v>
                </c:pt>
                <c:pt idx="39">
                  <c:v>42468</c:v>
                </c:pt>
              </c:numCache>
            </c:numRef>
          </c:cat>
          <c:val>
            <c:numRef>
              <c:f>Operacional_10_dias!$E$24:$E$53</c:f>
              <c:numCache>
                <c:formatCode>0</c:formatCode>
                <c:ptCount val="30"/>
                <c:pt idx="0">
                  <c:v>1049.422528724215</c:v>
                </c:pt>
                <c:pt idx="1">
                  <c:v>862.97064693653431</c:v>
                </c:pt>
                <c:pt idx="2">
                  <c:v>781.87694485499287</c:v>
                </c:pt>
                <c:pt idx="3">
                  <c:v>2015.2835387628393</c:v>
                </c:pt>
                <c:pt idx="4">
                  <c:v>2316.447365852468</c:v>
                </c:pt>
                <c:pt idx="5">
                  <c:v>1949.1376615096544</c:v>
                </c:pt>
                <c:pt idx="6">
                  <c:v>1535.3191391419666</c:v>
                </c:pt>
                <c:pt idx="7">
                  <c:v>1225.7764075248226</c:v>
                </c:pt>
                <c:pt idx="8">
                  <c:v>1002.62722551921</c:v>
                </c:pt>
                <c:pt idx="9">
                  <c:v>1181.3037124829168</c:v>
                </c:pt>
                <c:pt idx="10">
                  <c:v>1710.1463410102242</c:v>
                </c:pt>
                <c:pt idx="11">
                  <c:v>2440.2438718612666</c:v>
                </c:pt>
                <c:pt idx="12">
                  <c:v>2112.1861731406452</c:v>
                </c:pt>
                <c:pt idx="13">
                  <c:v>1772.7470839815267</c:v>
                </c:pt>
                <c:pt idx="14">
                  <c:v>1415.7528971016848</c:v>
                </c:pt>
                <c:pt idx="15">
                  <c:v>1148.6104543408542</c:v>
                </c:pt>
                <c:pt idx="16">
                  <c:v>946.87640018726324</c:v>
                </c:pt>
                <c:pt idx="17">
                  <c:v>794.10919165361429</c:v>
                </c:pt>
                <c:pt idx="18">
                  <c:v>726.41791195110068</c:v>
                </c:pt>
                <c:pt idx="19">
                  <c:v>758.86321682710786</c:v>
                </c:pt>
                <c:pt idx="20">
                  <c:v>720.69132105233962</c:v>
                </c:pt>
                <c:pt idx="21">
                  <c:v>907.72537981185394</c:v>
                </c:pt>
                <c:pt idx="22">
                  <c:v>2080.3405279106382</c:v>
                </c:pt>
                <c:pt idx="23">
                  <c:v>2071.0357635072796</c:v>
                </c:pt>
                <c:pt idx="24">
                  <c:v>1645.3172901389632</c:v>
                </c:pt>
                <c:pt idx="25">
                  <c:v>1553.3510188338412</c:v>
                </c:pt>
                <c:pt idx="26">
                  <c:v>2283.0119370215161</c:v>
                </c:pt>
                <c:pt idx="27">
                  <c:v>2416.4325795814093</c:v>
                </c:pt>
                <c:pt idx="28">
                  <c:v>2090.196038220738</c:v>
                </c:pt>
                <c:pt idx="29">
                  <c:v>1670.4192927883753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5-45C6-4E0C-8543-5BA627800785}"/>
            </c:ext>
          </c:extLst>
        </c:ser>
        <c:ser>
          <c:idx val="2"/>
          <c:order val="3"/>
          <c:tx>
            <c:v>Escoamento base</c:v>
          </c:tx>
          <c:spPr>
            <a:ln>
              <a:solidFill>
                <a:schemeClr val="accent3"/>
              </a:solidFill>
            </a:ln>
          </c:spPr>
          <c:marker>
            <c:symbol val="square"/>
            <c:size val="4"/>
            <c:spPr>
              <a:ln>
                <a:solidFill>
                  <a:schemeClr val="accent3"/>
                </a:solidFill>
              </a:ln>
            </c:spPr>
          </c:marker>
          <c:cat>
            <c:numRef>
              <c:f>Operacional_10_dias!$A$24:$A$63</c:f>
              <c:numCache>
                <c:formatCode>m/d/yyyy</c:formatCode>
                <c:ptCount val="40"/>
                <c:pt idx="0">
                  <c:v>42429</c:v>
                </c:pt>
                <c:pt idx="1">
                  <c:v>42430</c:v>
                </c:pt>
                <c:pt idx="2">
                  <c:v>42431</c:v>
                </c:pt>
                <c:pt idx="3">
                  <c:v>42432</c:v>
                </c:pt>
                <c:pt idx="4">
                  <c:v>42433</c:v>
                </c:pt>
                <c:pt idx="5">
                  <c:v>42434</c:v>
                </c:pt>
                <c:pt idx="6">
                  <c:v>42435</c:v>
                </c:pt>
                <c:pt idx="7">
                  <c:v>42436</c:v>
                </c:pt>
                <c:pt idx="8">
                  <c:v>42437</c:v>
                </c:pt>
                <c:pt idx="9">
                  <c:v>42438</c:v>
                </c:pt>
                <c:pt idx="10">
                  <c:v>42439</c:v>
                </c:pt>
                <c:pt idx="11">
                  <c:v>42440</c:v>
                </c:pt>
                <c:pt idx="12">
                  <c:v>42441</c:v>
                </c:pt>
                <c:pt idx="13">
                  <c:v>42442</c:v>
                </c:pt>
                <c:pt idx="14">
                  <c:v>42443</c:v>
                </c:pt>
                <c:pt idx="15">
                  <c:v>42444</c:v>
                </c:pt>
                <c:pt idx="16">
                  <c:v>42445</c:v>
                </c:pt>
                <c:pt idx="17">
                  <c:v>42446</c:v>
                </c:pt>
                <c:pt idx="18">
                  <c:v>42447</c:v>
                </c:pt>
                <c:pt idx="19">
                  <c:v>42448</c:v>
                </c:pt>
                <c:pt idx="20">
                  <c:v>42449</c:v>
                </c:pt>
                <c:pt idx="21">
                  <c:v>42450</c:v>
                </c:pt>
                <c:pt idx="22">
                  <c:v>42451</c:v>
                </c:pt>
                <c:pt idx="23">
                  <c:v>42452</c:v>
                </c:pt>
                <c:pt idx="24">
                  <c:v>42453</c:v>
                </c:pt>
                <c:pt idx="25">
                  <c:v>42454</c:v>
                </c:pt>
                <c:pt idx="26">
                  <c:v>42455</c:v>
                </c:pt>
                <c:pt idx="27">
                  <c:v>42456</c:v>
                </c:pt>
                <c:pt idx="28">
                  <c:v>42457</c:v>
                </c:pt>
                <c:pt idx="29">
                  <c:v>42458</c:v>
                </c:pt>
                <c:pt idx="30">
                  <c:v>42459</c:v>
                </c:pt>
                <c:pt idx="31">
                  <c:v>42460</c:v>
                </c:pt>
                <c:pt idx="32">
                  <c:v>42461</c:v>
                </c:pt>
                <c:pt idx="33">
                  <c:v>42462</c:v>
                </c:pt>
                <c:pt idx="34">
                  <c:v>42463</c:v>
                </c:pt>
                <c:pt idx="35">
                  <c:v>42464</c:v>
                </c:pt>
                <c:pt idx="36">
                  <c:v>42465</c:v>
                </c:pt>
                <c:pt idx="37">
                  <c:v>42466</c:v>
                </c:pt>
                <c:pt idx="38">
                  <c:v>42467</c:v>
                </c:pt>
                <c:pt idx="39">
                  <c:v>42468</c:v>
                </c:pt>
              </c:numCache>
            </c:numRef>
          </c:cat>
          <c:val>
            <c:numRef>
              <c:f>Operacional_10_dias!$F$24:$F$63</c:f>
              <c:numCache>
                <c:formatCode>0.00</c:formatCode>
                <c:ptCount val="40"/>
                <c:pt idx="0">
                  <c:v>249.8449596097982</c:v>
                </c:pt>
                <c:pt idx="1">
                  <c:v>250.00754634773659</c:v>
                </c:pt>
                <c:pt idx="2">
                  <c:v>249.21185308259496</c:v>
                </c:pt>
                <c:pt idx="3">
                  <c:v>248.143835730674</c:v>
                </c:pt>
                <c:pt idx="4">
                  <c:v>247.52851275148947</c:v>
                </c:pt>
                <c:pt idx="5">
                  <c:v>251.76213945349801</c:v>
                </c:pt>
                <c:pt idx="6">
                  <c:v>258.79078079509446</c:v>
                </c:pt>
                <c:pt idx="7">
                  <c:v>265.75039767062344</c:v>
                </c:pt>
                <c:pt idx="8">
                  <c:v>270.8291002228458</c:v>
                </c:pt>
                <c:pt idx="9">
                  <c:v>273.75061278692425</c:v>
                </c:pt>
                <c:pt idx="10">
                  <c:v>275.87593399071278</c:v>
                </c:pt>
                <c:pt idx="11">
                  <c:v>279.834878425569</c:v>
                </c:pt>
                <c:pt idx="12">
                  <c:v>286.59828962859422</c:v>
                </c:pt>
                <c:pt idx="13">
                  <c:v>296.10649094486013</c:v>
                </c:pt>
                <c:pt idx="14">
                  <c:v>305.23046549854746</c:v>
                </c:pt>
                <c:pt idx="15">
                  <c:v>313.43087380556437</c:v>
                </c:pt>
                <c:pt idx="16">
                  <c:v>318.77118421592644</c:v>
                </c:pt>
                <c:pt idx="17">
                  <c:v>321.73633732982518</c:v>
                </c:pt>
                <c:pt idx="18">
                  <c:v>322.72809361252524</c:v>
                </c:pt>
                <c:pt idx="19">
                  <c:v>322.16022813526422</c:v>
                </c:pt>
                <c:pt idx="20">
                  <c:v>321.57019299747486</c:v>
                </c:pt>
                <c:pt idx="21">
                  <c:v>321.82918876354728</c:v>
                </c:pt>
                <c:pt idx="22">
                  <c:v>322.32107607714011</c:v>
                </c:pt>
                <c:pt idx="23">
                  <c:v>324.4469187804396</c:v>
                </c:pt>
                <c:pt idx="24">
                  <c:v>330.8304488518869</c:v>
                </c:pt>
                <c:pt idx="25">
                  <c:v>338.36449651818793</c:v>
                </c:pt>
                <c:pt idx="26">
                  <c:v>343.93605125661549</c:v>
                </c:pt>
                <c:pt idx="27">
                  <c:v>349.99296704631161</c:v>
                </c:pt>
                <c:pt idx="28">
                  <c:v>358.64357013483868</c:v>
                </c:pt>
                <c:pt idx="29">
                  <c:v>368.18781792913114</c:v>
                </c:pt>
                <c:pt idx="30">
                  <c:v>376.9762816713199</c:v>
                </c:pt>
                <c:pt idx="31">
                  <c:v>383.05338360716195</c:v>
                </c:pt>
                <c:pt idx="32">
                  <c:v>386.35939583785557</c:v>
                </c:pt>
                <c:pt idx="33">
                  <c:v>387.4448584922784</c:v>
                </c:pt>
                <c:pt idx="34">
                  <c:v>387.16628489664004</c:v>
                </c:pt>
                <c:pt idx="35">
                  <c:v>386.49150635962826</c:v>
                </c:pt>
                <c:pt idx="36">
                  <c:v>387.04589202032423</c:v>
                </c:pt>
                <c:pt idx="37">
                  <c:v>389.7104507746821</c:v>
                </c:pt>
                <c:pt idx="38">
                  <c:v>393.98252055265652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6-45C6-4E0C-8543-5BA62780078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60769664"/>
        <c:axId val="660777280"/>
      </c:lineChart>
      <c:dateAx>
        <c:axId val="660769664"/>
        <c:scaling>
          <c:orientation val="minMax"/>
        </c:scaling>
        <c:delete val="0"/>
        <c:axPos val="b"/>
        <c:numFmt formatCode="m/d/yyyy" sourceLinked="0"/>
        <c:majorTickMark val="out"/>
        <c:minorTickMark val="none"/>
        <c:tickLblPos val="nextTo"/>
        <c:txPr>
          <a:bodyPr rot="0" vert="horz"/>
          <a:lstStyle/>
          <a:p>
            <a:pPr>
              <a:defRPr/>
            </a:pPr>
            <a:endParaRPr lang="pt-BR"/>
          </a:p>
        </c:txPr>
        <c:crossAx val="660777280"/>
        <c:crosses val="autoZero"/>
        <c:auto val="0"/>
        <c:lblOffset val="100"/>
        <c:baseTimeUnit val="days"/>
        <c:minorUnit val="1"/>
      </c:dateAx>
      <c:valAx>
        <c:axId val="660777280"/>
        <c:scaling>
          <c:orientation val="minMax"/>
          <c:min val="0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pt-BR"/>
                  <a:t>Vazões (m³/s)</a:t>
                </a:r>
              </a:p>
            </c:rich>
          </c:tx>
          <c:layout>
            <c:manualLayout>
              <c:xMode val="edge"/>
              <c:yMode val="edge"/>
              <c:x val="5.3936113587626873E-5"/>
              <c:y val="0.3198800936316068"/>
            </c:manualLayout>
          </c:layout>
          <c:overlay val="0"/>
        </c:title>
        <c:numFmt formatCode="0" sourceLinked="0"/>
        <c:majorTickMark val="out"/>
        <c:minorTickMark val="none"/>
        <c:tickLblPos val="nextTo"/>
        <c:txPr>
          <a:bodyPr rot="0" vert="horz"/>
          <a:lstStyle/>
          <a:p>
            <a:pPr>
              <a:defRPr/>
            </a:pPr>
            <a:endParaRPr lang="pt-BR"/>
          </a:p>
        </c:txPr>
        <c:crossAx val="660769664"/>
        <c:crosses val="autoZero"/>
        <c:crossBetween val="between"/>
      </c:valAx>
      <c:valAx>
        <c:axId val="660769120"/>
        <c:scaling>
          <c:orientation val="maxMin"/>
          <c:max val="150"/>
          <c:min val="0"/>
        </c:scaling>
        <c:delete val="0"/>
        <c:axPos val="r"/>
        <c:title>
          <c:tx>
            <c:rich>
              <a:bodyPr/>
              <a:lstStyle/>
              <a:p>
                <a:pPr>
                  <a:defRPr/>
                </a:pPr>
                <a:r>
                  <a:rPr lang="pt-BR"/>
                  <a:t>Precipitação (mm)</a:t>
                </a:r>
              </a:p>
            </c:rich>
          </c:tx>
          <c:layout>
            <c:manualLayout>
              <c:xMode val="edge"/>
              <c:yMode val="edge"/>
              <c:x val="0.96814726840855103"/>
              <c:y val="0.26795561850802646"/>
            </c:manualLayout>
          </c:layout>
          <c:overlay val="0"/>
        </c:title>
        <c:numFmt formatCode="0" sourceLinked="0"/>
        <c:majorTickMark val="out"/>
        <c:minorTickMark val="none"/>
        <c:tickLblPos val="nextTo"/>
        <c:crossAx val="660772384"/>
        <c:crosses val="max"/>
        <c:crossBetween val="between"/>
        <c:majorUnit val="10"/>
      </c:valAx>
      <c:catAx>
        <c:axId val="660772384"/>
        <c:scaling>
          <c:orientation val="minMax"/>
        </c:scaling>
        <c:delete val="1"/>
        <c:axPos val="t"/>
        <c:numFmt formatCode="mmm\-yy" sourceLinked="1"/>
        <c:majorTickMark val="out"/>
        <c:minorTickMark val="none"/>
        <c:tickLblPos val="nextTo"/>
        <c:crossAx val="660769120"/>
        <c:crosses val="autoZero"/>
        <c:auto val="0"/>
        <c:lblAlgn val="ctr"/>
        <c:lblOffset val="100"/>
        <c:noMultiLvlLbl val="1"/>
      </c:catAx>
    </c:plotArea>
    <c:legend>
      <c:legendPos val="r"/>
      <c:layout>
        <c:manualLayout>
          <c:xMode val="edge"/>
          <c:yMode val="edge"/>
          <c:x val="0"/>
          <c:y val="0.91977730563424609"/>
          <c:w val="0.98971577128808264"/>
          <c:h val="8.0222605864106553E-2"/>
        </c:manualLayout>
      </c:layout>
      <c:overlay val="0"/>
    </c:legend>
    <c:plotVisOnly val="1"/>
    <c:dispBlanksAs val="gap"/>
    <c:showDLblsOverMax val="0"/>
  </c:chart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0291270783847981"/>
          <c:y val="1.5777554121524279E-2"/>
          <c:w val="0.81509369226708894"/>
          <c:h val="0.77590966320428068"/>
        </c:manualLayout>
      </c:layout>
      <c:barChart>
        <c:barDir val="col"/>
        <c:grouping val="clustered"/>
        <c:varyColors val="0"/>
        <c:ser>
          <c:idx val="4"/>
          <c:order val="4"/>
          <c:tx>
            <c:v>Chuva obs  ponderada</c:v>
          </c:tx>
          <c:spPr>
            <a:solidFill>
              <a:schemeClr val="tx2">
                <a:lumMod val="40000"/>
                <a:lumOff val="60000"/>
                <a:alpha val="67000"/>
              </a:schemeClr>
            </a:solidFill>
            <a:ln>
              <a:noFill/>
            </a:ln>
          </c:spPr>
          <c:invertIfNegative val="0"/>
          <c:val>
            <c:numRef>
              <c:f>Operacional_10_dias!$AC$24:$AC$53</c:f>
              <c:numCache>
                <c:formatCode>0.0</c:formatCode>
                <c:ptCount val="30"/>
                <c:pt idx="0">
                  <c:v>1.8739810199400995</c:v>
                </c:pt>
                <c:pt idx="1">
                  <c:v>3.5743669305951831</c:v>
                </c:pt>
                <c:pt idx="2">
                  <c:v>6.0902894020061362</c:v>
                </c:pt>
                <c:pt idx="3">
                  <c:v>23.379420429365496</c:v>
                </c:pt>
                <c:pt idx="4">
                  <c:v>14.628482023902196</c:v>
                </c:pt>
                <c:pt idx="5">
                  <c:v>6.3365742618437073</c:v>
                </c:pt>
                <c:pt idx="6">
                  <c:v>1.9112568381984532</c:v>
                </c:pt>
                <c:pt idx="7">
                  <c:v>0.42522718957934413</c:v>
                </c:pt>
                <c:pt idx="8">
                  <c:v>3.235732341488867</c:v>
                </c:pt>
                <c:pt idx="9">
                  <c:v>10.696820386751661</c:v>
                </c:pt>
                <c:pt idx="10">
                  <c:v>14.698274516498451</c:v>
                </c:pt>
                <c:pt idx="11">
                  <c:v>16.539364215000159</c:v>
                </c:pt>
                <c:pt idx="12">
                  <c:v>6.616338004985983</c:v>
                </c:pt>
                <c:pt idx="13">
                  <c:v>5.2141017624034536</c:v>
                </c:pt>
                <c:pt idx="14">
                  <c:v>0.604633352342139</c:v>
                </c:pt>
                <c:pt idx="15">
                  <c:v>0.35864688280172424</c:v>
                </c:pt>
                <c:pt idx="16">
                  <c:v>0.10451122861875817</c:v>
                </c:pt>
                <c:pt idx="17">
                  <c:v>0.10893418164959043</c:v>
                </c:pt>
                <c:pt idx="18">
                  <c:v>5.1415960175666218</c:v>
                </c:pt>
                <c:pt idx="19">
                  <c:v>7.3898745664426038</c:v>
                </c:pt>
                <c:pt idx="20">
                  <c:v>5.7233457425335121</c:v>
                </c:pt>
                <c:pt idx="21">
                  <c:v>9.9126409843517127</c:v>
                </c:pt>
                <c:pt idx="22">
                  <c:v>20.714867868449449</c:v>
                </c:pt>
                <c:pt idx="23">
                  <c:v>10.037475437603732</c:v>
                </c:pt>
                <c:pt idx="24">
                  <c:v>2.2946317768124884</c:v>
                </c:pt>
                <c:pt idx="25">
                  <c:v>7.7064400084301132</c:v>
                </c:pt>
                <c:pt idx="26">
                  <c:v>15.943710435198005</c:v>
                </c:pt>
                <c:pt idx="27">
                  <c:v>10.996606365718334</c:v>
                </c:pt>
                <c:pt idx="28">
                  <c:v>6.0648584285925313</c:v>
                </c:pt>
                <c:pt idx="29">
                  <c:v>1.4652026286846334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D1C7-43A7-AA3C-EC048ACA119D}"/>
            </c:ext>
          </c:extLst>
        </c:ser>
        <c:ser>
          <c:idx val="5"/>
          <c:order val="5"/>
          <c:tx>
            <c:v>Chuva prev ponderada</c:v>
          </c:tx>
          <c:spPr>
            <a:solidFill>
              <a:schemeClr val="accent4"/>
            </a:solidFill>
            <a:ln>
              <a:noFill/>
            </a:ln>
          </c:spPr>
          <c:invertIfNegative val="0"/>
          <c:val>
            <c:numRef>
              <c:f>Operacional_10_dias!$BL$24:$BL$63</c:f>
              <c:numCache>
                <c:formatCode>0.00</c:formatCode>
                <c:ptCount val="40"/>
                <c:pt idx="30">
                  <c:v>0.24918502926283592</c:v>
                </c:pt>
                <c:pt idx="31">
                  <c:v>0.14095142800977131</c:v>
                </c:pt>
                <c:pt idx="32">
                  <c:v>0.24872960857337117</c:v>
                </c:pt>
                <c:pt idx="33">
                  <c:v>2.7454570679719219</c:v>
                </c:pt>
                <c:pt idx="34">
                  <c:v>6.9889930887783542</c:v>
                </c:pt>
                <c:pt idx="35">
                  <c:v>9.5987610960371015</c:v>
                </c:pt>
                <c:pt idx="36">
                  <c:v>8.381587552655434</c:v>
                </c:pt>
                <c:pt idx="37">
                  <c:v>6.3884136966275182</c:v>
                </c:pt>
                <c:pt idx="38">
                  <c:v>6.6911042897803927</c:v>
                </c:pt>
                <c:pt idx="39">
                  <c:v>1.8411117671121366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D1C7-43A7-AA3C-EC048ACA119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35"/>
        <c:overlap val="100"/>
        <c:axId val="660778368"/>
        <c:axId val="660768032"/>
      </c:barChart>
      <c:lineChart>
        <c:grouping val="standard"/>
        <c:varyColors val="0"/>
        <c:ser>
          <c:idx val="0"/>
          <c:order val="0"/>
          <c:tx>
            <c:v>Q obs</c:v>
          </c:tx>
          <c:spPr>
            <a:ln>
              <a:solidFill>
                <a:schemeClr val="accent1"/>
              </a:solidFill>
            </a:ln>
          </c:spPr>
          <c:marker>
            <c:symbol val="square"/>
            <c:size val="4"/>
            <c:spPr>
              <a:ln>
                <a:solidFill>
                  <a:schemeClr val="accent1"/>
                </a:solidFill>
              </a:ln>
            </c:spPr>
          </c:marker>
          <c:cat>
            <c:numRef>
              <c:f>Operacional_10_dias!$A$24:$A$63</c:f>
              <c:numCache>
                <c:formatCode>m/d/yyyy</c:formatCode>
                <c:ptCount val="40"/>
                <c:pt idx="0">
                  <c:v>42429</c:v>
                </c:pt>
                <c:pt idx="1">
                  <c:v>42430</c:v>
                </c:pt>
                <c:pt idx="2">
                  <c:v>42431</c:v>
                </c:pt>
                <c:pt idx="3">
                  <c:v>42432</c:v>
                </c:pt>
                <c:pt idx="4">
                  <c:v>42433</c:v>
                </c:pt>
                <c:pt idx="5">
                  <c:v>42434</c:v>
                </c:pt>
                <c:pt idx="6">
                  <c:v>42435</c:v>
                </c:pt>
                <c:pt idx="7">
                  <c:v>42436</c:v>
                </c:pt>
                <c:pt idx="8">
                  <c:v>42437</c:v>
                </c:pt>
                <c:pt idx="9">
                  <c:v>42438</c:v>
                </c:pt>
                <c:pt idx="10">
                  <c:v>42439</c:v>
                </c:pt>
                <c:pt idx="11">
                  <c:v>42440</c:v>
                </c:pt>
                <c:pt idx="12">
                  <c:v>42441</c:v>
                </c:pt>
                <c:pt idx="13">
                  <c:v>42442</c:v>
                </c:pt>
                <c:pt idx="14">
                  <c:v>42443</c:v>
                </c:pt>
                <c:pt idx="15">
                  <c:v>42444</c:v>
                </c:pt>
                <c:pt idx="16">
                  <c:v>42445</c:v>
                </c:pt>
                <c:pt idx="17">
                  <c:v>42446</c:v>
                </c:pt>
                <c:pt idx="18">
                  <c:v>42447</c:v>
                </c:pt>
                <c:pt idx="19">
                  <c:v>42448</c:v>
                </c:pt>
                <c:pt idx="20">
                  <c:v>42449</c:v>
                </c:pt>
                <c:pt idx="21">
                  <c:v>42450</c:v>
                </c:pt>
                <c:pt idx="22">
                  <c:v>42451</c:v>
                </c:pt>
                <c:pt idx="23">
                  <c:v>42452</c:v>
                </c:pt>
                <c:pt idx="24">
                  <c:v>42453</c:v>
                </c:pt>
                <c:pt idx="25">
                  <c:v>42454</c:v>
                </c:pt>
                <c:pt idx="26">
                  <c:v>42455</c:v>
                </c:pt>
                <c:pt idx="27">
                  <c:v>42456</c:v>
                </c:pt>
                <c:pt idx="28">
                  <c:v>42457</c:v>
                </c:pt>
                <c:pt idx="29">
                  <c:v>42458</c:v>
                </c:pt>
                <c:pt idx="30">
                  <c:v>42459</c:v>
                </c:pt>
                <c:pt idx="31">
                  <c:v>42460</c:v>
                </c:pt>
                <c:pt idx="32">
                  <c:v>42461</c:v>
                </c:pt>
                <c:pt idx="33">
                  <c:v>42462</c:v>
                </c:pt>
                <c:pt idx="34">
                  <c:v>42463</c:v>
                </c:pt>
                <c:pt idx="35">
                  <c:v>42464</c:v>
                </c:pt>
                <c:pt idx="36">
                  <c:v>42465</c:v>
                </c:pt>
                <c:pt idx="37">
                  <c:v>42466</c:v>
                </c:pt>
                <c:pt idx="38">
                  <c:v>42467</c:v>
                </c:pt>
                <c:pt idx="39">
                  <c:v>42468</c:v>
                </c:pt>
              </c:numCache>
            </c:numRef>
          </c:cat>
          <c:val>
            <c:numRef>
              <c:f>Operacional_10_dias!$B$24:$B$53</c:f>
              <c:numCache>
                <c:formatCode>0</c:formatCode>
                <c:ptCount val="30"/>
                <c:pt idx="0">
                  <c:v>1035.03556978713</c:v>
                </c:pt>
                <c:pt idx="1">
                  <c:v>894.423546771171</c:v>
                </c:pt>
                <c:pt idx="2">
                  <c:v>770.51679494953601</c:v>
                </c:pt>
                <c:pt idx="3">
                  <c:v>2008.20300002503</c:v>
                </c:pt>
                <c:pt idx="4">
                  <c:v>2064.5436128544702</c:v>
                </c:pt>
                <c:pt idx="5">
                  <c:v>1933.3914916014901</c:v>
                </c:pt>
                <c:pt idx="6">
                  <c:v>1700.6263589523101</c:v>
                </c:pt>
                <c:pt idx="7">
                  <c:v>1339.08532292257</c:v>
                </c:pt>
                <c:pt idx="8">
                  <c:v>1099.2439515618901</c:v>
                </c:pt>
                <c:pt idx="9">
                  <c:v>1180.2527855814201</c:v>
                </c:pt>
                <c:pt idx="10">
                  <c:v>1709.14781201286</c:v>
                </c:pt>
                <c:pt idx="11">
                  <c:v>2064.19808210052</c:v>
                </c:pt>
                <c:pt idx="12">
                  <c:v>2041.8017553371501</c:v>
                </c:pt>
                <c:pt idx="13">
                  <c:v>1897.4468000433001</c:v>
                </c:pt>
                <c:pt idx="14">
                  <c:v>1561.3107932038799</c:v>
                </c:pt>
                <c:pt idx="15">
                  <c:v>1289.2214994701901</c:v>
                </c:pt>
                <c:pt idx="16">
                  <c:v>1090.66473545695</c:v>
                </c:pt>
                <c:pt idx="17">
                  <c:v>929.17803163181395</c:v>
                </c:pt>
                <c:pt idx="18">
                  <c:v>832.586682242763</c:v>
                </c:pt>
                <c:pt idx="19">
                  <c:v>760.89026976625405</c:v>
                </c:pt>
                <c:pt idx="20">
                  <c:v>671.57040358134805</c:v>
                </c:pt>
                <c:pt idx="21">
                  <c:v>907.67806605403598</c:v>
                </c:pt>
                <c:pt idx="22">
                  <c:v>2079.9068913917499</c:v>
                </c:pt>
                <c:pt idx="23">
                  <c:v>2114</c:v>
                </c:pt>
                <c:pt idx="24">
                  <c:v>1609</c:v>
                </c:pt>
                <c:pt idx="25">
                  <c:v>1553</c:v>
                </c:pt>
                <c:pt idx="26">
                  <c:v>2283</c:v>
                </c:pt>
                <c:pt idx="27">
                  <c:v>2411</c:v>
                </c:pt>
                <c:pt idx="28">
                  <c:v>2110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D1C7-43A7-AA3C-EC048ACA119D}"/>
            </c:ext>
          </c:extLst>
        </c:ser>
        <c:ser>
          <c:idx val="3"/>
          <c:order val="1"/>
          <c:tx>
            <c:v>Q prev</c:v>
          </c:tx>
          <c:spPr>
            <a:ln>
              <a:solidFill>
                <a:schemeClr val="accent6">
                  <a:lumMod val="75000"/>
                </a:schemeClr>
              </a:solidFill>
            </a:ln>
          </c:spPr>
          <c:marker>
            <c:symbol val="circle"/>
            <c:size val="3"/>
            <c:spPr>
              <a:solidFill>
                <a:schemeClr val="accent6">
                  <a:lumMod val="75000"/>
                </a:schemeClr>
              </a:solidFill>
              <a:ln>
                <a:solidFill>
                  <a:schemeClr val="accent6">
                    <a:lumMod val="75000"/>
                  </a:schemeClr>
                </a:solidFill>
              </a:ln>
            </c:spPr>
          </c:marker>
          <c:val>
            <c:numRef>
              <c:f>Operacional_10_dias!$E$24:$E$63</c:f>
              <c:numCache>
                <c:formatCode>0</c:formatCode>
                <c:ptCount val="40"/>
                <c:pt idx="0">
                  <c:v>1049.422528724215</c:v>
                </c:pt>
                <c:pt idx="1">
                  <c:v>862.97064693653431</c:v>
                </c:pt>
                <c:pt idx="2">
                  <c:v>781.87694485499287</c:v>
                </c:pt>
                <c:pt idx="3">
                  <c:v>2015.2835387628393</c:v>
                </c:pt>
                <c:pt idx="4">
                  <c:v>2316.447365852468</c:v>
                </c:pt>
                <c:pt idx="5">
                  <c:v>1949.1376615096544</c:v>
                </c:pt>
                <c:pt idx="6">
                  <c:v>1535.3191391419666</c:v>
                </c:pt>
                <c:pt idx="7">
                  <c:v>1225.7764075248226</c:v>
                </c:pt>
                <c:pt idx="8">
                  <c:v>1002.62722551921</c:v>
                </c:pt>
                <c:pt idx="9">
                  <c:v>1181.3037124829168</c:v>
                </c:pt>
                <c:pt idx="10">
                  <c:v>1710.1463410102242</c:v>
                </c:pt>
                <c:pt idx="11">
                  <c:v>2440.2438718612666</c:v>
                </c:pt>
                <c:pt idx="12">
                  <c:v>2112.1861731406452</c:v>
                </c:pt>
                <c:pt idx="13">
                  <c:v>1772.7470839815267</c:v>
                </c:pt>
                <c:pt idx="14">
                  <c:v>1415.7528971016848</c:v>
                </c:pt>
                <c:pt idx="15">
                  <c:v>1148.6104543408542</c:v>
                </c:pt>
                <c:pt idx="16">
                  <c:v>946.87640018726324</c:v>
                </c:pt>
                <c:pt idx="17">
                  <c:v>794.10919165361429</c:v>
                </c:pt>
                <c:pt idx="18">
                  <c:v>726.41791195110068</c:v>
                </c:pt>
                <c:pt idx="19">
                  <c:v>758.86321682710786</c:v>
                </c:pt>
                <c:pt idx="20">
                  <c:v>720.69132105233962</c:v>
                </c:pt>
                <c:pt idx="21">
                  <c:v>907.72537981185394</c:v>
                </c:pt>
                <c:pt idx="22">
                  <c:v>2080.3405279106382</c:v>
                </c:pt>
                <c:pt idx="23">
                  <c:v>2071.0357635072796</c:v>
                </c:pt>
                <c:pt idx="24">
                  <c:v>1645.3172901389632</c:v>
                </c:pt>
                <c:pt idx="25">
                  <c:v>1553.3510188338412</c:v>
                </c:pt>
                <c:pt idx="26">
                  <c:v>2283.0119370215161</c:v>
                </c:pt>
                <c:pt idx="27">
                  <c:v>2416.4325795814093</c:v>
                </c:pt>
                <c:pt idx="28">
                  <c:v>2090.196038220738</c:v>
                </c:pt>
                <c:pt idx="29">
                  <c:v>1670.4192927883753</c:v>
                </c:pt>
                <c:pt idx="30">
                  <c:v>1356.3325791958575</c:v>
                </c:pt>
                <c:pt idx="31">
                  <c:v>1119.5881518246499</c:v>
                </c:pt>
                <c:pt idx="32">
                  <c:v>940.2777870958613</c:v>
                </c:pt>
                <c:pt idx="33">
                  <c:v>807.25314428438764</c:v>
                </c:pt>
                <c:pt idx="34">
                  <c:v>824.88776181619244</c:v>
                </c:pt>
                <c:pt idx="35">
                  <c:v>998.10469226625605</c:v>
                </c:pt>
                <c:pt idx="36">
                  <c:v>1084.1466387346607</c:v>
                </c:pt>
                <c:pt idx="37">
                  <c:v>1050.1131999087374</c:v>
                </c:pt>
                <c:pt idx="38">
                  <c:v>1053.4533326882686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D1C7-43A7-AA3C-EC048ACA119D}"/>
            </c:ext>
          </c:extLst>
        </c:ser>
        <c:ser>
          <c:idx val="1"/>
          <c:order val="2"/>
          <c:tx>
            <c:v>Q calc</c:v>
          </c:tx>
          <c:spPr>
            <a:ln>
              <a:solidFill>
                <a:schemeClr val="accent2"/>
              </a:solidFill>
            </a:ln>
          </c:spPr>
          <c:marker>
            <c:symbol val="square"/>
            <c:size val="4"/>
            <c:spPr>
              <a:ln>
                <a:solidFill>
                  <a:schemeClr val="accent2"/>
                </a:solidFill>
              </a:ln>
            </c:spPr>
          </c:marker>
          <c:cat>
            <c:numRef>
              <c:f>Operacional_10_dias!$A$24:$A$63</c:f>
              <c:numCache>
                <c:formatCode>m/d/yyyy</c:formatCode>
                <c:ptCount val="40"/>
                <c:pt idx="0">
                  <c:v>42429</c:v>
                </c:pt>
                <c:pt idx="1">
                  <c:v>42430</c:v>
                </c:pt>
                <c:pt idx="2">
                  <c:v>42431</c:v>
                </c:pt>
                <c:pt idx="3">
                  <c:v>42432</c:v>
                </c:pt>
                <c:pt idx="4">
                  <c:v>42433</c:v>
                </c:pt>
                <c:pt idx="5">
                  <c:v>42434</c:v>
                </c:pt>
                <c:pt idx="6">
                  <c:v>42435</c:v>
                </c:pt>
                <c:pt idx="7">
                  <c:v>42436</c:v>
                </c:pt>
                <c:pt idx="8">
                  <c:v>42437</c:v>
                </c:pt>
                <c:pt idx="9">
                  <c:v>42438</c:v>
                </c:pt>
                <c:pt idx="10">
                  <c:v>42439</c:v>
                </c:pt>
                <c:pt idx="11">
                  <c:v>42440</c:v>
                </c:pt>
                <c:pt idx="12">
                  <c:v>42441</c:v>
                </c:pt>
                <c:pt idx="13">
                  <c:v>42442</c:v>
                </c:pt>
                <c:pt idx="14">
                  <c:v>42443</c:v>
                </c:pt>
                <c:pt idx="15">
                  <c:v>42444</c:v>
                </c:pt>
                <c:pt idx="16">
                  <c:v>42445</c:v>
                </c:pt>
                <c:pt idx="17">
                  <c:v>42446</c:v>
                </c:pt>
                <c:pt idx="18">
                  <c:v>42447</c:v>
                </c:pt>
                <c:pt idx="19">
                  <c:v>42448</c:v>
                </c:pt>
                <c:pt idx="20">
                  <c:v>42449</c:v>
                </c:pt>
                <c:pt idx="21">
                  <c:v>42450</c:v>
                </c:pt>
                <c:pt idx="22">
                  <c:v>42451</c:v>
                </c:pt>
                <c:pt idx="23">
                  <c:v>42452</c:v>
                </c:pt>
                <c:pt idx="24">
                  <c:v>42453</c:v>
                </c:pt>
                <c:pt idx="25">
                  <c:v>42454</c:v>
                </c:pt>
                <c:pt idx="26">
                  <c:v>42455</c:v>
                </c:pt>
                <c:pt idx="27">
                  <c:v>42456</c:v>
                </c:pt>
                <c:pt idx="28">
                  <c:v>42457</c:v>
                </c:pt>
                <c:pt idx="29">
                  <c:v>42458</c:v>
                </c:pt>
                <c:pt idx="30">
                  <c:v>42459</c:v>
                </c:pt>
                <c:pt idx="31">
                  <c:v>42460</c:v>
                </c:pt>
                <c:pt idx="32">
                  <c:v>42461</c:v>
                </c:pt>
                <c:pt idx="33">
                  <c:v>42462</c:v>
                </c:pt>
                <c:pt idx="34">
                  <c:v>42463</c:v>
                </c:pt>
                <c:pt idx="35">
                  <c:v>42464</c:v>
                </c:pt>
                <c:pt idx="36">
                  <c:v>42465</c:v>
                </c:pt>
                <c:pt idx="37">
                  <c:v>42466</c:v>
                </c:pt>
                <c:pt idx="38">
                  <c:v>42467</c:v>
                </c:pt>
                <c:pt idx="39">
                  <c:v>42468</c:v>
                </c:pt>
              </c:numCache>
            </c:numRef>
          </c:cat>
          <c:val>
            <c:numRef>
              <c:f>Operacional_10_dias!$E$24:$E$53</c:f>
              <c:numCache>
                <c:formatCode>0</c:formatCode>
                <c:ptCount val="30"/>
                <c:pt idx="0">
                  <c:v>1049.422528724215</c:v>
                </c:pt>
                <c:pt idx="1">
                  <c:v>862.97064693653431</c:v>
                </c:pt>
                <c:pt idx="2">
                  <c:v>781.87694485499287</c:v>
                </c:pt>
                <c:pt idx="3">
                  <c:v>2015.2835387628393</c:v>
                </c:pt>
                <c:pt idx="4">
                  <c:v>2316.447365852468</c:v>
                </c:pt>
                <c:pt idx="5">
                  <c:v>1949.1376615096544</c:v>
                </c:pt>
                <c:pt idx="6">
                  <c:v>1535.3191391419666</c:v>
                </c:pt>
                <c:pt idx="7">
                  <c:v>1225.7764075248226</c:v>
                </c:pt>
                <c:pt idx="8">
                  <c:v>1002.62722551921</c:v>
                </c:pt>
                <c:pt idx="9">
                  <c:v>1181.3037124829168</c:v>
                </c:pt>
                <c:pt idx="10">
                  <c:v>1710.1463410102242</c:v>
                </c:pt>
                <c:pt idx="11">
                  <c:v>2440.2438718612666</c:v>
                </c:pt>
                <c:pt idx="12">
                  <c:v>2112.1861731406452</c:v>
                </c:pt>
                <c:pt idx="13">
                  <c:v>1772.7470839815267</c:v>
                </c:pt>
                <c:pt idx="14">
                  <c:v>1415.7528971016848</c:v>
                </c:pt>
                <c:pt idx="15">
                  <c:v>1148.6104543408542</c:v>
                </c:pt>
                <c:pt idx="16">
                  <c:v>946.87640018726324</c:v>
                </c:pt>
                <c:pt idx="17">
                  <c:v>794.10919165361429</c:v>
                </c:pt>
                <c:pt idx="18">
                  <c:v>726.41791195110068</c:v>
                </c:pt>
                <c:pt idx="19">
                  <c:v>758.86321682710786</c:v>
                </c:pt>
                <c:pt idx="20">
                  <c:v>720.69132105233962</c:v>
                </c:pt>
                <c:pt idx="21">
                  <c:v>907.72537981185394</c:v>
                </c:pt>
                <c:pt idx="22">
                  <c:v>2080.3405279106382</c:v>
                </c:pt>
                <c:pt idx="23">
                  <c:v>2071.0357635072796</c:v>
                </c:pt>
                <c:pt idx="24">
                  <c:v>1645.3172901389632</c:v>
                </c:pt>
                <c:pt idx="25">
                  <c:v>1553.3510188338412</c:v>
                </c:pt>
                <c:pt idx="26">
                  <c:v>2283.0119370215161</c:v>
                </c:pt>
                <c:pt idx="27">
                  <c:v>2416.4325795814093</c:v>
                </c:pt>
                <c:pt idx="28">
                  <c:v>2090.196038220738</c:v>
                </c:pt>
                <c:pt idx="29">
                  <c:v>1670.4192927883753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D1C7-43A7-AA3C-EC048ACA119D}"/>
            </c:ext>
          </c:extLst>
        </c:ser>
        <c:ser>
          <c:idx val="2"/>
          <c:order val="3"/>
          <c:tx>
            <c:v>Escoamento base</c:v>
          </c:tx>
          <c:spPr>
            <a:ln>
              <a:solidFill>
                <a:schemeClr val="accent3"/>
              </a:solidFill>
            </a:ln>
          </c:spPr>
          <c:marker>
            <c:symbol val="square"/>
            <c:size val="4"/>
            <c:spPr>
              <a:ln>
                <a:solidFill>
                  <a:schemeClr val="accent3"/>
                </a:solidFill>
              </a:ln>
            </c:spPr>
          </c:marker>
          <c:cat>
            <c:numRef>
              <c:f>Operacional_10_dias!$A$24:$A$63</c:f>
              <c:numCache>
                <c:formatCode>m/d/yyyy</c:formatCode>
                <c:ptCount val="40"/>
                <c:pt idx="0">
                  <c:v>42429</c:v>
                </c:pt>
                <c:pt idx="1">
                  <c:v>42430</c:v>
                </c:pt>
                <c:pt idx="2">
                  <c:v>42431</c:v>
                </c:pt>
                <c:pt idx="3">
                  <c:v>42432</c:v>
                </c:pt>
                <c:pt idx="4">
                  <c:v>42433</c:v>
                </c:pt>
                <c:pt idx="5">
                  <c:v>42434</c:v>
                </c:pt>
                <c:pt idx="6">
                  <c:v>42435</c:v>
                </c:pt>
                <c:pt idx="7">
                  <c:v>42436</c:v>
                </c:pt>
                <c:pt idx="8">
                  <c:v>42437</c:v>
                </c:pt>
                <c:pt idx="9">
                  <c:v>42438</c:v>
                </c:pt>
                <c:pt idx="10">
                  <c:v>42439</c:v>
                </c:pt>
                <c:pt idx="11">
                  <c:v>42440</c:v>
                </c:pt>
                <c:pt idx="12">
                  <c:v>42441</c:v>
                </c:pt>
                <c:pt idx="13">
                  <c:v>42442</c:v>
                </c:pt>
                <c:pt idx="14">
                  <c:v>42443</c:v>
                </c:pt>
                <c:pt idx="15">
                  <c:v>42444</c:v>
                </c:pt>
                <c:pt idx="16">
                  <c:v>42445</c:v>
                </c:pt>
                <c:pt idx="17">
                  <c:v>42446</c:v>
                </c:pt>
                <c:pt idx="18">
                  <c:v>42447</c:v>
                </c:pt>
                <c:pt idx="19">
                  <c:v>42448</c:v>
                </c:pt>
                <c:pt idx="20">
                  <c:v>42449</c:v>
                </c:pt>
                <c:pt idx="21">
                  <c:v>42450</c:v>
                </c:pt>
                <c:pt idx="22">
                  <c:v>42451</c:v>
                </c:pt>
                <c:pt idx="23">
                  <c:v>42452</c:v>
                </c:pt>
                <c:pt idx="24">
                  <c:v>42453</c:v>
                </c:pt>
                <c:pt idx="25">
                  <c:v>42454</c:v>
                </c:pt>
                <c:pt idx="26">
                  <c:v>42455</c:v>
                </c:pt>
                <c:pt idx="27">
                  <c:v>42456</c:v>
                </c:pt>
                <c:pt idx="28">
                  <c:v>42457</c:v>
                </c:pt>
                <c:pt idx="29">
                  <c:v>42458</c:v>
                </c:pt>
                <c:pt idx="30">
                  <c:v>42459</c:v>
                </c:pt>
                <c:pt idx="31">
                  <c:v>42460</c:v>
                </c:pt>
                <c:pt idx="32">
                  <c:v>42461</c:v>
                </c:pt>
                <c:pt idx="33">
                  <c:v>42462</c:v>
                </c:pt>
                <c:pt idx="34">
                  <c:v>42463</c:v>
                </c:pt>
                <c:pt idx="35">
                  <c:v>42464</c:v>
                </c:pt>
                <c:pt idx="36">
                  <c:v>42465</c:v>
                </c:pt>
                <c:pt idx="37">
                  <c:v>42466</c:v>
                </c:pt>
                <c:pt idx="38">
                  <c:v>42467</c:v>
                </c:pt>
                <c:pt idx="39">
                  <c:v>42468</c:v>
                </c:pt>
              </c:numCache>
            </c:numRef>
          </c:cat>
          <c:val>
            <c:numRef>
              <c:f>Operacional_10_dias!$F$24:$F$63</c:f>
              <c:numCache>
                <c:formatCode>0.00</c:formatCode>
                <c:ptCount val="40"/>
                <c:pt idx="0">
                  <c:v>249.8449596097982</c:v>
                </c:pt>
                <c:pt idx="1">
                  <c:v>250.00754634773659</c:v>
                </c:pt>
                <c:pt idx="2">
                  <c:v>249.21185308259496</c:v>
                </c:pt>
                <c:pt idx="3">
                  <c:v>248.143835730674</c:v>
                </c:pt>
                <c:pt idx="4">
                  <c:v>247.52851275148947</c:v>
                </c:pt>
                <c:pt idx="5">
                  <c:v>251.76213945349801</c:v>
                </c:pt>
                <c:pt idx="6">
                  <c:v>258.79078079509446</c:v>
                </c:pt>
                <c:pt idx="7">
                  <c:v>265.75039767062344</c:v>
                </c:pt>
                <c:pt idx="8">
                  <c:v>270.8291002228458</c:v>
                </c:pt>
                <c:pt idx="9">
                  <c:v>273.75061278692425</c:v>
                </c:pt>
                <c:pt idx="10">
                  <c:v>275.87593399071278</c:v>
                </c:pt>
                <c:pt idx="11">
                  <c:v>279.834878425569</c:v>
                </c:pt>
                <c:pt idx="12">
                  <c:v>286.59828962859422</c:v>
                </c:pt>
                <c:pt idx="13">
                  <c:v>296.10649094486013</c:v>
                </c:pt>
                <c:pt idx="14">
                  <c:v>305.23046549854746</c:v>
                </c:pt>
                <c:pt idx="15">
                  <c:v>313.43087380556437</c:v>
                </c:pt>
                <c:pt idx="16">
                  <c:v>318.77118421592644</c:v>
                </c:pt>
                <c:pt idx="17">
                  <c:v>321.73633732982518</c:v>
                </c:pt>
                <c:pt idx="18">
                  <c:v>322.72809361252524</c:v>
                </c:pt>
                <c:pt idx="19">
                  <c:v>322.16022813526422</c:v>
                </c:pt>
                <c:pt idx="20">
                  <c:v>321.57019299747486</c:v>
                </c:pt>
                <c:pt idx="21">
                  <c:v>321.82918876354728</c:v>
                </c:pt>
                <c:pt idx="22">
                  <c:v>322.32107607714011</c:v>
                </c:pt>
                <c:pt idx="23">
                  <c:v>324.4469187804396</c:v>
                </c:pt>
                <c:pt idx="24">
                  <c:v>330.8304488518869</c:v>
                </c:pt>
                <c:pt idx="25">
                  <c:v>338.36449651818793</c:v>
                </c:pt>
                <c:pt idx="26">
                  <c:v>343.93605125661549</c:v>
                </c:pt>
                <c:pt idx="27">
                  <c:v>349.99296704631161</c:v>
                </c:pt>
                <c:pt idx="28">
                  <c:v>358.64357013483868</c:v>
                </c:pt>
                <c:pt idx="29">
                  <c:v>368.18781792913114</c:v>
                </c:pt>
                <c:pt idx="30">
                  <c:v>376.9762816713199</c:v>
                </c:pt>
                <c:pt idx="31">
                  <c:v>383.05338360716195</c:v>
                </c:pt>
                <c:pt idx="32">
                  <c:v>386.35939583785557</c:v>
                </c:pt>
                <c:pt idx="33">
                  <c:v>387.4448584922784</c:v>
                </c:pt>
                <c:pt idx="34">
                  <c:v>387.16628489664004</c:v>
                </c:pt>
                <c:pt idx="35">
                  <c:v>386.49150635962826</c:v>
                </c:pt>
                <c:pt idx="36">
                  <c:v>387.04589202032423</c:v>
                </c:pt>
                <c:pt idx="37">
                  <c:v>389.7104507746821</c:v>
                </c:pt>
                <c:pt idx="38">
                  <c:v>393.98252055265652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5-D1C7-43A7-AA3C-EC048ACA119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60780544"/>
        <c:axId val="660771840"/>
      </c:lineChart>
      <c:dateAx>
        <c:axId val="660780544"/>
        <c:scaling>
          <c:orientation val="minMax"/>
        </c:scaling>
        <c:delete val="0"/>
        <c:axPos val="b"/>
        <c:numFmt formatCode="m/d/yyyy" sourceLinked="0"/>
        <c:majorTickMark val="out"/>
        <c:minorTickMark val="none"/>
        <c:tickLblPos val="nextTo"/>
        <c:txPr>
          <a:bodyPr rot="0" vert="horz"/>
          <a:lstStyle/>
          <a:p>
            <a:pPr>
              <a:defRPr/>
            </a:pPr>
            <a:endParaRPr lang="pt-BR"/>
          </a:p>
        </c:txPr>
        <c:crossAx val="660771840"/>
        <c:crosses val="autoZero"/>
        <c:auto val="0"/>
        <c:lblOffset val="100"/>
        <c:baseTimeUnit val="days"/>
        <c:minorUnit val="1"/>
      </c:dateAx>
      <c:valAx>
        <c:axId val="660771840"/>
        <c:scaling>
          <c:orientation val="minMax"/>
          <c:min val="0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pt-BR"/>
                  <a:t>Vazões (m³/s)</a:t>
                </a:r>
              </a:p>
            </c:rich>
          </c:tx>
          <c:layout>
            <c:manualLayout>
              <c:xMode val="edge"/>
              <c:yMode val="edge"/>
              <c:x val="5.3936113587626873E-5"/>
              <c:y val="0.3198800936316068"/>
            </c:manualLayout>
          </c:layout>
          <c:overlay val="0"/>
        </c:title>
        <c:numFmt formatCode="0" sourceLinked="0"/>
        <c:majorTickMark val="out"/>
        <c:minorTickMark val="none"/>
        <c:tickLblPos val="nextTo"/>
        <c:txPr>
          <a:bodyPr rot="0" vert="horz"/>
          <a:lstStyle/>
          <a:p>
            <a:pPr>
              <a:defRPr/>
            </a:pPr>
            <a:endParaRPr lang="pt-BR"/>
          </a:p>
        </c:txPr>
        <c:crossAx val="660780544"/>
        <c:crosses val="autoZero"/>
        <c:crossBetween val="between"/>
      </c:valAx>
      <c:valAx>
        <c:axId val="660768032"/>
        <c:scaling>
          <c:orientation val="maxMin"/>
          <c:max val="150"/>
          <c:min val="0"/>
        </c:scaling>
        <c:delete val="0"/>
        <c:axPos val="r"/>
        <c:title>
          <c:tx>
            <c:rich>
              <a:bodyPr/>
              <a:lstStyle/>
              <a:p>
                <a:pPr>
                  <a:defRPr/>
                </a:pPr>
                <a:r>
                  <a:rPr lang="pt-BR"/>
                  <a:t>Precipitação (mm)</a:t>
                </a:r>
              </a:p>
            </c:rich>
          </c:tx>
          <c:layout>
            <c:manualLayout>
              <c:xMode val="edge"/>
              <c:yMode val="edge"/>
              <c:x val="0.96814726840855103"/>
              <c:y val="0.26795561850802646"/>
            </c:manualLayout>
          </c:layout>
          <c:overlay val="0"/>
        </c:title>
        <c:numFmt formatCode="0" sourceLinked="0"/>
        <c:majorTickMark val="out"/>
        <c:minorTickMark val="none"/>
        <c:tickLblPos val="nextTo"/>
        <c:crossAx val="660778368"/>
        <c:crosses val="max"/>
        <c:crossBetween val="between"/>
        <c:majorUnit val="10"/>
      </c:valAx>
      <c:catAx>
        <c:axId val="660778368"/>
        <c:scaling>
          <c:orientation val="minMax"/>
        </c:scaling>
        <c:delete val="1"/>
        <c:axPos val="t"/>
        <c:numFmt formatCode="mmm\-yy" sourceLinked="1"/>
        <c:majorTickMark val="out"/>
        <c:minorTickMark val="none"/>
        <c:tickLblPos val="nextTo"/>
        <c:crossAx val="660768032"/>
        <c:crosses val="autoZero"/>
        <c:auto val="0"/>
        <c:lblAlgn val="ctr"/>
        <c:lblOffset val="100"/>
        <c:noMultiLvlLbl val="1"/>
      </c:catAx>
    </c:plotArea>
    <c:legend>
      <c:legendPos val="r"/>
      <c:layout>
        <c:manualLayout>
          <c:xMode val="edge"/>
          <c:yMode val="edge"/>
          <c:x val="0"/>
          <c:y val="0.91977730563424609"/>
          <c:w val="0.98971577128808264"/>
          <c:h val="8.0222605864106553E-2"/>
        </c:manualLayout>
      </c:layout>
      <c:overlay val="0"/>
    </c:legend>
    <c:plotVisOnly val="1"/>
    <c:dispBlanksAs val="gap"/>
    <c:showDLblsOverMax val="0"/>
  </c:chart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0291270783847981"/>
          <c:y val="1.5777554121524279E-2"/>
          <c:w val="0.81509369226708894"/>
          <c:h val="0.77590966320428068"/>
        </c:manualLayout>
      </c:layout>
      <c:barChart>
        <c:barDir val="col"/>
        <c:grouping val="clustered"/>
        <c:varyColors val="0"/>
        <c:ser>
          <c:idx val="5"/>
          <c:order val="4"/>
          <c:tx>
            <c:v>Chuva prev</c:v>
          </c:tx>
          <c:spPr>
            <a:solidFill>
              <a:schemeClr val="accent4"/>
            </a:solidFill>
            <a:ln>
              <a:solidFill>
                <a:srgbClr val="7030A0"/>
              </a:solidFill>
            </a:ln>
          </c:spPr>
          <c:invertIfNegative val="0"/>
          <c:dPt>
            <c:idx val="39"/>
            <c:invertIfNegative val="0"/>
            <c:bubble3D val="0"/>
            <c:spPr>
              <a:solidFill>
                <a:schemeClr val="accent4"/>
              </a:solidFill>
              <a:ln>
                <a:noFill/>
              </a:ln>
            </c:spPr>
            <c:extLst>
              <c:ext xmlns:c16="http://schemas.microsoft.com/office/drawing/2014/chart" uri="{C3380CC4-5D6E-409C-BE32-E72D297353CC}">
                <c16:uniqueId val="{00000001-779A-44F8-AC4E-AB86C79789E7}"/>
              </c:ext>
            </c:extLst>
          </c:dPt>
          <c:val>
            <c:numRef>
              <c:f>Operacional_15_dias!$BK$24:$BK$68</c:f>
              <c:numCache>
                <c:formatCode>General</c:formatCode>
                <c:ptCount val="45"/>
                <c:pt idx="30" formatCode="0.00">
                  <c:v>0.02</c:v>
                </c:pt>
                <c:pt idx="31" formatCode="0.00">
                  <c:v>0.36</c:v>
                </c:pt>
                <c:pt idx="32" formatCode="0.00">
                  <c:v>2.0299999999999998</c:v>
                </c:pt>
                <c:pt idx="33" formatCode="0.00">
                  <c:v>1.4</c:v>
                </c:pt>
                <c:pt idx="34" formatCode="0.00">
                  <c:v>1.1599999999999999</c:v>
                </c:pt>
                <c:pt idx="35" formatCode="0.00">
                  <c:v>31.37</c:v>
                </c:pt>
                <c:pt idx="36" formatCode="0.00">
                  <c:v>10.64</c:v>
                </c:pt>
                <c:pt idx="37" formatCode="0.00">
                  <c:v>11.79</c:v>
                </c:pt>
                <c:pt idx="38" formatCode="0.00">
                  <c:v>20.09</c:v>
                </c:pt>
                <c:pt idx="39" formatCode="0.00">
                  <c:v>28.69</c:v>
                </c:pt>
                <c:pt idx="40" formatCode="0.00">
                  <c:v>2.25</c:v>
                </c:pt>
                <c:pt idx="41" formatCode="0.00">
                  <c:v>3.95</c:v>
                </c:pt>
                <c:pt idx="42" formatCode="0.00">
                  <c:v>27.59</c:v>
                </c:pt>
                <c:pt idx="43" formatCode="0.00">
                  <c:v>5.98</c:v>
                </c:pt>
                <c:pt idx="44" formatCode="0.00">
                  <c:v>7.7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779A-44F8-AC4E-AB86C79789E7}"/>
            </c:ext>
          </c:extLst>
        </c:ser>
        <c:ser>
          <c:idx val="4"/>
          <c:order val="5"/>
          <c:tx>
            <c:v>Chuva obs</c:v>
          </c:tx>
          <c:spPr>
            <a:solidFill>
              <a:schemeClr val="tx2">
                <a:lumMod val="40000"/>
                <a:lumOff val="60000"/>
                <a:alpha val="67000"/>
              </a:schemeClr>
            </a:solidFill>
            <a:ln>
              <a:noFill/>
            </a:ln>
          </c:spPr>
          <c:invertIfNegative val="0"/>
          <c:val>
            <c:numRef>
              <c:f>Operacional_15_dias!$I$24:$I$53</c:f>
              <c:numCache>
                <c:formatCode>0.00</c:formatCode>
                <c:ptCount val="30"/>
                <c:pt idx="0">
                  <c:v>0.46</c:v>
                </c:pt>
                <c:pt idx="1">
                  <c:v>0.24</c:v>
                </c:pt>
                <c:pt idx="2">
                  <c:v>9.3000000000000007</c:v>
                </c:pt>
                <c:pt idx="3">
                  <c:v>31.29</c:v>
                </c:pt>
                <c:pt idx="4">
                  <c:v>4.3499999999999996</c:v>
                </c:pt>
                <c:pt idx="5">
                  <c:v>1.32</c:v>
                </c:pt>
                <c:pt idx="6">
                  <c:v>0.41</c:v>
                </c:pt>
                <c:pt idx="7">
                  <c:v>0.32</c:v>
                </c:pt>
                <c:pt idx="8">
                  <c:v>7.0000000000000007E-2</c:v>
                </c:pt>
                <c:pt idx="9">
                  <c:v>9.34</c:v>
                </c:pt>
                <c:pt idx="10">
                  <c:v>23.52</c:v>
                </c:pt>
                <c:pt idx="11">
                  <c:v>3.09</c:v>
                </c:pt>
                <c:pt idx="12">
                  <c:v>2.86</c:v>
                </c:pt>
                <c:pt idx="13">
                  <c:v>0.73</c:v>
                </c:pt>
                <c:pt idx="14">
                  <c:v>0.59</c:v>
                </c:pt>
                <c:pt idx="15">
                  <c:v>7.0000000000000007E-2</c:v>
                </c:pt>
                <c:pt idx="16">
                  <c:v>0.13</c:v>
                </c:pt>
                <c:pt idx="17">
                  <c:v>0.06</c:v>
                </c:pt>
                <c:pt idx="18">
                  <c:v>0.1</c:v>
                </c:pt>
                <c:pt idx="19">
                  <c:v>12.71</c:v>
                </c:pt>
                <c:pt idx="20">
                  <c:v>2.7</c:v>
                </c:pt>
                <c:pt idx="21">
                  <c:v>24.95</c:v>
                </c:pt>
                <c:pt idx="22">
                  <c:v>18.13</c:v>
                </c:pt>
                <c:pt idx="23">
                  <c:v>0.83</c:v>
                </c:pt>
                <c:pt idx="24">
                  <c:v>0.12</c:v>
                </c:pt>
                <c:pt idx="25">
                  <c:v>16.02</c:v>
                </c:pt>
                <c:pt idx="26">
                  <c:v>37.82</c:v>
                </c:pt>
                <c:pt idx="27">
                  <c:v>4.7</c:v>
                </c:pt>
                <c:pt idx="28">
                  <c:v>1.23</c:v>
                </c:pt>
                <c:pt idx="29">
                  <c:v>0.25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779A-44F8-AC4E-AB86C79789E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35"/>
        <c:overlap val="100"/>
        <c:axId val="663615904"/>
        <c:axId val="663609920"/>
      </c:barChart>
      <c:lineChart>
        <c:grouping val="standard"/>
        <c:varyColors val="0"/>
        <c:ser>
          <c:idx val="0"/>
          <c:order val="0"/>
          <c:tx>
            <c:v>Q obs</c:v>
          </c:tx>
          <c:spPr>
            <a:ln>
              <a:solidFill>
                <a:schemeClr val="accent1"/>
              </a:solidFill>
            </a:ln>
          </c:spPr>
          <c:marker>
            <c:symbol val="square"/>
            <c:size val="4"/>
            <c:spPr>
              <a:ln>
                <a:solidFill>
                  <a:schemeClr val="accent1"/>
                </a:solidFill>
              </a:ln>
            </c:spPr>
          </c:marker>
          <c:cat>
            <c:numRef>
              <c:f>Operacional_15_dias!$A$24:$A$68</c:f>
              <c:numCache>
                <c:formatCode>m/d/yyyy</c:formatCode>
                <c:ptCount val="45"/>
                <c:pt idx="0">
                  <c:v>42429</c:v>
                </c:pt>
                <c:pt idx="1">
                  <c:v>42430</c:v>
                </c:pt>
                <c:pt idx="2">
                  <c:v>42431</c:v>
                </c:pt>
                <c:pt idx="3">
                  <c:v>42432</c:v>
                </c:pt>
                <c:pt idx="4">
                  <c:v>42433</c:v>
                </c:pt>
                <c:pt idx="5">
                  <c:v>42434</c:v>
                </c:pt>
                <c:pt idx="6">
                  <c:v>42435</c:v>
                </c:pt>
                <c:pt idx="7">
                  <c:v>42436</c:v>
                </c:pt>
                <c:pt idx="8">
                  <c:v>42437</c:v>
                </c:pt>
                <c:pt idx="9">
                  <c:v>42438</c:v>
                </c:pt>
                <c:pt idx="10">
                  <c:v>42439</c:v>
                </c:pt>
                <c:pt idx="11">
                  <c:v>42440</c:v>
                </c:pt>
                <c:pt idx="12">
                  <c:v>42441</c:v>
                </c:pt>
                <c:pt idx="13">
                  <c:v>42442</c:v>
                </c:pt>
                <c:pt idx="14">
                  <c:v>42443</c:v>
                </c:pt>
                <c:pt idx="15">
                  <c:v>42444</c:v>
                </c:pt>
                <c:pt idx="16">
                  <c:v>42445</c:v>
                </c:pt>
                <c:pt idx="17">
                  <c:v>42446</c:v>
                </c:pt>
                <c:pt idx="18">
                  <c:v>42447</c:v>
                </c:pt>
                <c:pt idx="19">
                  <c:v>42448</c:v>
                </c:pt>
                <c:pt idx="20">
                  <c:v>42449</c:v>
                </c:pt>
                <c:pt idx="21">
                  <c:v>42450</c:v>
                </c:pt>
                <c:pt idx="22">
                  <c:v>42451</c:v>
                </c:pt>
                <c:pt idx="23">
                  <c:v>42452</c:v>
                </c:pt>
                <c:pt idx="24">
                  <c:v>42453</c:v>
                </c:pt>
                <c:pt idx="25">
                  <c:v>42454</c:v>
                </c:pt>
                <c:pt idx="26">
                  <c:v>42455</c:v>
                </c:pt>
                <c:pt idx="27">
                  <c:v>42456</c:v>
                </c:pt>
                <c:pt idx="28">
                  <c:v>42457</c:v>
                </c:pt>
                <c:pt idx="29">
                  <c:v>42458</c:v>
                </c:pt>
                <c:pt idx="30">
                  <c:v>42459</c:v>
                </c:pt>
                <c:pt idx="31">
                  <c:v>42460</c:v>
                </c:pt>
                <c:pt idx="32">
                  <c:v>42461</c:v>
                </c:pt>
                <c:pt idx="33">
                  <c:v>42462</c:v>
                </c:pt>
                <c:pt idx="34">
                  <c:v>42463</c:v>
                </c:pt>
                <c:pt idx="35">
                  <c:v>42464</c:v>
                </c:pt>
                <c:pt idx="36">
                  <c:v>42465</c:v>
                </c:pt>
                <c:pt idx="37">
                  <c:v>42466</c:v>
                </c:pt>
                <c:pt idx="38">
                  <c:v>42467</c:v>
                </c:pt>
                <c:pt idx="39">
                  <c:v>42468</c:v>
                </c:pt>
                <c:pt idx="40">
                  <c:v>42469</c:v>
                </c:pt>
                <c:pt idx="41">
                  <c:v>42470</c:v>
                </c:pt>
                <c:pt idx="42">
                  <c:v>42471</c:v>
                </c:pt>
                <c:pt idx="43">
                  <c:v>42472</c:v>
                </c:pt>
                <c:pt idx="44">
                  <c:v>42473</c:v>
                </c:pt>
              </c:numCache>
            </c:numRef>
          </c:cat>
          <c:val>
            <c:numRef>
              <c:f>Operacional_10_dias!$B$24:$B$53</c:f>
              <c:numCache>
                <c:formatCode>0</c:formatCode>
                <c:ptCount val="30"/>
                <c:pt idx="0">
                  <c:v>1035.03556978713</c:v>
                </c:pt>
                <c:pt idx="1">
                  <c:v>894.423546771171</c:v>
                </c:pt>
                <c:pt idx="2">
                  <c:v>770.51679494953601</c:v>
                </c:pt>
                <c:pt idx="3">
                  <c:v>2008.20300002503</c:v>
                </c:pt>
                <c:pt idx="4">
                  <c:v>2064.5436128544702</c:v>
                </c:pt>
                <c:pt idx="5">
                  <c:v>1933.3914916014901</c:v>
                </c:pt>
                <c:pt idx="6">
                  <c:v>1700.6263589523101</c:v>
                </c:pt>
                <c:pt idx="7">
                  <c:v>1339.08532292257</c:v>
                </c:pt>
                <c:pt idx="8">
                  <c:v>1099.2439515618901</c:v>
                </c:pt>
                <c:pt idx="9">
                  <c:v>1180.2527855814201</c:v>
                </c:pt>
                <c:pt idx="10">
                  <c:v>1709.14781201286</c:v>
                </c:pt>
                <c:pt idx="11">
                  <c:v>2064.19808210052</c:v>
                </c:pt>
                <c:pt idx="12">
                  <c:v>2041.8017553371501</c:v>
                </c:pt>
                <c:pt idx="13">
                  <c:v>1897.4468000433001</c:v>
                </c:pt>
                <c:pt idx="14">
                  <c:v>1561.3107932038799</c:v>
                </c:pt>
                <c:pt idx="15">
                  <c:v>1289.2214994701901</c:v>
                </c:pt>
                <c:pt idx="16">
                  <c:v>1090.66473545695</c:v>
                </c:pt>
                <c:pt idx="17">
                  <c:v>929.17803163181395</c:v>
                </c:pt>
                <c:pt idx="18">
                  <c:v>832.586682242763</c:v>
                </c:pt>
                <c:pt idx="19">
                  <c:v>760.89026976625405</c:v>
                </c:pt>
                <c:pt idx="20">
                  <c:v>671.57040358134805</c:v>
                </c:pt>
                <c:pt idx="21">
                  <c:v>907.67806605403598</c:v>
                </c:pt>
                <c:pt idx="22">
                  <c:v>2079.9068913917499</c:v>
                </c:pt>
                <c:pt idx="23">
                  <c:v>2114</c:v>
                </c:pt>
                <c:pt idx="24">
                  <c:v>1609</c:v>
                </c:pt>
                <c:pt idx="25">
                  <c:v>1553</c:v>
                </c:pt>
                <c:pt idx="26">
                  <c:v>2283</c:v>
                </c:pt>
                <c:pt idx="27">
                  <c:v>2411</c:v>
                </c:pt>
                <c:pt idx="28">
                  <c:v>2110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779A-44F8-AC4E-AB86C79789E7}"/>
            </c:ext>
          </c:extLst>
        </c:ser>
        <c:ser>
          <c:idx val="3"/>
          <c:order val="1"/>
          <c:tx>
            <c:v>Q prev</c:v>
          </c:tx>
          <c:spPr>
            <a:ln>
              <a:solidFill>
                <a:schemeClr val="accent6">
                  <a:lumMod val="75000"/>
                </a:schemeClr>
              </a:solidFill>
            </a:ln>
          </c:spPr>
          <c:marker>
            <c:symbol val="circle"/>
            <c:size val="3"/>
            <c:spPr>
              <a:solidFill>
                <a:schemeClr val="accent6">
                  <a:lumMod val="75000"/>
                </a:schemeClr>
              </a:solidFill>
              <a:ln>
                <a:solidFill>
                  <a:schemeClr val="accent6">
                    <a:lumMod val="75000"/>
                  </a:schemeClr>
                </a:solidFill>
              </a:ln>
            </c:spPr>
          </c:marker>
          <c:cat>
            <c:numRef>
              <c:f>Operacional_15_dias!$A$24:$A$68</c:f>
              <c:numCache>
                <c:formatCode>m/d/yyyy</c:formatCode>
                <c:ptCount val="45"/>
                <c:pt idx="0">
                  <c:v>42429</c:v>
                </c:pt>
                <c:pt idx="1">
                  <c:v>42430</c:v>
                </c:pt>
                <c:pt idx="2">
                  <c:v>42431</c:v>
                </c:pt>
                <c:pt idx="3">
                  <c:v>42432</c:v>
                </c:pt>
                <c:pt idx="4">
                  <c:v>42433</c:v>
                </c:pt>
                <c:pt idx="5">
                  <c:v>42434</c:v>
                </c:pt>
                <c:pt idx="6">
                  <c:v>42435</c:v>
                </c:pt>
                <c:pt idx="7">
                  <c:v>42436</c:v>
                </c:pt>
                <c:pt idx="8">
                  <c:v>42437</c:v>
                </c:pt>
                <c:pt idx="9">
                  <c:v>42438</c:v>
                </c:pt>
                <c:pt idx="10">
                  <c:v>42439</c:v>
                </c:pt>
                <c:pt idx="11">
                  <c:v>42440</c:v>
                </c:pt>
                <c:pt idx="12">
                  <c:v>42441</c:v>
                </c:pt>
                <c:pt idx="13">
                  <c:v>42442</c:v>
                </c:pt>
                <c:pt idx="14">
                  <c:v>42443</c:v>
                </c:pt>
                <c:pt idx="15">
                  <c:v>42444</c:v>
                </c:pt>
                <c:pt idx="16">
                  <c:v>42445</c:v>
                </c:pt>
                <c:pt idx="17">
                  <c:v>42446</c:v>
                </c:pt>
                <c:pt idx="18">
                  <c:v>42447</c:v>
                </c:pt>
                <c:pt idx="19">
                  <c:v>42448</c:v>
                </c:pt>
                <c:pt idx="20">
                  <c:v>42449</c:v>
                </c:pt>
                <c:pt idx="21">
                  <c:v>42450</c:v>
                </c:pt>
                <c:pt idx="22">
                  <c:v>42451</c:v>
                </c:pt>
                <c:pt idx="23">
                  <c:v>42452</c:v>
                </c:pt>
                <c:pt idx="24">
                  <c:v>42453</c:v>
                </c:pt>
                <c:pt idx="25">
                  <c:v>42454</c:v>
                </c:pt>
                <c:pt idx="26">
                  <c:v>42455</c:v>
                </c:pt>
                <c:pt idx="27">
                  <c:v>42456</c:v>
                </c:pt>
                <c:pt idx="28">
                  <c:v>42457</c:v>
                </c:pt>
                <c:pt idx="29">
                  <c:v>42458</c:v>
                </c:pt>
                <c:pt idx="30">
                  <c:v>42459</c:v>
                </c:pt>
                <c:pt idx="31">
                  <c:v>42460</c:v>
                </c:pt>
                <c:pt idx="32">
                  <c:v>42461</c:v>
                </c:pt>
                <c:pt idx="33">
                  <c:v>42462</c:v>
                </c:pt>
                <c:pt idx="34">
                  <c:v>42463</c:v>
                </c:pt>
                <c:pt idx="35">
                  <c:v>42464</c:v>
                </c:pt>
                <c:pt idx="36">
                  <c:v>42465</c:v>
                </c:pt>
                <c:pt idx="37">
                  <c:v>42466</c:v>
                </c:pt>
                <c:pt idx="38">
                  <c:v>42467</c:v>
                </c:pt>
                <c:pt idx="39">
                  <c:v>42468</c:v>
                </c:pt>
                <c:pt idx="40">
                  <c:v>42469</c:v>
                </c:pt>
                <c:pt idx="41">
                  <c:v>42470</c:v>
                </c:pt>
                <c:pt idx="42">
                  <c:v>42471</c:v>
                </c:pt>
                <c:pt idx="43">
                  <c:v>42472</c:v>
                </c:pt>
                <c:pt idx="44">
                  <c:v>42473</c:v>
                </c:pt>
              </c:numCache>
            </c:numRef>
          </c:cat>
          <c:val>
            <c:numRef>
              <c:f>Operacional_15_dias!$E$24:$E$68</c:f>
              <c:numCache>
                <c:formatCode>0</c:formatCode>
                <c:ptCount val="45"/>
                <c:pt idx="0">
                  <c:v>1049.422528724215</c:v>
                </c:pt>
                <c:pt idx="1">
                  <c:v>862.97064693653431</c:v>
                </c:pt>
                <c:pt idx="2">
                  <c:v>781.87694485499287</c:v>
                </c:pt>
                <c:pt idx="3">
                  <c:v>2015.2835387628393</c:v>
                </c:pt>
                <c:pt idx="4">
                  <c:v>2316.447365852468</c:v>
                </c:pt>
                <c:pt idx="5">
                  <c:v>1949.1376615096544</c:v>
                </c:pt>
                <c:pt idx="6">
                  <c:v>1535.3191391419666</c:v>
                </c:pt>
                <c:pt idx="7">
                  <c:v>1225.7764075248226</c:v>
                </c:pt>
                <c:pt idx="8">
                  <c:v>1002.62722551921</c:v>
                </c:pt>
                <c:pt idx="9">
                  <c:v>1181.3037124829168</c:v>
                </c:pt>
                <c:pt idx="10">
                  <c:v>1710.1463410102242</c:v>
                </c:pt>
                <c:pt idx="11">
                  <c:v>2440.2438718612666</c:v>
                </c:pt>
                <c:pt idx="12">
                  <c:v>2112.1861731406452</c:v>
                </c:pt>
                <c:pt idx="13">
                  <c:v>1772.7470839815267</c:v>
                </c:pt>
                <c:pt idx="14">
                  <c:v>1415.7528971016848</c:v>
                </c:pt>
                <c:pt idx="15">
                  <c:v>1148.6104543408542</c:v>
                </c:pt>
                <c:pt idx="16">
                  <c:v>946.87640018726324</c:v>
                </c:pt>
                <c:pt idx="17">
                  <c:v>794.10919165361429</c:v>
                </c:pt>
                <c:pt idx="18">
                  <c:v>726.41791195110068</c:v>
                </c:pt>
                <c:pt idx="19">
                  <c:v>758.86321682710786</c:v>
                </c:pt>
                <c:pt idx="20">
                  <c:v>720.69132105233962</c:v>
                </c:pt>
                <c:pt idx="21">
                  <c:v>907.72537981185394</c:v>
                </c:pt>
                <c:pt idx="22">
                  <c:v>2080.3405279106382</c:v>
                </c:pt>
                <c:pt idx="23">
                  <c:v>2071.0357635072796</c:v>
                </c:pt>
                <c:pt idx="24">
                  <c:v>1645.3172901389632</c:v>
                </c:pt>
                <c:pt idx="25">
                  <c:v>1553.3510188338412</c:v>
                </c:pt>
                <c:pt idx="26">
                  <c:v>2283.0119370215161</c:v>
                </c:pt>
                <c:pt idx="27">
                  <c:v>2416.4325795814093</c:v>
                </c:pt>
                <c:pt idx="28">
                  <c:v>2090.196038220738</c:v>
                </c:pt>
                <c:pt idx="29">
                  <c:v>1670.4192927883753</c:v>
                </c:pt>
                <c:pt idx="30">
                  <c:v>1356.3325791958575</c:v>
                </c:pt>
                <c:pt idx="31">
                  <c:v>1119.5858389298428</c:v>
                </c:pt>
                <c:pt idx="32">
                  <c:v>940.29388265492844</c:v>
                </c:pt>
                <c:pt idx="33">
                  <c:v>804.23138541649678</c:v>
                </c:pt>
                <c:pt idx="34">
                  <c:v>857.64759320018152</c:v>
                </c:pt>
                <c:pt idx="35">
                  <c:v>1375.8435509219739</c:v>
                </c:pt>
                <c:pt idx="36">
                  <c:v>2449.9894700483337</c:v>
                </c:pt>
                <c:pt idx="37">
                  <c:v>2780.2104182988674</c:v>
                </c:pt>
                <c:pt idx="38">
                  <c:v>3969.2032686488378</c:v>
                </c:pt>
                <c:pt idx="39">
                  <c:v>5134.4447450760745</c:v>
                </c:pt>
                <c:pt idx="40">
                  <c:v>5288.6224137951003</c:v>
                </c:pt>
                <c:pt idx="41">
                  <c:v>4729.3549104522181</c:v>
                </c:pt>
                <c:pt idx="42">
                  <c:v>4939.2779699013099</c:v>
                </c:pt>
                <c:pt idx="43">
                  <c:v>5356.7462985579859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5-779A-44F8-AC4E-AB86C79789E7}"/>
            </c:ext>
          </c:extLst>
        </c:ser>
        <c:ser>
          <c:idx val="1"/>
          <c:order val="2"/>
          <c:tx>
            <c:v>Q calc</c:v>
          </c:tx>
          <c:spPr>
            <a:ln>
              <a:solidFill>
                <a:schemeClr val="accent2"/>
              </a:solidFill>
            </a:ln>
          </c:spPr>
          <c:marker>
            <c:symbol val="square"/>
            <c:size val="4"/>
            <c:spPr>
              <a:ln>
                <a:solidFill>
                  <a:schemeClr val="accent2"/>
                </a:solidFill>
              </a:ln>
            </c:spPr>
          </c:marker>
          <c:cat>
            <c:numRef>
              <c:f>Operacional_15_dias!$A$24:$A$68</c:f>
              <c:numCache>
                <c:formatCode>m/d/yyyy</c:formatCode>
                <c:ptCount val="45"/>
                <c:pt idx="0">
                  <c:v>42429</c:v>
                </c:pt>
                <c:pt idx="1">
                  <c:v>42430</c:v>
                </c:pt>
                <c:pt idx="2">
                  <c:v>42431</c:v>
                </c:pt>
                <c:pt idx="3">
                  <c:v>42432</c:v>
                </c:pt>
                <c:pt idx="4">
                  <c:v>42433</c:v>
                </c:pt>
                <c:pt idx="5">
                  <c:v>42434</c:v>
                </c:pt>
                <c:pt idx="6">
                  <c:v>42435</c:v>
                </c:pt>
                <c:pt idx="7">
                  <c:v>42436</c:v>
                </c:pt>
                <c:pt idx="8">
                  <c:v>42437</c:v>
                </c:pt>
                <c:pt idx="9">
                  <c:v>42438</c:v>
                </c:pt>
                <c:pt idx="10">
                  <c:v>42439</c:v>
                </c:pt>
                <c:pt idx="11">
                  <c:v>42440</c:v>
                </c:pt>
                <c:pt idx="12">
                  <c:v>42441</c:v>
                </c:pt>
                <c:pt idx="13">
                  <c:v>42442</c:v>
                </c:pt>
                <c:pt idx="14">
                  <c:v>42443</c:v>
                </c:pt>
                <c:pt idx="15">
                  <c:v>42444</c:v>
                </c:pt>
                <c:pt idx="16">
                  <c:v>42445</c:v>
                </c:pt>
                <c:pt idx="17">
                  <c:v>42446</c:v>
                </c:pt>
                <c:pt idx="18">
                  <c:v>42447</c:v>
                </c:pt>
                <c:pt idx="19">
                  <c:v>42448</c:v>
                </c:pt>
                <c:pt idx="20">
                  <c:v>42449</c:v>
                </c:pt>
                <c:pt idx="21">
                  <c:v>42450</c:v>
                </c:pt>
                <c:pt idx="22">
                  <c:v>42451</c:v>
                </c:pt>
                <c:pt idx="23">
                  <c:v>42452</c:v>
                </c:pt>
                <c:pt idx="24">
                  <c:v>42453</c:v>
                </c:pt>
                <c:pt idx="25">
                  <c:v>42454</c:v>
                </c:pt>
                <c:pt idx="26">
                  <c:v>42455</c:v>
                </c:pt>
                <c:pt idx="27">
                  <c:v>42456</c:v>
                </c:pt>
                <c:pt idx="28">
                  <c:v>42457</c:v>
                </c:pt>
                <c:pt idx="29">
                  <c:v>42458</c:v>
                </c:pt>
                <c:pt idx="30">
                  <c:v>42459</c:v>
                </c:pt>
                <c:pt idx="31">
                  <c:v>42460</c:v>
                </c:pt>
                <c:pt idx="32">
                  <c:v>42461</c:v>
                </c:pt>
                <c:pt idx="33">
                  <c:v>42462</c:v>
                </c:pt>
                <c:pt idx="34">
                  <c:v>42463</c:v>
                </c:pt>
                <c:pt idx="35">
                  <c:v>42464</c:v>
                </c:pt>
                <c:pt idx="36">
                  <c:v>42465</c:v>
                </c:pt>
                <c:pt idx="37">
                  <c:v>42466</c:v>
                </c:pt>
                <c:pt idx="38">
                  <c:v>42467</c:v>
                </c:pt>
                <c:pt idx="39">
                  <c:v>42468</c:v>
                </c:pt>
                <c:pt idx="40">
                  <c:v>42469</c:v>
                </c:pt>
                <c:pt idx="41">
                  <c:v>42470</c:v>
                </c:pt>
                <c:pt idx="42">
                  <c:v>42471</c:v>
                </c:pt>
                <c:pt idx="43">
                  <c:v>42472</c:v>
                </c:pt>
                <c:pt idx="44">
                  <c:v>42473</c:v>
                </c:pt>
              </c:numCache>
            </c:numRef>
          </c:cat>
          <c:val>
            <c:numRef>
              <c:f>Operacional_15_dias!$E$24:$E$53</c:f>
              <c:numCache>
                <c:formatCode>0</c:formatCode>
                <c:ptCount val="30"/>
                <c:pt idx="0">
                  <c:v>1049.422528724215</c:v>
                </c:pt>
                <c:pt idx="1">
                  <c:v>862.97064693653431</c:v>
                </c:pt>
                <c:pt idx="2">
                  <c:v>781.87694485499287</c:v>
                </c:pt>
                <c:pt idx="3">
                  <c:v>2015.2835387628393</c:v>
                </c:pt>
                <c:pt idx="4">
                  <c:v>2316.447365852468</c:v>
                </c:pt>
                <c:pt idx="5">
                  <c:v>1949.1376615096544</c:v>
                </c:pt>
                <c:pt idx="6">
                  <c:v>1535.3191391419666</c:v>
                </c:pt>
                <c:pt idx="7">
                  <c:v>1225.7764075248226</c:v>
                </c:pt>
                <c:pt idx="8">
                  <c:v>1002.62722551921</c:v>
                </c:pt>
                <c:pt idx="9">
                  <c:v>1181.3037124829168</c:v>
                </c:pt>
                <c:pt idx="10">
                  <c:v>1710.1463410102242</c:v>
                </c:pt>
                <c:pt idx="11">
                  <c:v>2440.2438718612666</c:v>
                </c:pt>
                <c:pt idx="12">
                  <c:v>2112.1861731406452</c:v>
                </c:pt>
                <c:pt idx="13">
                  <c:v>1772.7470839815267</c:v>
                </c:pt>
                <c:pt idx="14">
                  <c:v>1415.7528971016848</c:v>
                </c:pt>
                <c:pt idx="15">
                  <c:v>1148.6104543408542</c:v>
                </c:pt>
                <c:pt idx="16">
                  <c:v>946.87640018726324</c:v>
                </c:pt>
                <c:pt idx="17">
                  <c:v>794.10919165361429</c:v>
                </c:pt>
                <c:pt idx="18">
                  <c:v>726.41791195110068</c:v>
                </c:pt>
                <c:pt idx="19">
                  <c:v>758.86321682710786</c:v>
                </c:pt>
                <c:pt idx="20">
                  <c:v>720.69132105233962</c:v>
                </c:pt>
                <c:pt idx="21">
                  <c:v>907.72537981185394</c:v>
                </c:pt>
                <c:pt idx="22">
                  <c:v>2080.3405279106382</c:v>
                </c:pt>
                <c:pt idx="23">
                  <c:v>2071.0357635072796</c:v>
                </c:pt>
                <c:pt idx="24">
                  <c:v>1645.3172901389632</c:v>
                </c:pt>
                <c:pt idx="25">
                  <c:v>1553.3510188338412</c:v>
                </c:pt>
                <c:pt idx="26">
                  <c:v>2283.0119370215161</c:v>
                </c:pt>
                <c:pt idx="27">
                  <c:v>2416.4325795814093</c:v>
                </c:pt>
                <c:pt idx="28">
                  <c:v>2090.196038220738</c:v>
                </c:pt>
                <c:pt idx="29">
                  <c:v>1670.4192927883753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6-779A-44F8-AC4E-AB86C79789E7}"/>
            </c:ext>
          </c:extLst>
        </c:ser>
        <c:ser>
          <c:idx val="2"/>
          <c:order val="3"/>
          <c:tx>
            <c:v>Escoamento base</c:v>
          </c:tx>
          <c:spPr>
            <a:ln>
              <a:solidFill>
                <a:schemeClr val="accent3"/>
              </a:solidFill>
            </a:ln>
          </c:spPr>
          <c:marker>
            <c:symbol val="square"/>
            <c:size val="4"/>
            <c:spPr>
              <a:ln>
                <a:solidFill>
                  <a:schemeClr val="accent3"/>
                </a:solidFill>
              </a:ln>
            </c:spPr>
          </c:marker>
          <c:cat>
            <c:numRef>
              <c:f>Operacional_15_dias!$A$24:$A$68</c:f>
              <c:numCache>
                <c:formatCode>m/d/yyyy</c:formatCode>
                <c:ptCount val="45"/>
                <c:pt idx="0">
                  <c:v>42429</c:v>
                </c:pt>
                <c:pt idx="1">
                  <c:v>42430</c:v>
                </c:pt>
                <c:pt idx="2">
                  <c:v>42431</c:v>
                </c:pt>
                <c:pt idx="3">
                  <c:v>42432</c:v>
                </c:pt>
                <c:pt idx="4">
                  <c:v>42433</c:v>
                </c:pt>
                <c:pt idx="5">
                  <c:v>42434</c:v>
                </c:pt>
                <c:pt idx="6">
                  <c:v>42435</c:v>
                </c:pt>
                <c:pt idx="7">
                  <c:v>42436</c:v>
                </c:pt>
                <c:pt idx="8">
                  <c:v>42437</c:v>
                </c:pt>
                <c:pt idx="9">
                  <c:v>42438</c:v>
                </c:pt>
                <c:pt idx="10">
                  <c:v>42439</c:v>
                </c:pt>
                <c:pt idx="11">
                  <c:v>42440</c:v>
                </c:pt>
                <c:pt idx="12">
                  <c:v>42441</c:v>
                </c:pt>
                <c:pt idx="13">
                  <c:v>42442</c:v>
                </c:pt>
                <c:pt idx="14">
                  <c:v>42443</c:v>
                </c:pt>
                <c:pt idx="15">
                  <c:v>42444</c:v>
                </c:pt>
                <c:pt idx="16">
                  <c:v>42445</c:v>
                </c:pt>
                <c:pt idx="17">
                  <c:v>42446</c:v>
                </c:pt>
                <c:pt idx="18">
                  <c:v>42447</c:v>
                </c:pt>
                <c:pt idx="19">
                  <c:v>42448</c:v>
                </c:pt>
                <c:pt idx="20">
                  <c:v>42449</c:v>
                </c:pt>
                <c:pt idx="21">
                  <c:v>42450</c:v>
                </c:pt>
                <c:pt idx="22">
                  <c:v>42451</c:v>
                </c:pt>
                <c:pt idx="23">
                  <c:v>42452</c:v>
                </c:pt>
                <c:pt idx="24">
                  <c:v>42453</c:v>
                </c:pt>
                <c:pt idx="25">
                  <c:v>42454</c:v>
                </c:pt>
                <c:pt idx="26">
                  <c:v>42455</c:v>
                </c:pt>
                <c:pt idx="27">
                  <c:v>42456</c:v>
                </c:pt>
                <c:pt idx="28">
                  <c:v>42457</c:v>
                </c:pt>
                <c:pt idx="29">
                  <c:v>42458</c:v>
                </c:pt>
                <c:pt idx="30">
                  <c:v>42459</c:v>
                </c:pt>
                <c:pt idx="31">
                  <c:v>42460</c:v>
                </c:pt>
                <c:pt idx="32">
                  <c:v>42461</c:v>
                </c:pt>
                <c:pt idx="33">
                  <c:v>42462</c:v>
                </c:pt>
                <c:pt idx="34">
                  <c:v>42463</c:v>
                </c:pt>
                <c:pt idx="35">
                  <c:v>42464</c:v>
                </c:pt>
                <c:pt idx="36">
                  <c:v>42465</c:v>
                </c:pt>
                <c:pt idx="37">
                  <c:v>42466</c:v>
                </c:pt>
                <c:pt idx="38">
                  <c:v>42467</c:v>
                </c:pt>
                <c:pt idx="39">
                  <c:v>42468</c:v>
                </c:pt>
                <c:pt idx="40">
                  <c:v>42469</c:v>
                </c:pt>
                <c:pt idx="41">
                  <c:v>42470</c:v>
                </c:pt>
                <c:pt idx="42">
                  <c:v>42471</c:v>
                </c:pt>
                <c:pt idx="43">
                  <c:v>42472</c:v>
                </c:pt>
                <c:pt idx="44">
                  <c:v>42473</c:v>
                </c:pt>
              </c:numCache>
            </c:numRef>
          </c:cat>
          <c:val>
            <c:numRef>
              <c:f>Operacional_15_dias!$F$24:$F$68</c:f>
              <c:numCache>
                <c:formatCode>0.00</c:formatCode>
                <c:ptCount val="45"/>
                <c:pt idx="0">
                  <c:v>249.8449596097982</c:v>
                </c:pt>
                <c:pt idx="1">
                  <c:v>250.00754634773659</c:v>
                </c:pt>
                <c:pt idx="2">
                  <c:v>249.21185308259496</c:v>
                </c:pt>
                <c:pt idx="3">
                  <c:v>248.143835730674</c:v>
                </c:pt>
                <c:pt idx="4">
                  <c:v>247.52851275148947</c:v>
                </c:pt>
                <c:pt idx="5">
                  <c:v>251.76213945349801</c:v>
                </c:pt>
                <c:pt idx="6">
                  <c:v>258.79078079509446</c:v>
                </c:pt>
                <c:pt idx="7">
                  <c:v>265.75039767062344</c:v>
                </c:pt>
                <c:pt idx="8">
                  <c:v>270.8291002228458</c:v>
                </c:pt>
                <c:pt idx="9">
                  <c:v>273.75061278692425</c:v>
                </c:pt>
                <c:pt idx="10">
                  <c:v>275.87593399071278</c:v>
                </c:pt>
                <c:pt idx="11">
                  <c:v>279.834878425569</c:v>
                </c:pt>
                <c:pt idx="12">
                  <c:v>286.59828962859422</c:v>
                </c:pt>
                <c:pt idx="13">
                  <c:v>296.10649094486013</c:v>
                </c:pt>
                <c:pt idx="14">
                  <c:v>305.23046549854746</c:v>
                </c:pt>
                <c:pt idx="15">
                  <c:v>313.43087380556437</c:v>
                </c:pt>
                <c:pt idx="16">
                  <c:v>318.77118421592644</c:v>
                </c:pt>
                <c:pt idx="17">
                  <c:v>321.73633732982518</c:v>
                </c:pt>
                <c:pt idx="18">
                  <c:v>322.72809361252524</c:v>
                </c:pt>
                <c:pt idx="19">
                  <c:v>322.16022813526422</c:v>
                </c:pt>
                <c:pt idx="20">
                  <c:v>321.57019299747486</c:v>
                </c:pt>
                <c:pt idx="21">
                  <c:v>321.82918876354728</c:v>
                </c:pt>
                <c:pt idx="22">
                  <c:v>322.32107607714011</c:v>
                </c:pt>
                <c:pt idx="23">
                  <c:v>324.4469187804396</c:v>
                </c:pt>
                <c:pt idx="24">
                  <c:v>330.8304488518869</c:v>
                </c:pt>
                <c:pt idx="25">
                  <c:v>338.36449651818793</c:v>
                </c:pt>
                <c:pt idx="26">
                  <c:v>343.93605125661549</c:v>
                </c:pt>
                <c:pt idx="27">
                  <c:v>349.99296704631161</c:v>
                </c:pt>
                <c:pt idx="28">
                  <c:v>358.64357013483868</c:v>
                </c:pt>
                <c:pt idx="29">
                  <c:v>368.18781792913114</c:v>
                </c:pt>
                <c:pt idx="30">
                  <c:v>376.9762816713199</c:v>
                </c:pt>
                <c:pt idx="31">
                  <c:v>383.0510707123546</c:v>
                </c:pt>
                <c:pt idx="32">
                  <c:v>386.37549139692271</c:v>
                </c:pt>
                <c:pt idx="33">
                  <c:v>387.65147987257257</c:v>
                </c:pt>
                <c:pt idx="34">
                  <c:v>387.8428036326647</c:v>
                </c:pt>
                <c:pt idx="35">
                  <c:v>387.22947022266737</c:v>
                </c:pt>
                <c:pt idx="36">
                  <c:v>388.09525699250162</c:v>
                </c:pt>
                <c:pt idx="37">
                  <c:v>392.38511617285059</c:v>
                </c:pt>
                <c:pt idx="38">
                  <c:v>400.86833249624107</c:v>
                </c:pt>
                <c:pt idx="39">
                  <c:v>411.32465500058402</c:v>
                </c:pt>
                <c:pt idx="40">
                  <c:v>423.77114462918092</c:v>
                </c:pt>
                <c:pt idx="41">
                  <c:v>437.01215931603156</c:v>
                </c:pt>
                <c:pt idx="42">
                  <c:v>450.11369578118382</c:v>
                </c:pt>
                <c:pt idx="43">
                  <c:v>462.60272779245832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7-779A-44F8-AC4E-AB86C79789E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60767488"/>
        <c:axId val="663607200"/>
      </c:lineChart>
      <c:dateAx>
        <c:axId val="660767488"/>
        <c:scaling>
          <c:orientation val="minMax"/>
        </c:scaling>
        <c:delete val="0"/>
        <c:axPos val="b"/>
        <c:numFmt formatCode="m/d/yyyy" sourceLinked="0"/>
        <c:majorTickMark val="out"/>
        <c:minorTickMark val="none"/>
        <c:tickLblPos val="nextTo"/>
        <c:txPr>
          <a:bodyPr rot="0" vert="horz"/>
          <a:lstStyle/>
          <a:p>
            <a:pPr>
              <a:defRPr/>
            </a:pPr>
            <a:endParaRPr lang="pt-BR"/>
          </a:p>
        </c:txPr>
        <c:crossAx val="663607200"/>
        <c:crosses val="autoZero"/>
        <c:auto val="0"/>
        <c:lblOffset val="100"/>
        <c:baseTimeUnit val="days"/>
        <c:minorUnit val="1"/>
      </c:dateAx>
      <c:valAx>
        <c:axId val="663607200"/>
        <c:scaling>
          <c:orientation val="minMax"/>
          <c:min val="0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pt-BR"/>
                  <a:t>Vazões (m³/s)</a:t>
                </a:r>
              </a:p>
            </c:rich>
          </c:tx>
          <c:layout>
            <c:manualLayout>
              <c:xMode val="edge"/>
              <c:yMode val="edge"/>
              <c:x val="5.3936113587626873E-5"/>
              <c:y val="0.3198800936316068"/>
            </c:manualLayout>
          </c:layout>
          <c:overlay val="0"/>
        </c:title>
        <c:numFmt formatCode="0" sourceLinked="0"/>
        <c:majorTickMark val="out"/>
        <c:minorTickMark val="none"/>
        <c:tickLblPos val="nextTo"/>
        <c:txPr>
          <a:bodyPr rot="0" vert="horz"/>
          <a:lstStyle/>
          <a:p>
            <a:pPr>
              <a:defRPr/>
            </a:pPr>
            <a:endParaRPr lang="pt-BR"/>
          </a:p>
        </c:txPr>
        <c:crossAx val="660767488"/>
        <c:crosses val="autoZero"/>
        <c:crossBetween val="between"/>
      </c:valAx>
      <c:valAx>
        <c:axId val="663609920"/>
        <c:scaling>
          <c:orientation val="maxMin"/>
          <c:max val="150"/>
          <c:min val="0"/>
        </c:scaling>
        <c:delete val="0"/>
        <c:axPos val="r"/>
        <c:title>
          <c:tx>
            <c:rich>
              <a:bodyPr/>
              <a:lstStyle/>
              <a:p>
                <a:pPr>
                  <a:defRPr/>
                </a:pPr>
                <a:r>
                  <a:rPr lang="pt-BR"/>
                  <a:t>Precipitação (mm)</a:t>
                </a:r>
              </a:p>
            </c:rich>
          </c:tx>
          <c:layout>
            <c:manualLayout>
              <c:xMode val="edge"/>
              <c:yMode val="edge"/>
              <c:x val="0.96814726840855103"/>
              <c:y val="0.26795561850802646"/>
            </c:manualLayout>
          </c:layout>
          <c:overlay val="0"/>
        </c:title>
        <c:numFmt formatCode="0" sourceLinked="0"/>
        <c:majorTickMark val="out"/>
        <c:minorTickMark val="none"/>
        <c:tickLblPos val="nextTo"/>
        <c:crossAx val="663615904"/>
        <c:crosses val="max"/>
        <c:crossBetween val="between"/>
        <c:majorUnit val="10"/>
      </c:valAx>
      <c:catAx>
        <c:axId val="663615904"/>
        <c:scaling>
          <c:orientation val="minMax"/>
        </c:scaling>
        <c:delete val="1"/>
        <c:axPos val="t"/>
        <c:numFmt formatCode="mmm\-yy" sourceLinked="1"/>
        <c:majorTickMark val="out"/>
        <c:minorTickMark val="none"/>
        <c:tickLblPos val="nextTo"/>
        <c:crossAx val="663609920"/>
        <c:crosses val="autoZero"/>
        <c:auto val="0"/>
        <c:lblAlgn val="ctr"/>
        <c:lblOffset val="100"/>
        <c:noMultiLvlLbl val="1"/>
      </c:catAx>
    </c:plotArea>
    <c:legend>
      <c:legendPos val="r"/>
      <c:layout>
        <c:manualLayout>
          <c:xMode val="edge"/>
          <c:yMode val="edge"/>
          <c:x val="0"/>
          <c:y val="0.91977730563424609"/>
          <c:w val="0.98971577128808264"/>
          <c:h val="8.0222605864106553E-2"/>
        </c:manualLayout>
      </c:layout>
      <c:overlay val="0"/>
    </c:legend>
    <c:plotVisOnly val="1"/>
    <c:dispBlanksAs val="gap"/>
    <c:showDLblsOverMax val="0"/>
  </c:chart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0291270783847981"/>
          <c:y val="1.5777554121524279E-2"/>
          <c:w val="0.81509369226708894"/>
          <c:h val="0.77590966320428068"/>
        </c:manualLayout>
      </c:layout>
      <c:barChart>
        <c:barDir val="col"/>
        <c:grouping val="clustered"/>
        <c:varyColors val="0"/>
        <c:ser>
          <c:idx val="5"/>
          <c:order val="4"/>
          <c:tx>
            <c:v>Chuva prev ponderada</c:v>
          </c:tx>
          <c:spPr>
            <a:solidFill>
              <a:schemeClr val="accent4"/>
            </a:solidFill>
            <a:ln>
              <a:solidFill>
                <a:srgbClr val="7030A0"/>
              </a:solidFill>
            </a:ln>
          </c:spPr>
          <c:invertIfNegative val="0"/>
          <c:dPt>
            <c:idx val="39"/>
            <c:invertIfNegative val="0"/>
            <c:bubble3D val="0"/>
            <c:spPr>
              <a:solidFill>
                <a:schemeClr val="accent4"/>
              </a:solidFill>
              <a:ln>
                <a:noFill/>
              </a:ln>
            </c:spPr>
            <c:extLst>
              <c:ext xmlns:c16="http://schemas.microsoft.com/office/drawing/2014/chart" uri="{C3380CC4-5D6E-409C-BE32-E72D297353CC}">
                <c16:uniqueId val="{00000001-F3CA-4757-8469-081243EC05E2}"/>
              </c:ext>
            </c:extLst>
          </c:dPt>
          <c:val>
            <c:numRef>
              <c:f>Operacional_15_dias!$BL$24:$BL$68</c:f>
              <c:numCache>
                <c:formatCode>0.00</c:formatCode>
                <c:ptCount val="45"/>
                <c:pt idx="30">
                  <c:v>0.29333321099292681</c:v>
                </c:pt>
                <c:pt idx="31">
                  <c:v>0.59956022239506246</c:v>
                </c:pt>
                <c:pt idx="32">
                  <c:v>1.178770818335189</c:v>
                </c:pt>
                <c:pt idx="33">
                  <c:v>1.5718208408635403</c:v>
                </c:pt>
                <c:pt idx="34">
                  <c:v>7.6987006572748253</c:v>
                </c:pt>
                <c:pt idx="35">
                  <c:v>14.041335333507957</c:v>
                </c:pt>
                <c:pt idx="36">
                  <c:v>19.059769100266276</c:v>
                </c:pt>
                <c:pt idx="37">
                  <c:v>12.855252900017149</c:v>
                </c:pt>
                <c:pt idx="38">
                  <c:v>18.830553884262144</c:v>
                </c:pt>
                <c:pt idx="39">
                  <c:v>19.142127591329871</c:v>
                </c:pt>
                <c:pt idx="40">
                  <c:v>13.529055011430771</c:v>
                </c:pt>
                <c:pt idx="41">
                  <c:v>8.6883869064681782</c:v>
                </c:pt>
                <c:pt idx="42">
                  <c:v>13.430783589535418</c:v>
                </c:pt>
                <c:pt idx="43">
                  <c:v>15.004320292649924</c:v>
                </c:pt>
                <c:pt idx="44">
                  <c:v>5.2714336749238822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F3CA-4757-8469-081243EC05E2}"/>
            </c:ext>
          </c:extLst>
        </c:ser>
        <c:ser>
          <c:idx val="4"/>
          <c:order val="5"/>
          <c:tx>
            <c:v>Chuva obs ponderada</c:v>
          </c:tx>
          <c:spPr>
            <a:solidFill>
              <a:schemeClr val="tx2">
                <a:lumMod val="40000"/>
                <a:lumOff val="60000"/>
                <a:alpha val="67000"/>
              </a:schemeClr>
            </a:solidFill>
            <a:ln>
              <a:noFill/>
            </a:ln>
          </c:spPr>
          <c:invertIfNegative val="0"/>
          <c:val>
            <c:numRef>
              <c:f>Operacional_15_dias!$AC$24:$AC$53</c:f>
              <c:numCache>
                <c:formatCode>0.0</c:formatCode>
                <c:ptCount val="30"/>
                <c:pt idx="0">
                  <c:v>1.8739810199400995</c:v>
                </c:pt>
                <c:pt idx="1">
                  <c:v>3.5743669305951831</c:v>
                </c:pt>
                <c:pt idx="2">
                  <c:v>6.0902894020061362</c:v>
                </c:pt>
                <c:pt idx="3">
                  <c:v>23.379420429365496</c:v>
                </c:pt>
                <c:pt idx="4">
                  <c:v>14.628482023902196</c:v>
                </c:pt>
                <c:pt idx="5">
                  <c:v>6.3365742618437073</c:v>
                </c:pt>
                <c:pt idx="6">
                  <c:v>1.9112568381984532</c:v>
                </c:pt>
                <c:pt idx="7">
                  <c:v>0.42522718957934413</c:v>
                </c:pt>
                <c:pt idx="8">
                  <c:v>3.235732341488867</c:v>
                </c:pt>
                <c:pt idx="9">
                  <c:v>10.696820386751661</c:v>
                </c:pt>
                <c:pt idx="10">
                  <c:v>14.698274516498451</c:v>
                </c:pt>
                <c:pt idx="11">
                  <c:v>16.539364215000159</c:v>
                </c:pt>
                <c:pt idx="12">
                  <c:v>6.616338004985983</c:v>
                </c:pt>
                <c:pt idx="13">
                  <c:v>5.2141017624034536</c:v>
                </c:pt>
                <c:pt idx="14">
                  <c:v>0.604633352342139</c:v>
                </c:pt>
                <c:pt idx="15">
                  <c:v>0.35864688280172424</c:v>
                </c:pt>
                <c:pt idx="16">
                  <c:v>0.10451122861875817</c:v>
                </c:pt>
                <c:pt idx="17">
                  <c:v>0.10893418164959043</c:v>
                </c:pt>
                <c:pt idx="18">
                  <c:v>5.1415960175666218</c:v>
                </c:pt>
                <c:pt idx="19">
                  <c:v>7.3898745664426038</c:v>
                </c:pt>
                <c:pt idx="20">
                  <c:v>5.7233457425335121</c:v>
                </c:pt>
                <c:pt idx="21">
                  <c:v>9.9126409843517127</c:v>
                </c:pt>
                <c:pt idx="22">
                  <c:v>20.714867868449449</c:v>
                </c:pt>
                <c:pt idx="23">
                  <c:v>10.037475437603732</c:v>
                </c:pt>
                <c:pt idx="24">
                  <c:v>2.2946317768124884</c:v>
                </c:pt>
                <c:pt idx="25">
                  <c:v>7.7064400084301132</c:v>
                </c:pt>
                <c:pt idx="26">
                  <c:v>15.943710435198005</c:v>
                </c:pt>
                <c:pt idx="27">
                  <c:v>10.996606365718334</c:v>
                </c:pt>
                <c:pt idx="28">
                  <c:v>6.0648584285925313</c:v>
                </c:pt>
                <c:pt idx="29">
                  <c:v>1.4609258994134997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F3CA-4757-8469-081243EC05E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35"/>
        <c:overlap val="100"/>
        <c:axId val="663604480"/>
        <c:axId val="663618080"/>
      </c:barChart>
      <c:lineChart>
        <c:grouping val="standard"/>
        <c:varyColors val="0"/>
        <c:ser>
          <c:idx val="0"/>
          <c:order val="0"/>
          <c:tx>
            <c:v>Q obs</c:v>
          </c:tx>
          <c:spPr>
            <a:ln>
              <a:solidFill>
                <a:schemeClr val="accent1"/>
              </a:solidFill>
            </a:ln>
          </c:spPr>
          <c:marker>
            <c:symbol val="square"/>
            <c:size val="4"/>
            <c:spPr>
              <a:ln>
                <a:solidFill>
                  <a:schemeClr val="accent1"/>
                </a:solidFill>
              </a:ln>
            </c:spPr>
          </c:marker>
          <c:cat>
            <c:numRef>
              <c:f>Operacional_15_dias!$A$24:$A$68</c:f>
              <c:numCache>
                <c:formatCode>m/d/yyyy</c:formatCode>
                <c:ptCount val="45"/>
                <c:pt idx="0">
                  <c:v>42429</c:v>
                </c:pt>
                <c:pt idx="1">
                  <c:v>42430</c:v>
                </c:pt>
                <c:pt idx="2">
                  <c:v>42431</c:v>
                </c:pt>
                <c:pt idx="3">
                  <c:v>42432</c:v>
                </c:pt>
                <c:pt idx="4">
                  <c:v>42433</c:v>
                </c:pt>
                <c:pt idx="5">
                  <c:v>42434</c:v>
                </c:pt>
                <c:pt idx="6">
                  <c:v>42435</c:v>
                </c:pt>
                <c:pt idx="7">
                  <c:v>42436</c:v>
                </c:pt>
                <c:pt idx="8">
                  <c:v>42437</c:v>
                </c:pt>
                <c:pt idx="9">
                  <c:v>42438</c:v>
                </c:pt>
                <c:pt idx="10">
                  <c:v>42439</c:v>
                </c:pt>
                <c:pt idx="11">
                  <c:v>42440</c:v>
                </c:pt>
                <c:pt idx="12">
                  <c:v>42441</c:v>
                </c:pt>
                <c:pt idx="13">
                  <c:v>42442</c:v>
                </c:pt>
                <c:pt idx="14">
                  <c:v>42443</c:v>
                </c:pt>
                <c:pt idx="15">
                  <c:v>42444</c:v>
                </c:pt>
                <c:pt idx="16">
                  <c:v>42445</c:v>
                </c:pt>
                <c:pt idx="17">
                  <c:v>42446</c:v>
                </c:pt>
                <c:pt idx="18">
                  <c:v>42447</c:v>
                </c:pt>
                <c:pt idx="19">
                  <c:v>42448</c:v>
                </c:pt>
                <c:pt idx="20">
                  <c:v>42449</c:v>
                </c:pt>
                <c:pt idx="21">
                  <c:v>42450</c:v>
                </c:pt>
                <c:pt idx="22">
                  <c:v>42451</c:v>
                </c:pt>
                <c:pt idx="23">
                  <c:v>42452</c:v>
                </c:pt>
                <c:pt idx="24">
                  <c:v>42453</c:v>
                </c:pt>
                <c:pt idx="25">
                  <c:v>42454</c:v>
                </c:pt>
                <c:pt idx="26">
                  <c:v>42455</c:v>
                </c:pt>
                <c:pt idx="27">
                  <c:v>42456</c:v>
                </c:pt>
                <c:pt idx="28">
                  <c:v>42457</c:v>
                </c:pt>
                <c:pt idx="29">
                  <c:v>42458</c:v>
                </c:pt>
                <c:pt idx="30">
                  <c:v>42459</c:v>
                </c:pt>
                <c:pt idx="31">
                  <c:v>42460</c:v>
                </c:pt>
                <c:pt idx="32">
                  <c:v>42461</c:v>
                </c:pt>
                <c:pt idx="33">
                  <c:v>42462</c:v>
                </c:pt>
                <c:pt idx="34">
                  <c:v>42463</c:v>
                </c:pt>
                <c:pt idx="35">
                  <c:v>42464</c:v>
                </c:pt>
                <c:pt idx="36">
                  <c:v>42465</c:v>
                </c:pt>
                <c:pt idx="37">
                  <c:v>42466</c:v>
                </c:pt>
                <c:pt idx="38">
                  <c:v>42467</c:v>
                </c:pt>
                <c:pt idx="39">
                  <c:v>42468</c:v>
                </c:pt>
                <c:pt idx="40">
                  <c:v>42469</c:v>
                </c:pt>
                <c:pt idx="41">
                  <c:v>42470</c:v>
                </c:pt>
                <c:pt idx="42">
                  <c:v>42471</c:v>
                </c:pt>
                <c:pt idx="43">
                  <c:v>42472</c:v>
                </c:pt>
                <c:pt idx="44">
                  <c:v>42473</c:v>
                </c:pt>
              </c:numCache>
            </c:numRef>
          </c:cat>
          <c:val>
            <c:numRef>
              <c:f>Operacional_10_dias!$B$24:$B$53</c:f>
              <c:numCache>
                <c:formatCode>0</c:formatCode>
                <c:ptCount val="30"/>
                <c:pt idx="0">
                  <c:v>1035.03556978713</c:v>
                </c:pt>
                <c:pt idx="1">
                  <c:v>894.423546771171</c:v>
                </c:pt>
                <c:pt idx="2">
                  <c:v>770.51679494953601</c:v>
                </c:pt>
                <c:pt idx="3">
                  <c:v>2008.20300002503</c:v>
                </c:pt>
                <c:pt idx="4">
                  <c:v>2064.5436128544702</c:v>
                </c:pt>
                <c:pt idx="5">
                  <c:v>1933.3914916014901</c:v>
                </c:pt>
                <c:pt idx="6">
                  <c:v>1700.6263589523101</c:v>
                </c:pt>
                <c:pt idx="7">
                  <c:v>1339.08532292257</c:v>
                </c:pt>
                <c:pt idx="8">
                  <c:v>1099.2439515618901</c:v>
                </c:pt>
                <c:pt idx="9">
                  <c:v>1180.2527855814201</c:v>
                </c:pt>
                <c:pt idx="10">
                  <c:v>1709.14781201286</c:v>
                </c:pt>
                <c:pt idx="11">
                  <c:v>2064.19808210052</c:v>
                </c:pt>
                <c:pt idx="12">
                  <c:v>2041.8017553371501</c:v>
                </c:pt>
                <c:pt idx="13">
                  <c:v>1897.4468000433001</c:v>
                </c:pt>
                <c:pt idx="14">
                  <c:v>1561.3107932038799</c:v>
                </c:pt>
                <c:pt idx="15">
                  <c:v>1289.2214994701901</c:v>
                </c:pt>
                <c:pt idx="16">
                  <c:v>1090.66473545695</c:v>
                </c:pt>
                <c:pt idx="17">
                  <c:v>929.17803163181395</c:v>
                </c:pt>
                <c:pt idx="18">
                  <c:v>832.586682242763</c:v>
                </c:pt>
                <c:pt idx="19">
                  <c:v>760.89026976625405</c:v>
                </c:pt>
                <c:pt idx="20">
                  <c:v>671.57040358134805</c:v>
                </c:pt>
                <c:pt idx="21">
                  <c:v>907.67806605403598</c:v>
                </c:pt>
                <c:pt idx="22">
                  <c:v>2079.9068913917499</c:v>
                </c:pt>
                <c:pt idx="23">
                  <c:v>2114</c:v>
                </c:pt>
                <c:pt idx="24">
                  <c:v>1609</c:v>
                </c:pt>
                <c:pt idx="25">
                  <c:v>1553</c:v>
                </c:pt>
                <c:pt idx="26">
                  <c:v>2283</c:v>
                </c:pt>
                <c:pt idx="27">
                  <c:v>2411</c:v>
                </c:pt>
                <c:pt idx="28">
                  <c:v>2110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F3CA-4757-8469-081243EC05E2}"/>
            </c:ext>
          </c:extLst>
        </c:ser>
        <c:ser>
          <c:idx val="3"/>
          <c:order val="1"/>
          <c:tx>
            <c:v>Q prev</c:v>
          </c:tx>
          <c:spPr>
            <a:ln>
              <a:solidFill>
                <a:schemeClr val="accent6">
                  <a:lumMod val="75000"/>
                </a:schemeClr>
              </a:solidFill>
            </a:ln>
          </c:spPr>
          <c:marker>
            <c:symbol val="circle"/>
            <c:size val="3"/>
            <c:spPr>
              <a:solidFill>
                <a:schemeClr val="accent6">
                  <a:lumMod val="75000"/>
                </a:schemeClr>
              </a:solidFill>
              <a:ln>
                <a:solidFill>
                  <a:schemeClr val="accent6">
                    <a:lumMod val="75000"/>
                  </a:schemeClr>
                </a:solidFill>
              </a:ln>
            </c:spPr>
          </c:marker>
          <c:cat>
            <c:numRef>
              <c:f>Operacional_15_dias!$A$24:$A$68</c:f>
              <c:numCache>
                <c:formatCode>m/d/yyyy</c:formatCode>
                <c:ptCount val="45"/>
                <c:pt idx="0">
                  <c:v>42429</c:v>
                </c:pt>
                <c:pt idx="1">
                  <c:v>42430</c:v>
                </c:pt>
                <c:pt idx="2">
                  <c:v>42431</c:v>
                </c:pt>
                <c:pt idx="3">
                  <c:v>42432</c:v>
                </c:pt>
                <c:pt idx="4">
                  <c:v>42433</c:v>
                </c:pt>
                <c:pt idx="5">
                  <c:v>42434</c:v>
                </c:pt>
                <c:pt idx="6">
                  <c:v>42435</c:v>
                </c:pt>
                <c:pt idx="7">
                  <c:v>42436</c:v>
                </c:pt>
                <c:pt idx="8">
                  <c:v>42437</c:v>
                </c:pt>
                <c:pt idx="9">
                  <c:v>42438</c:v>
                </c:pt>
                <c:pt idx="10">
                  <c:v>42439</c:v>
                </c:pt>
                <c:pt idx="11">
                  <c:v>42440</c:v>
                </c:pt>
                <c:pt idx="12">
                  <c:v>42441</c:v>
                </c:pt>
                <c:pt idx="13">
                  <c:v>42442</c:v>
                </c:pt>
                <c:pt idx="14">
                  <c:v>42443</c:v>
                </c:pt>
                <c:pt idx="15">
                  <c:v>42444</c:v>
                </c:pt>
                <c:pt idx="16">
                  <c:v>42445</c:v>
                </c:pt>
                <c:pt idx="17">
                  <c:v>42446</c:v>
                </c:pt>
                <c:pt idx="18">
                  <c:v>42447</c:v>
                </c:pt>
                <c:pt idx="19">
                  <c:v>42448</c:v>
                </c:pt>
                <c:pt idx="20">
                  <c:v>42449</c:v>
                </c:pt>
                <c:pt idx="21">
                  <c:v>42450</c:v>
                </c:pt>
                <c:pt idx="22">
                  <c:v>42451</c:v>
                </c:pt>
                <c:pt idx="23">
                  <c:v>42452</c:v>
                </c:pt>
                <c:pt idx="24">
                  <c:v>42453</c:v>
                </c:pt>
                <c:pt idx="25">
                  <c:v>42454</c:v>
                </c:pt>
                <c:pt idx="26">
                  <c:v>42455</c:v>
                </c:pt>
                <c:pt idx="27">
                  <c:v>42456</c:v>
                </c:pt>
                <c:pt idx="28">
                  <c:v>42457</c:v>
                </c:pt>
                <c:pt idx="29">
                  <c:v>42458</c:v>
                </c:pt>
                <c:pt idx="30">
                  <c:v>42459</c:v>
                </c:pt>
                <c:pt idx="31">
                  <c:v>42460</c:v>
                </c:pt>
                <c:pt idx="32">
                  <c:v>42461</c:v>
                </c:pt>
                <c:pt idx="33">
                  <c:v>42462</c:v>
                </c:pt>
                <c:pt idx="34">
                  <c:v>42463</c:v>
                </c:pt>
                <c:pt idx="35">
                  <c:v>42464</c:v>
                </c:pt>
                <c:pt idx="36">
                  <c:v>42465</c:v>
                </c:pt>
                <c:pt idx="37">
                  <c:v>42466</c:v>
                </c:pt>
                <c:pt idx="38">
                  <c:v>42467</c:v>
                </c:pt>
                <c:pt idx="39">
                  <c:v>42468</c:v>
                </c:pt>
                <c:pt idx="40">
                  <c:v>42469</c:v>
                </c:pt>
                <c:pt idx="41">
                  <c:v>42470</c:v>
                </c:pt>
                <c:pt idx="42">
                  <c:v>42471</c:v>
                </c:pt>
                <c:pt idx="43">
                  <c:v>42472</c:v>
                </c:pt>
                <c:pt idx="44">
                  <c:v>42473</c:v>
                </c:pt>
              </c:numCache>
            </c:numRef>
          </c:cat>
          <c:val>
            <c:numRef>
              <c:f>Operacional_15_dias!$E$24:$E$68</c:f>
              <c:numCache>
                <c:formatCode>0</c:formatCode>
                <c:ptCount val="45"/>
                <c:pt idx="0">
                  <c:v>1049.422528724215</c:v>
                </c:pt>
                <c:pt idx="1">
                  <c:v>862.97064693653431</c:v>
                </c:pt>
                <c:pt idx="2">
                  <c:v>781.87694485499287</c:v>
                </c:pt>
                <c:pt idx="3">
                  <c:v>2015.2835387628393</c:v>
                </c:pt>
                <c:pt idx="4">
                  <c:v>2316.447365852468</c:v>
                </c:pt>
                <c:pt idx="5">
                  <c:v>1949.1376615096544</c:v>
                </c:pt>
                <c:pt idx="6">
                  <c:v>1535.3191391419666</c:v>
                </c:pt>
                <c:pt idx="7">
                  <c:v>1225.7764075248226</c:v>
                </c:pt>
                <c:pt idx="8">
                  <c:v>1002.62722551921</c:v>
                </c:pt>
                <c:pt idx="9">
                  <c:v>1181.3037124829168</c:v>
                </c:pt>
                <c:pt idx="10">
                  <c:v>1710.1463410102242</c:v>
                </c:pt>
                <c:pt idx="11">
                  <c:v>2440.2438718612666</c:v>
                </c:pt>
                <c:pt idx="12">
                  <c:v>2112.1861731406452</c:v>
                </c:pt>
                <c:pt idx="13">
                  <c:v>1772.7470839815267</c:v>
                </c:pt>
                <c:pt idx="14">
                  <c:v>1415.7528971016848</c:v>
                </c:pt>
                <c:pt idx="15">
                  <c:v>1148.6104543408542</c:v>
                </c:pt>
                <c:pt idx="16">
                  <c:v>946.87640018726324</c:v>
                </c:pt>
                <c:pt idx="17">
                  <c:v>794.10919165361429</c:v>
                </c:pt>
                <c:pt idx="18">
                  <c:v>726.41791195110068</c:v>
                </c:pt>
                <c:pt idx="19">
                  <c:v>758.86321682710786</c:v>
                </c:pt>
                <c:pt idx="20">
                  <c:v>720.69132105233962</c:v>
                </c:pt>
                <c:pt idx="21">
                  <c:v>907.72537981185394</c:v>
                </c:pt>
                <c:pt idx="22">
                  <c:v>2080.3405279106382</c:v>
                </c:pt>
                <c:pt idx="23">
                  <c:v>2071.0357635072796</c:v>
                </c:pt>
                <c:pt idx="24">
                  <c:v>1645.3172901389632</c:v>
                </c:pt>
                <c:pt idx="25">
                  <c:v>1553.3510188338412</c:v>
                </c:pt>
                <c:pt idx="26">
                  <c:v>2283.0119370215161</c:v>
                </c:pt>
                <c:pt idx="27">
                  <c:v>2416.4325795814093</c:v>
                </c:pt>
                <c:pt idx="28">
                  <c:v>2090.196038220738</c:v>
                </c:pt>
                <c:pt idx="29">
                  <c:v>1670.4192927883753</c:v>
                </c:pt>
                <c:pt idx="30">
                  <c:v>1356.3325791958575</c:v>
                </c:pt>
                <c:pt idx="31">
                  <c:v>1119.5858389298428</c:v>
                </c:pt>
                <c:pt idx="32">
                  <c:v>940.29388265492844</c:v>
                </c:pt>
                <c:pt idx="33">
                  <c:v>804.23138541649678</c:v>
                </c:pt>
                <c:pt idx="34">
                  <c:v>857.64759320018152</c:v>
                </c:pt>
                <c:pt idx="35">
                  <c:v>1375.8435509219739</c:v>
                </c:pt>
                <c:pt idx="36">
                  <c:v>2449.9894700483337</c:v>
                </c:pt>
                <c:pt idx="37">
                  <c:v>2780.2104182988674</c:v>
                </c:pt>
                <c:pt idx="38">
                  <c:v>3969.2032686488378</c:v>
                </c:pt>
                <c:pt idx="39">
                  <c:v>5134.4447450760745</c:v>
                </c:pt>
                <c:pt idx="40">
                  <c:v>5288.6224137951003</c:v>
                </c:pt>
                <c:pt idx="41">
                  <c:v>4729.3549104522181</c:v>
                </c:pt>
                <c:pt idx="42">
                  <c:v>4939.2779699013099</c:v>
                </c:pt>
                <c:pt idx="43">
                  <c:v>5356.7462985579859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5-F3CA-4757-8469-081243EC05E2}"/>
            </c:ext>
          </c:extLst>
        </c:ser>
        <c:ser>
          <c:idx val="1"/>
          <c:order val="2"/>
          <c:tx>
            <c:v>Q calc</c:v>
          </c:tx>
          <c:spPr>
            <a:ln>
              <a:solidFill>
                <a:schemeClr val="accent2"/>
              </a:solidFill>
            </a:ln>
          </c:spPr>
          <c:marker>
            <c:symbol val="square"/>
            <c:size val="4"/>
            <c:spPr>
              <a:ln>
                <a:solidFill>
                  <a:schemeClr val="accent2"/>
                </a:solidFill>
              </a:ln>
            </c:spPr>
          </c:marker>
          <c:cat>
            <c:numRef>
              <c:f>Operacional_15_dias!$A$24:$A$68</c:f>
              <c:numCache>
                <c:formatCode>m/d/yyyy</c:formatCode>
                <c:ptCount val="45"/>
                <c:pt idx="0">
                  <c:v>42429</c:v>
                </c:pt>
                <c:pt idx="1">
                  <c:v>42430</c:v>
                </c:pt>
                <c:pt idx="2">
                  <c:v>42431</c:v>
                </c:pt>
                <c:pt idx="3">
                  <c:v>42432</c:v>
                </c:pt>
                <c:pt idx="4">
                  <c:v>42433</c:v>
                </c:pt>
                <c:pt idx="5">
                  <c:v>42434</c:v>
                </c:pt>
                <c:pt idx="6">
                  <c:v>42435</c:v>
                </c:pt>
                <c:pt idx="7">
                  <c:v>42436</c:v>
                </c:pt>
                <c:pt idx="8">
                  <c:v>42437</c:v>
                </c:pt>
                <c:pt idx="9">
                  <c:v>42438</c:v>
                </c:pt>
                <c:pt idx="10">
                  <c:v>42439</c:v>
                </c:pt>
                <c:pt idx="11">
                  <c:v>42440</c:v>
                </c:pt>
                <c:pt idx="12">
                  <c:v>42441</c:v>
                </c:pt>
                <c:pt idx="13">
                  <c:v>42442</c:v>
                </c:pt>
                <c:pt idx="14">
                  <c:v>42443</c:v>
                </c:pt>
                <c:pt idx="15">
                  <c:v>42444</c:v>
                </c:pt>
                <c:pt idx="16">
                  <c:v>42445</c:v>
                </c:pt>
                <c:pt idx="17">
                  <c:v>42446</c:v>
                </c:pt>
                <c:pt idx="18">
                  <c:v>42447</c:v>
                </c:pt>
                <c:pt idx="19">
                  <c:v>42448</c:v>
                </c:pt>
                <c:pt idx="20">
                  <c:v>42449</c:v>
                </c:pt>
                <c:pt idx="21">
                  <c:v>42450</c:v>
                </c:pt>
                <c:pt idx="22">
                  <c:v>42451</c:v>
                </c:pt>
                <c:pt idx="23">
                  <c:v>42452</c:v>
                </c:pt>
                <c:pt idx="24">
                  <c:v>42453</c:v>
                </c:pt>
                <c:pt idx="25">
                  <c:v>42454</c:v>
                </c:pt>
                <c:pt idx="26">
                  <c:v>42455</c:v>
                </c:pt>
                <c:pt idx="27">
                  <c:v>42456</c:v>
                </c:pt>
                <c:pt idx="28">
                  <c:v>42457</c:v>
                </c:pt>
                <c:pt idx="29">
                  <c:v>42458</c:v>
                </c:pt>
                <c:pt idx="30">
                  <c:v>42459</c:v>
                </c:pt>
                <c:pt idx="31">
                  <c:v>42460</c:v>
                </c:pt>
                <c:pt idx="32">
                  <c:v>42461</c:v>
                </c:pt>
                <c:pt idx="33">
                  <c:v>42462</c:v>
                </c:pt>
                <c:pt idx="34">
                  <c:v>42463</c:v>
                </c:pt>
                <c:pt idx="35">
                  <c:v>42464</c:v>
                </c:pt>
                <c:pt idx="36">
                  <c:v>42465</c:v>
                </c:pt>
                <c:pt idx="37">
                  <c:v>42466</c:v>
                </c:pt>
                <c:pt idx="38">
                  <c:v>42467</c:v>
                </c:pt>
                <c:pt idx="39">
                  <c:v>42468</c:v>
                </c:pt>
                <c:pt idx="40">
                  <c:v>42469</c:v>
                </c:pt>
                <c:pt idx="41">
                  <c:v>42470</c:v>
                </c:pt>
                <c:pt idx="42">
                  <c:v>42471</c:v>
                </c:pt>
                <c:pt idx="43">
                  <c:v>42472</c:v>
                </c:pt>
                <c:pt idx="44">
                  <c:v>42473</c:v>
                </c:pt>
              </c:numCache>
            </c:numRef>
          </c:cat>
          <c:val>
            <c:numRef>
              <c:f>Operacional_15_dias!$E$24:$E$53</c:f>
              <c:numCache>
                <c:formatCode>0</c:formatCode>
                <c:ptCount val="30"/>
                <c:pt idx="0">
                  <c:v>1049.422528724215</c:v>
                </c:pt>
                <c:pt idx="1">
                  <c:v>862.97064693653431</c:v>
                </c:pt>
                <c:pt idx="2">
                  <c:v>781.87694485499287</c:v>
                </c:pt>
                <c:pt idx="3">
                  <c:v>2015.2835387628393</c:v>
                </c:pt>
                <c:pt idx="4">
                  <c:v>2316.447365852468</c:v>
                </c:pt>
                <c:pt idx="5">
                  <c:v>1949.1376615096544</c:v>
                </c:pt>
                <c:pt idx="6">
                  <c:v>1535.3191391419666</c:v>
                </c:pt>
                <c:pt idx="7">
                  <c:v>1225.7764075248226</c:v>
                </c:pt>
                <c:pt idx="8">
                  <c:v>1002.62722551921</c:v>
                </c:pt>
                <c:pt idx="9">
                  <c:v>1181.3037124829168</c:v>
                </c:pt>
                <c:pt idx="10">
                  <c:v>1710.1463410102242</c:v>
                </c:pt>
                <c:pt idx="11">
                  <c:v>2440.2438718612666</c:v>
                </c:pt>
                <c:pt idx="12">
                  <c:v>2112.1861731406452</c:v>
                </c:pt>
                <c:pt idx="13">
                  <c:v>1772.7470839815267</c:v>
                </c:pt>
                <c:pt idx="14">
                  <c:v>1415.7528971016848</c:v>
                </c:pt>
                <c:pt idx="15">
                  <c:v>1148.6104543408542</c:v>
                </c:pt>
                <c:pt idx="16">
                  <c:v>946.87640018726324</c:v>
                </c:pt>
                <c:pt idx="17">
                  <c:v>794.10919165361429</c:v>
                </c:pt>
                <c:pt idx="18">
                  <c:v>726.41791195110068</c:v>
                </c:pt>
                <c:pt idx="19">
                  <c:v>758.86321682710786</c:v>
                </c:pt>
                <c:pt idx="20">
                  <c:v>720.69132105233962</c:v>
                </c:pt>
                <c:pt idx="21">
                  <c:v>907.72537981185394</c:v>
                </c:pt>
                <c:pt idx="22">
                  <c:v>2080.3405279106382</c:v>
                </c:pt>
                <c:pt idx="23">
                  <c:v>2071.0357635072796</c:v>
                </c:pt>
                <c:pt idx="24">
                  <c:v>1645.3172901389632</c:v>
                </c:pt>
                <c:pt idx="25">
                  <c:v>1553.3510188338412</c:v>
                </c:pt>
                <c:pt idx="26">
                  <c:v>2283.0119370215161</c:v>
                </c:pt>
                <c:pt idx="27">
                  <c:v>2416.4325795814093</c:v>
                </c:pt>
                <c:pt idx="28">
                  <c:v>2090.196038220738</c:v>
                </c:pt>
                <c:pt idx="29">
                  <c:v>1670.4192927883753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6-F3CA-4757-8469-081243EC05E2}"/>
            </c:ext>
          </c:extLst>
        </c:ser>
        <c:ser>
          <c:idx val="2"/>
          <c:order val="3"/>
          <c:tx>
            <c:v>Escoamento base</c:v>
          </c:tx>
          <c:spPr>
            <a:ln>
              <a:solidFill>
                <a:schemeClr val="accent3"/>
              </a:solidFill>
            </a:ln>
          </c:spPr>
          <c:marker>
            <c:symbol val="square"/>
            <c:size val="4"/>
            <c:spPr>
              <a:ln>
                <a:solidFill>
                  <a:schemeClr val="accent3"/>
                </a:solidFill>
              </a:ln>
            </c:spPr>
          </c:marker>
          <c:cat>
            <c:numRef>
              <c:f>Operacional_15_dias!$A$24:$A$68</c:f>
              <c:numCache>
                <c:formatCode>m/d/yyyy</c:formatCode>
                <c:ptCount val="45"/>
                <c:pt idx="0">
                  <c:v>42429</c:v>
                </c:pt>
                <c:pt idx="1">
                  <c:v>42430</c:v>
                </c:pt>
                <c:pt idx="2">
                  <c:v>42431</c:v>
                </c:pt>
                <c:pt idx="3">
                  <c:v>42432</c:v>
                </c:pt>
                <c:pt idx="4">
                  <c:v>42433</c:v>
                </c:pt>
                <c:pt idx="5">
                  <c:v>42434</c:v>
                </c:pt>
                <c:pt idx="6">
                  <c:v>42435</c:v>
                </c:pt>
                <c:pt idx="7">
                  <c:v>42436</c:v>
                </c:pt>
                <c:pt idx="8">
                  <c:v>42437</c:v>
                </c:pt>
                <c:pt idx="9">
                  <c:v>42438</c:v>
                </c:pt>
                <c:pt idx="10">
                  <c:v>42439</c:v>
                </c:pt>
                <c:pt idx="11">
                  <c:v>42440</c:v>
                </c:pt>
                <c:pt idx="12">
                  <c:v>42441</c:v>
                </c:pt>
                <c:pt idx="13">
                  <c:v>42442</c:v>
                </c:pt>
                <c:pt idx="14">
                  <c:v>42443</c:v>
                </c:pt>
                <c:pt idx="15">
                  <c:v>42444</c:v>
                </c:pt>
                <c:pt idx="16">
                  <c:v>42445</c:v>
                </c:pt>
                <c:pt idx="17">
                  <c:v>42446</c:v>
                </c:pt>
                <c:pt idx="18">
                  <c:v>42447</c:v>
                </c:pt>
                <c:pt idx="19">
                  <c:v>42448</c:v>
                </c:pt>
                <c:pt idx="20">
                  <c:v>42449</c:v>
                </c:pt>
                <c:pt idx="21">
                  <c:v>42450</c:v>
                </c:pt>
                <c:pt idx="22">
                  <c:v>42451</c:v>
                </c:pt>
                <c:pt idx="23">
                  <c:v>42452</c:v>
                </c:pt>
                <c:pt idx="24">
                  <c:v>42453</c:v>
                </c:pt>
                <c:pt idx="25">
                  <c:v>42454</c:v>
                </c:pt>
                <c:pt idx="26">
                  <c:v>42455</c:v>
                </c:pt>
                <c:pt idx="27">
                  <c:v>42456</c:v>
                </c:pt>
                <c:pt idx="28">
                  <c:v>42457</c:v>
                </c:pt>
                <c:pt idx="29">
                  <c:v>42458</c:v>
                </c:pt>
                <c:pt idx="30">
                  <c:v>42459</c:v>
                </c:pt>
                <c:pt idx="31">
                  <c:v>42460</c:v>
                </c:pt>
                <c:pt idx="32">
                  <c:v>42461</c:v>
                </c:pt>
                <c:pt idx="33">
                  <c:v>42462</c:v>
                </c:pt>
                <c:pt idx="34">
                  <c:v>42463</c:v>
                </c:pt>
                <c:pt idx="35">
                  <c:v>42464</c:v>
                </c:pt>
                <c:pt idx="36">
                  <c:v>42465</c:v>
                </c:pt>
                <c:pt idx="37">
                  <c:v>42466</c:v>
                </c:pt>
                <c:pt idx="38">
                  <c:v>42467</c:v>
                </c:pt>
                <c:pt idx="39">
                  <c:v>42468</c:v>
                </c:pt>
                <c:pt idx="40">
                  <c:v>42469</c:v>
                </c:pt>
                <c:pt idx="41">
                  <c:v>42470</c:v>
                </c:pt>
                <c:pt idx="42">
                  <c:v>42471</c:v>
                </c:pt>
                <c:pt idx="43">
                  <c:v>42472</c:v>
                </c:pt>
                <c:pt idx="44">
                  <c:v>42473</c:v>
                </c:pt>
              </c:numCache>
            </c:numRef>
          </c:cat>
          <c:val>
            <c:numRef>
              <c:f>Operacional_15_dias!$F$24:$F$68</c:f>
              <c:numCache>
                <c:formatCode>0.00</c:formatCode>
                <c:ptCount val="45"/>
                <c:pt idx="0">
                  <c:v>249.8449596097982</c:v>
                </c:pt>
                <c:pt idx="1">
                  <c:v>250.00754634773659</c:v>
                </c:pt>
                <c:pt idx="2">
                  <c:v>249.21185308259496</c:v>
                </c:pt>
                <c:pt idx="3">
                  <c:v>248.143835730674</c:v>
                </c:pt>
                <c:pt idx="4">
                  <c:v>247.52851275148947</c:v>
                </c:pt>
                <c:pt idx="5">
                  <c:v>251.76213945349801</c:v>
                </c:pt>
                <c:pt idx="6">
                  <c:v>258.79078079509446</c:v>
                </c:pt>
                <c:pt idx="7">
                  <c:v>265.75039767062344</c:v>
                </c:pt>
                <c:pt idx="8">
                  <c:v>270.8291002228458</c:v>
                </c:pt>
                <c:pt idx="9">
                  <c:v>273.75061278692425</c:v>
                </c:pt>
                <c:pt idx="10">
                  <c:v>275.87593399071278</c:v>
                </c:pt>
                <c:pt idx="11">
                  <c:v>279.834878425569</c:v>
                </c:pt>
                <c:pt idx="12">
                  <c:v>286.59828962859422</c:v>
                </c:pt>
                <c:pt idx="13">
                  <c:v>296.10649094486013</c:v>
                </c:pt>
                <c:pt idx="14">
                  <c:v>305.23046549854746</c:v>
                </c:pt>
                <c:pt idx="15">
                  <c:v>313.43087380556437</c:v>
                </c:pt>
                <c:pt idx="16">
                  <c:v>318.77118421592644</c:v>
                </c:pt>
                <c:pt idx="17">
                  <c:v>321.73633732982518</c:v>
                </c:pt>
                <c:pt idx="18">
                  <c:v>322.72809361252524</c:v>
                </c:pt>
                <c:pt idx="19">
                  <c:v>322.16022813526422</c:v>
                </c:pt>
                <c:pt idx="20">
                  <c:v>321.57019299747486</c:v>
                </c:pt>
                <c:pt idx="21">
                  <c:v>321.82918876354728</c:v>
                </c:pt>
                <c:pt idx="22">
                  <c:v>322.32107607714011</c:v>
                </c:pt>
                <c:pt idx="23">
                  <c:v>324.4469187804396</c:v>
                </c:pt>
                <c:pt idx="24">
                  <c:v>330.8304488518869</c:v>
                </c:pt>
                <c:pt idx="25">
                  <c:v>338.36449651818793</c:v>
                </c:pt>
                <c:pt idx="26">
                  <c:v>343.93605125661549</c:v>
                </c:pt>
                <c:pt idx="27">
                  <c:v>349.99296704631161</c:v>
                </c:pt>
                <c:pt idx="28">
                  <c:v>358.64357013483868</c:v>
                </c:pt>
                <c:pt idx="29">
                  <c:v>368.18781792913114</c:v>
                </c:pt>
                <c:pt idx="30">
                  <c:v>376.9762816713199</c:v>
                </c:pt>
                <c:pt idx="31">
                  <c:v>383.0510707123546</c:v>
                </c:pt>
                <c:pt idx="32">
                  <c:v>386.37549139692271</c:v>
                </c:pt>
                <c:pt idx="33">
                  <c:v>387.65147987257257</c:v>
                </c:pt>
                <c:pt idx="34">
                  <c:v>387.8428036326647</c:v>
                </c:pt>
                <c:pt idx="35">
                  <c:v>387.22947022266737</c:v>
                </c:pt>
                <c:pt idx="36">
                  <c:v>388.09525699250162</c:v>
                </c:pt>
                <c:pt idx="37">
                  <c:v>392.38511617285059</c:v>
                </c:pt>
                <c:pt idx="38">
                  <c:v>400.86833249624107</c:v>
                </c:pt>
                <c:pt idx="39">
                  <c:v>411.32465500058402</c:v>
                </c:pt>
                <c:pt idx="40">
                  <c:v>423.77114462918092</c:v>
                </c:pt>
                <c:pt idx="41">
                  <c:v>437.01215931603156</c:v>
                </c:pt>
                <c:pt idx="42">
                  <c:v>450.11369578118382</c:v>
                </c:pt>
                <c:pt idx="43">
                  <c:v>462.60272779245832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7-F3CA-4757-8469-081243EC05E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63605024"/>
        <c:axId val="663605568"/>
      </c:lineChart>
      <c:dateAx>
        <c:axId val="663605024"/>
        <c:scaling>
          <c:orientation val="minMax"/>
        </c:scaling>
        <c:delete val="0"/>
        <c:axPos val="b"/>
        <c:numFmt formatCode="m/d/yyyy" sourceLinked="0"/>
        <c:majorTickMark val="out"/>
        <c:minorTickMark val="none"/>
        <c:tickLblPos val="nextTo"/>
        <c:txPr>
          <a:bodyPr rot="0" vert="horz"/>
          <a:lstStyle/>
          <a:p>
            <a:pPr>
              <a:defRPr/>
            </a:pPr>
            <a:endParaRPr lang="pt-BR"/>
          </a:p>
        </c:txPr>
        <c:crossAx val="663605568"/>
        <c:crosses val="autoZero"/>
        <c:auto val="0"/>
        <c:lblOffset val="100"/>
        <c:baseTimeUnit val="days"/>
        <c:minorUnit val="1"/>
      </c:dateAx>
      <c:valAx>
        <c:axId val="663605568"/>
        <c:scaling>
          <c:orientation val="minMax"/>
          <c:min val="0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pt-BR"/>
                  <a:t>Vazões (m³/s)</a:t>
                </a:r>
              </a:p>
            </c:rich>
          </c:tx>
          <c:layout>
            <c:manualLayout>
              <c:xMode val="edge"/>
              <c:yMode val="edge"/>
              <c:x val="5.3936113587626873E-5"/>
              <c:y val="0.3198800936316068"/>
            </c:manualLayout>
          </c:layout>
          <c:overlay val="0"/>
        </c:title>
        <c:numFmt formatCode="0" sourceLinked="0"/>
        <c:majorTickMark val="out"/>
        <c:minorTickMark val="none"/>
        <c:tickLblPos val="nextTo"/>
        <c:txPr>
          <a:bodyPr rot="0" vert="horz"/>
          <a:lstStyle/>
          <a:p>
            <a:pPr>
              <a:defRPr/>
            </a:pPr>
            <a:endParaRPr lang="pt-BR"/>
          </a:p>
        </c:txPr>
        <c:crossAx val="663605024"/>
        <c:crosses val="autoZero"/>
        <c:crossBetween val="between"/>
      </c:valAx>
      <c:valAx>
        <c:axId val="663618080"/>
        <c:scaling>
          <c:orientation val="maxMin"/>
          <c:max val="150"/>
          <c:min val="0"/>
        </c:scaling>
        <c:delete val="0"/>
        <c:axPos val="r"/>
        <c:title>
          <c:tx>
            <c:rich>
              <a:bodyPr/>
              <a:lstStyle/>
              <a:p>
                <a:pPr>
                  <a:defRPr/>
                </a:pPr>
                <a:r>
                  <a:rPr lang="pt-BR"/>
                  <a:t>Precipitação (mm)</a:t>
                </a:r>
              </a:p>
            </c:rich>
          </c:tx>
          <c:layout>
            <c:manualLayout>
              <c:xMode val="edge"/>
              <c:yMode val="edge"/>
              <c:x val="0.96814726840855103"/>
              <c:y val="0.26795561850802646"/>
            </c:manualLayout>
          </c:layout>
          <c:overlay val="0"/>
        </c:title>
        <c:numFmt formatCode="0" sourceLinked="0"/>
        <c:majorTickMark val="out"/>
        <c:minorTickMark val="none"/>
        <c:tickLblPos val="nextTo"/>
        <c:crossAx val="663604480"/>
        <c:crosses val="max"/>
        <c:crossBetween val="between"/>
        <c:majorUnit val="10"/>
      </c:valAx>
      <c:catAx>
        <c:axId val="663604480"/>
        <c:scaling>
          <c:orientation val="minMax"/>
        </c:scaling>
        <c:delete val="1"/>
        <c:axPos val="t"/>
        <c:numFmt formatCode="mmm\-yy" sourceLinked="1"/>
        <c:majorTickMark val="out"/>
        <c:minorTickMark val="none"/>
        <c:tickLblPos val="nextTo"/>
        <c:crossAx val="663618080"/>
        <c:crosses val="autoZero"/>
        <c:auto val="0"/>
        <c:lblAlgn val="ctr"/>
        <c:lblOffset val="100"/>
        <c:noMultiLvlLbl val="1"/>
      </c:catAx>
    </c:plotArea>
    <c:legend>
      <c:legendPos val="r"/>
      <c:layout>
        <c:manualLayout>
          <c:xMode val="edge"/>
          <c:yMode val="edge"/>
          <c:x val="0"/>
          <c:y val="0.91977730563424609"/>
          <c:w val="0.98971577128808264"/>
          <c:h val="8.0222605864106553E-2"/>
        </c:manualLayout>
      </c:layout>
      <c:overlay val="0"/>
    </c:legend>
    <c:plotVisOnly val="1"/>
    <c:dispBlanksAs val="gap"/>
    <c:showDLblsOverMax val="0"/>
  </c:chart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0291270783847981"/>
          <c:y val="1.5777554121524279E-2"/>
          <c:w val="0.81509369226708894"/>
          <c:h val="0.77590966320428068"/>
        </c:manualLayout>
      </c:layout>
      <c:barChart>
        <c:barDir val="col"/>
        <c:grouping val="clustered"/>
        <c:varyColors val="0"/>
        <c:ser>
          <c:idx val="5"/>
          <c:order val="4"/>
          <c:tx>
            <c:v>Chuva prev</c:v>
          </c:tx>
          <c:spPr>
            <a:solidFill>
              <a:schemeClr val="accent4"/>
            </a:solidFill>
            <a:ln>
              <a:solidFill>
                <a:srgbClr val="7030A0"/>
              </a:solidFill>
            </a:ln>
          </c:spPr>
          <c:invertIfNegative val="0"/>
          <c:dPt>
            <c:idx val="39"/>
            <c:invertIfNegative val="0"/>
            <c:bubble3D val="0"/>
            <c:spPr>
              <a:solidFill>
                <a:schemeClr val="accent4"/>
              </a:solidFill>
              <a:ln>
                <a:noFill/>
              </a:ln>
            </c:spPr>
            <c:extLst>
              <c:ext xmlns:c16="http://schemas.microsoft.com/office/drawing/2014/chart" uri="{C3380CC4-5D6E-409C-BE32-E72D297353CC}">
                <c16:uniqueId val="{00000001-7962-472F-AA71-0D0B241EB14C}"/>
              </c:ext>
            </c:extLst>
          </c:dPt>
          <c:val>
            <c:numRef>
              <c:f>Operacional_9_meses!$BK$24:$BK$325</c:f>
              <c:numCache>
                <c:formatCode>General</c:formatCode>
                <c:ptCount val="302"/>
                <c:pt idx="30" formatCode="0.00">
                  <c:v>0.11</c:v>
                </c:pt>
                <c:pt idx="31" formatCode="0.00">
                  <c:v>1.03</c:v>
                </c:pt>
                <c:pt idx="32" formatCode="0.00">
                  <c:v>1.37</c:v>
                </c:pt>
                <c:pt idx="33" formatCode="0.00">
                  <c:v>1.26</c:v>
                </c:pt>
                <c:pt idx="34" formatCode="0.00">
                  <c:v>13.26</c:v>
                </c:pt>
                <c:pt idx="35" formatCode="0.00">
                  <c:v>18.54</c:v>
                </c:pt>
                <c:pt idx="36" formatCode="0.00">
                  <c:v>15.07</c:v>
                </c:pt>
                <c:pt idx="37" formatCode="0.00">
                  <c:v>1.98</c:v>
                </c:pt>
                <c:pt idx="38" formatCode="0.00">
                  <c:v>2.5</c:v>
                </c:pt>
                <c:pt idx="39" formatCode="0.00">
                  <c:v>7.4</c:v>
                </c:pt>
                <c:pt idx="40" formatCode="0.00">
                  <c:v>10.83</c:v>
                </c:pt>
                <c:pt idx="41" formatCode="0.00">
                  <c:v>0.22</c:v>
                </c:pt>
                <c:pt idx="42" formatCode="0.00">
                  <c:v>4.17</c:v>
                </c:pt>
                <c:pt idx="43" formatCode="0.00">
                  <c:v>18.170000000000002</c:v>
                </c:pt>
                <c:pt idx="44" formatCode="0.00">
                  <c:v>0.97</c:v>
                </c:pt>
                <c:pt idx="45" formatCode="0.00">
                  <c:v>0.12</c:v>
                </c:pt>
                <c:pt idx="46" formatCode="0.00">
                  <c:v>0.14000000000000001</c:v>
                </c:pt>
                <c:pt idx="47" formatCode="0.00">
                  <c:v>0.22</c:v>
                </c:pt>
                <c:pt idx="48" formatCode="0.00">
                  <c:v>2.54</c:v>
                </c:pt>
                <c:pt idx="49" formatCode="0.00">
                  <c:v>13.51</c:v>
                </c:pt>
                <c:pt idx="50" formatCode="0.00">
                  <c:v>38.770000000000003</c:v>
                </c:pt>
                <c:pt idx="51" formatCode="0.00">
                  <c:v>26.48</c:v>
                </c:pt>
                <c:pt idx="52" formatCode="0.00">
                  <c:v>7.0000000000000007E-2</c:v>
                </c:pt>
                <c:pt idx="53" formatCode="0.00">
                  <c:v>0.04</c:v>
                </c:pt>
                <c:pt idx="54" formatCode="0.00">
                  <c:v>0.06</c:v>
                </c:pt>
                <c:pt idx="55" formatCode="0.00">
                  <c:v>0.12</c:v>
                </c:pt>
                <c:pt idx="56" formatCode="0.00">
                  <c:v>0.01</c:v>
                </c:pt>
                <c:pt idx="57" formatCode="0.00">
                  <c:v>0.13</c:v>
                </c:pt>
                <c:pt idx="58" formatCode="0.00">
                  <c:v>0.02</c:v>
                </c:pt>
                <c:pt idx="59" formatCode="0.00">
                  <c:v>0.03</c:v>
                </c:pt>
                <c:pt idx="60" formatCode="0.00">
                  <c:v>2.02</c:v>
                </c:pt>
                <c:pt idx="61" formatCode="0.00">
                  <c:v>18.02</c:v>
                </c:pt>
                <c:pt idx="62" formatCode="0.00">
                  <c:v>9.49</c:v>
                </c:pt>
                <c:pt idx="63" formatCode="0.00">
                  <c:v>6.3</c:v>
                </c:pt>
                <c:pt idx="64" formatCode="0.00">
                  <c:v>0.12</c:v>
                </c:pt>
                <c:pt idx="65" formatCode="0.00">
                  <c:v>0</c:v>
                </c:pt>
                <c:pt idx="66" formatCode="0.00">
                  <c:v>3.83</c:v>
                </c:pt>
                <c:pt idx="67" formatCode="0.00">
                  <c:v>7.34</c:v>
                </c:pt>
                <c:pt idx="68" formatCode="0.00">
                  <c:v>2.06</c:v>
                </c:pt>
                <c:pt idx="69" formatCode="0.00">
                  <c:v>0.05</c:v>
                </c:pt>
                <c:pt idx="70" formatCode="0.00">
                  <c:v>0</c:v>
                </c:pt>
                <c:pt idx="71" formatCode="0.00">
                  <c:v>31.14</c:v>
                </c:pt>
                <c:pt idx="72" formatCode="0.00">
                  <c:v>27.21</c:v>
                </c:pt>
                <c:pt idx="73" formatCode="0.00">
                  <c:v>36.869999999999997</c:v>
                </c:pt>
                <c:pt idx="74" formatCode="0.00">
                  <c:v>13.83</c:v>
                </c:pt>
                <c:pt idx="75" formatCode="0.00">
                  <c:v>0.98</c:v>
                </c:pt>
                <c:pt idx="76" formatCode="0.00">
                  <c:v>3.93</c:v>
                </c:pt>
                <c:pt idx="77" formatCode="0.00">
                  <c:v>2.82</c:v>
                </c:pt>
                <c:pt idx="78" formatCode="0.00">
                  <c:v>0.73</c:v>
                </c:pt>
                <c:pt idx="79" formatCode="0.00">
                  <c:v>0.14000000000000001</c:v>
                </c:pt>
                <c:pt idx="80" formatCode="0.00">
                  <c:v>0.04</c:v>
                </c:pt>
                <c:pt idx="81" formatCode="0.00">
                  <c:v>0.03</c:v>
                </c:pt>
                <c:pt idx="82" formatCode="0.00">
                  <c:v>0.11</c:v>
                </c:pt>
                <c:pt idx="83" formatCode="0.00">
                  <c:v>13.36</c:v>
                </c:pt>
                <c:pt idx="84" formatCode="0.00">
                  <c:v>14.34</c:v>
                </c:pt>
                <c:pt idx="85" formatCode="0.00">
                  <c:v>8.98</c:v>
                </c:pt>
                <c:pt idx="86" formatCode="0.00">
                  <c:v>5.73</c:v>
                </c:pt>
                <c:pt idx="87" formatCode="0.00">
                  <c:v>5.48</c:v>
                </c:pt>
                <c:pt idx="88" formatCode="0.00">
                  <c:v>0.96</c:v>
                </c:pt>
                <c:pt idx="89" formatCode="0.00">
                  <c:v>10.92</c:v>
                </c:pt>
                <c:pt idx="90" formatCode="0.00">
                  <c:v>7.64</c:v>
                </c:pt>
                <c:pt idx="91" formatCode="0.00">
                  <c:v>0.81</c:v>
                </c:pt>
                <c:pt idx="92" formatCode="0.00">
                  <c:v>15.36</c:v>
                </c:pt>
                <c:pt idx="93" formatCode="0.00">
                  <c:v>13.43</c:v>
                </c:pt>
                <c:pt idx="94" formatCode="0.00">
                  <c:v>8.4600000000000009</c:v>
                </c:pt>
                <c:pt idx="95" formatCode="0.00">
                  <c:v>6.44</c:v>
                </c:pt>
                <c:pt idx="96" formatCode="0.00">
                  <c:v>25.8</c:v>
                </c:pt>
                <c:pt idx="97" formatCode="0.00">
                  <c:v>7.22</c:v>
                </c:pt>
                <c:pt idx="98" formatCode="0.00">
                  <c:v>12.72</c:v>
                </c:pt>
                <c:pt idx="99" formatCode="0.00">
                  <c:v>0.23</c:v>
                </c:pt>
                <c:pt idx="100" formatCode="0.00">
                  <c:v>7.0000000000000007E-2</c:v>
                </c:pt>
                <c:pt idx="101" formatCode="0.00">
                  <c:v>0.09</c:v>
                </c:pt>
                <c:pt idx="102" formatCode="0.00">
                  <c:v>0.02</c:v>
                </c:pt>
                <c:pt idx="103" formatCode="0.00">
                  <c:v>0.22</c:v>
                </c:pt>
                <c:pt idx="104" formatCode="0.00">
                  <c:v>0.12</c:v>
                </c:pt>
                <c:pt idx="105" formatCode="0.00">
                  <c:v>0.28000000000000003</c:v>
                </c:pt>
                <c:pt idx="106" formatCode="0.00">
                  <c:v>1.3</c:v>
                </c:pt>
                <c:pt idx="107" formatCode="0.00">
                  <c:v>5.31</c:v>
                </c:pt>
                <c:pt idx="108" formatCode="0.00">
                  <c:v>3.14</c:v>
                </c:pt>
                <c:pt idx="109" formatCode="0.00">
                  <c:v>0.33</c:v>
                </c:pt>
                <c:pt idx="110" formatCode="0.00">
                  <c:v>8.58</c:v>
                </c:pt>
                <c:pt idx="111" formatCode="0.00">
                  <c:v>2.36</c:v>
                </c:pt>
                <c:pt idx="112" formatCode="0.00">
                  <c:v>15.19</c:v>
                </c:pt>
                <c:pt idx="113" formatCode="0.00">
                  <c:v>7.4</c:v>
                </c:pt>
                <c:pt idx="114" formatCode="0.00">
                  <c:v>1.95</c:v>
                </c:pt>
                <c:pt idx="115" formatCode="0.00">
                  <c:v>0.15</c:v>
                </c:pt>
                <c:pt idx="116" formatCode="0.00">
                  <c:v>0.08</c:v>
                </c:pt>
                <c:pt idx="117" formatCode="0.00">
                  <c:v>3.77</c:v>
                </c:pt>
                <c:pt idx="118" formatCode="0.00">
                  <c:v>4.37</c:v>
                </c:pt>
                <c:pt idx="119" formatCode="0.00">
                  <c:v>0</c:v>
                </c:pt>
                <c:pt idx="120" formatCode="0.00">
                  <c:v>0</c:v>
                </c:pt>
                <c:pt idx="121" formatCode="0.00">
                  <c:v>0</c:v>
                </c:pt>
                <c:pt idx="122" formatCode="0.00">
                  <c:v>0</c:v>
                </c:pt>
                <c:pt idx="123" formatCode="0.00">
                  <c:v>0</c:v>
                </c:pt>
                <c:pt idx="124" formatCode="0.00">
                  <c:v>0</c:v>
                </c:pt>
                <c:pt idx="125" formatCode="0.00">
                  <c:v>0</c:v>
                </c:pt>
                <c:pt idx="126" formatCode="0.00">
                  <c:v>0</c:v>
                </c:pt>
                <c:pt idx="127" formatCode="0.00">
                  <c:v>0</c:v>
                </c:pt>
                <c:pt idx="128" formatCode="0.00">
                  <c:v>0</c:v>
                </c:pt>
                <c:pt idx="129" formatCode="0.00">
                  <c:v>0</c:v>
                </c:pt>
                <c:pt idx="130" formatCode="0.00">
                  <c:v>0</c:v>
                </c:pt>
                <c:pt idx="131" formatCode="0.00">
                  <c:v>0</c:v>
                </c:pt>
                <c:pt idx="132" formatCode="0.00">
                  <c:v>0</c:v>
                </c:pt>
                <c:pt idx="133" formatCode="0.00">
                  <c:v>0</c:v>
                </c:pt>
                <c:pt idx="134" formatCode="0.00">
                  <c:v>0</c:v>
                </c:pt>
                <c:pt idx="135" formatCode="0.00">
                  <c:v>0</c:v>
                </c:pt>
                <c:pt idx="136" formatCode="0.00">
                  <c:v>0</c:v>
                </c:pt>
                <c:pt idx="137" formatCode="0.00">
                  <c:v>0</c:v>
                </c:pt>
                <c:pt idx="138" formatCode="0.00">
                  <c:v>0</c:v>
                </c:pt>
                <c:pt idx="139" formatCode="0.00">
                  <c:v>0</c:v>
                </c:pt>
                <c:pt idx="140" formatCode="0.00">
                  <c:v>0</c:v>
                </c:pt>
                <c:pt idx="141" formatCode="0.00">
                  <c:v>0</c:v>
                </c:pt>
                <c:pt idx="142" formatCode="0.00">
                  <c:v>0</c:v>
                </c:pt>
                <c:pt idx="143" formatCode="0.00">
                  <c:v>0</c:v>
                </c:pt>
                <c:pt idx="144" formatCode="0.00">
                  <c:v>0</c:v>
                </c:pt>
                <c:pt idx="145" formatCode="0.00">
                  <c:v>0</c:v>
                </c:pt>
                <c:pt idx="146" formatCode="0.00">
                  <c:v>0</c:v>
                </c:pt>
                <c:pt idx="147" formatCode="0.00">
                  <c:v>0</c:v>
                </c:pt>
                <c:pt idx="148" formatCode="0.00">
                  <c:v>0</c:v>
                </c:pt>
                <c:pt idx="149" formatCode="0.00">
                  <c:v>0</c:v>
                </c:pt>
                <c:pt idx="150" formatCode="0.00">
                  <c:v>0</c:v>
                </c:pt>
                <c:pt idx="151" formatCode="0.00">
                  <c:v>0</c:v>
                </c:pt>
                <c:pt idx="152" formatCode="0.00">
                  <c:v>0</c:v>
                </c:pt>
                <c:pt idx="153" formatCode="0.00">
                  <c:v>0</c:v>
                </c:pt>
                <c:pt idx="154" formatCode="0.00">
                  <c:v>0</c:v>
                </c:pt>
                <c:pt idx="155" formatCode="0.00">
                  <c:v>0</c:v>
                </c:pt>
                <c:pt idx="156" formatCode="0.00">
                  <c:v>0</c:v>
                </c:pt>
                <c:pt idx="157" formatCode="0.00">
                  <c:v>0</c:v>
                </c:pt>
                <c:pt idx="158" formatCode="0.00">
                  <c:v>0</c:v>
                </c:pt>
                <c:pt idx="159" formatCode="0.00">
                  <c:v>0</c:v>
                </c:pt>
                <c:pt idx="160" formatCode="0.00">
                  <c:v>0</c:v>
                </c:pt>
                <c:pt idx="161" formatCode="0.00">
                  <c:v>0</c:v>
                </c:pt>
                <c:pt idx="162" formatCode="0.00">
                  <c:v>0</c:v>
                </c:pt>
                <c:pt idx="163" formatCode="0.00">
                  <c:v>0</c:v>
                </c:pt>
                <c:pt idx="164" formatCode="0.00">
                  <c:v>0</c:v>
                </c:pt>
                <c:pt idx="165" formatCode="0.00">
                  <c:v>0</c:v>
                </c:pt>
                <c:pt idx="166" formatCode="0.00">
                  <c:v>0</c:v>
                </c:pt>
                <c:pt idx="167" formatCode="0.00">
                  <c:v>0</c:v>
                </c:pt>
                <c:pt idx="168" formatCode="0.00">
                  <c:v>0</c:v>
                </c:pt>
                <c:pt idx="169" formatCode="0.00">
                  <c:v>0</c:v>
                </c:pt>
                <c:pt idx="170" formatCode="0.00">
                  <c:v>0</c:v>
                </c:pt>
                <c:pt idx="171" formatCode="0.00">
                  <c:v>0</c:v>
                </c:pt>
                <c:pt idx="172" formatCode="0.00">
                  <c:v>0</c:v>
                </c:pt>
                <c:pt idx="173" formatCode="0.00">
                  <c:v>0</c:v>
                </c:pt>
                <c:pt idx="174" formatCode="0.00">
                  <c:v>0</c:v>
                </c:pt>
                <c:pt idx="175" formatCode="0.00">
                  <c:v>0</c:v>
                </c:pt>
                <c:pt idx="176" formatCode="0.00">
                  <c:v>0</c:v>
                </c:pt>
                <c:pt idx="177" formatCode="0.00">
                  <c:v>0</c:v>
                </c:pt>
                <c:pt idx="178" formatCode="0.00">
                  <c:v>0</c:v>
                </c:pt>
                <c:pt idx="179" formatCode="0.00">
                  <c:v>0</c:v>
                </c:pt>
                <c:pt idx="180" formatCode="0.00">
                  <c:v>0</c:v>
                </c:pt>
                <c:pt idx="181" formatCode="0.00">
                  <c:v>0</c:v>
                </c:pt>
                <c:pt idx="182" formatCode="0.00">
                  <c:v>0</c:v>
                </c:pt>
                <c:pt idx="183" formatCode="0.00">
                  <c:v>0</c:v>
                </c:pt>
                <c:pt idx="184" formatCode="0.00">
                  <c:v>0</c:v>
                </c:pt>
                <c:pt idx="185" formatCode="0.00">
                  <c:v>0</c:v>
                </c:pt>
                <c:pt idx="186" formatCode="0.00">
                  <c:v>0</c:v>
                </c:pt>
                <c:pt idx="187" formatCode="0.00">
                  <c:v>0</c:v>
                </c:pt>
                <c:pt idx="188" formatCode="0.00">
                  <c:v>0</c:v>
                </c:pt>
                <c:pt idx="189" formatCode="0.00">
                  <c:v>0</c:v>
                </c:pt>
                <c:pt idx="190" formatCode="0.00">
                  <c:v>0</c:v>
                </c:pt>
                <c:pt idx="191" formatCode="0.00">
                  <c:v>0</c:v>
                </c:pt>
                <c:pt idx="192" formatCode="0.00">
                  <c:v>0</c:v>
                </c:pt>
                <c:pt idx="193" formatCode="0.00">
                  <c:v>0</c:v>
                </c:pt>
                <c:pt idx="194" formatCode="0.00">
                  <c:v>0</c:v>
                </c:pt>
                <c:pt idx="195" formatCode="0.00">
                  <c:v>0</c:v>
                </c:pt>
                <c:pt idx="196" formatCode="0.00">
                  <c:v>0</c:v>
                </c:pt>
                <c:pt idx="197" formatCode="0.00">
                  <c:v>0</c:v>
                </c:pt>
                <c:pt idx="198" formatCode="0.00">
                  <c:v>0</c:v>
                </c:pt>
                <c:pt idx="199" formatCode="0.00">
                  <c:v>0</c:v>
                </c:pt>
                <c:pt idx="200" formatCode="0.00">
                  <c:v>0</c:v>
                </c:pt>
                <c:pt idx="201" formatCode="0.00">
                  <c:v>0</c:v>
                </c:pt>
                <c:pt idx="202" formatCode="0.00">
                  <c:v>0</c:v>
                </c:pt>
                <c:pt idx="203" formatCode="0.00">
                  <c:v>0</c:v>
                </c:pt>
                <c:pt idx="204" formatCode="0.00">
                  <c:v>0</c:v>
                </c:pt>
                <c:pt idx="205" formatCode="0.00">
                  <c:v>0</c:v>
                </c:pt>
                <c:pt idx="206" formatCode="0.00">
                  <c:v>0</c:v>
                </c:pt>
                <c:pt idx="207" formatCode="0.00">
                  <c:v>0</c:v>
                </c:pt>
                <c:pt idx="208" formatCode="0.00">
                  <c:v>0</c:v>
                </c:pt>
                <c:pt idx="209" formatCode="0.00">
                  <c:v>0</c:v>
                </c:pt>
                <c:pt idx="210" formatCode="0.00">
                  <c:v>0</c:v>
                </c:pt>
                <c:pt idx="211" formatCode="0.00">
                  <c:v>0</c:v>
                </c:pt>
                <c:pt idx="212" formatCode="0.00">
                  <c:v>0</c:v>
                </c:pt>
                <c:pt idx="213" formatCode="0.00">
                  <c:v>0</c:v>
                </c:pt>
                <c:pt idx="214" formatCode="0.00">
                  <c:v>0</c:v>
                </c:pt>
                <c:pt idx="215" formatCode="0.00">
                  <c:v>0</c:v>
                </c:pt>
                <c:pt idx="216" formatCode="0.00">
                  <c:v>0</c:v>
                </c:pt>
                <c:pt idx="217" formatCode="0.00">
                  <c:v>0</c:v>
                </c:pt>
                <c:pt idx="218" formatCode="0.00">
                  <c:v>0</c:v>
                </c:pt>
                <c:pt idx="219" formatCode="0.00">
                  <c:v>0</c:v>
                </c:pt>
                <c:pt idx="220" formatCode="0.00">
                  <c:v>0</c:v>
                </c:pt>
                <c:pt idx="221" formatCode="0.00">
                  <c:v>0</c:v>
                </c:pt>
                <c:pt idx="222" formatCode="0.00">
                  <c:v>0</c:v>
                </c:pt>
                <c:pt idx="223" formatCode="0.00">
                  <c:v>0</c:v>
                </c:pt>
                <c:pt idx="224" formatCode="0.00">
                  <c:v>0</c:v>
                </c:pt>
                <c:pt idx="225" formatCode="0.00">
                  <c:v>0</c:v>
                </c:pt>
                <c:pt idx="226" formatCode="0.00">
                  <c:v>0</c:v>
                </c:pt>
                <c:pt idx="227" formatCode="0.00">
                  <c:v>0</c:v>
                </c:pt>
                <c:pt idx="228" formatCode="0.00">
                  <c:v>0</c:v>
                </c:pt>
                <c:pt idx="229" formatCode="0.00">
                  <c:v>0</c:v>
                </c:pt>
                <c:pt idx="230" formatCode="0.00">
                  <c:v>0</c:v>
                </c:pt>
                <c:pt idx="231" formatCode="0.00">
                  <c:v>0</c:v>
                </c:pt>
                <c:pt idx="232" formatCode="0.00">
                  <c:v>0</c:v>
                </c:pt>
                <c:pt idx="233" formatCode="0.00">
                  <c:v>0</c:v>
                </c:pt>
                <c:pt idx="234" formatCode="0.00">
                  <c:v>0</c:v>
                </c:pt>
                <c:pt idx="235" formatCode="0.00">
                  <c:v>0</c:v>
                </c:pt>
                <c:pt idx="236" formatCode="0.00">
                  <c:v>0</c:v>
                </c:pt>
                <c:pt idx="237" formatCode="0.00">
                  <c:v>0</c:v>
                </c:pt>
                <c:pt idx="238" formatCode="0.00">
                  <c:v>0</c:v>
                </c:pt>
                <c:pt idx="239" formatCode="0.00">
                  <c:v>0</c:v>
                </c:pt>
                <c:pt idx="240" formatCode="0.00">
                  <c:v>0</c:v>
                </c:pt>
                <c:pt idx="241" formatCode="0.00">
                  <c:v>0</c:v>
                </c:pt>
                <c:pt idx="242" formatCode="0.00">
                  <c:v>0</c:v>
                </c:pt>
                <c:pt idx="243" formatCode="0.00">
                  <c:v>0</c:v>
                </c:pt>
                <c:pt idx="244" formatCode="0.00">
                  <c:v>0</c:v>
                </c:pt>
                <c:pt idx="245" formatCode="0.00">
                  <c:v>0</c:v>
                </c:pt>
                <c:pt idx="246" formatCode="0.00">
                  <c:v>0</c:v>
                </c:pt>
                <c:pt idx="247" formatCode="0.00">
                  <c:v>0</c:v>
                </c:pt>
                <c:pt idx="248" formatCode="0.00">
                  <c:v>0</c:v>
                </c:pt>
                <c:pt idx="249" formatCode="0.00">
                  <c:v>0</c:v>
                </c:pt>
                <c:pt idx="250" formatCode="0.00">
                  <c:v>0</c:v>
                </c:pt>
                <c:pt idx="251" formatCode="0.00">
                  <c:v>0</c:v>
                </c:pt>
                <c:pt idx="252" formatCode="0.00">
                  <c:v>0</c:v>
                </c:pt>
                <c:pt idx="253" formatCode="0.00">
                  <c:v>0</c:v>
                </c:pt>
                <c:pt idx="254" formatCode="0.00">
                  <c:v>0</c:v>
                </c:pt>
                <c:pt idx="255" formatCode="0.00">
                  <c:v>0</c:v>
                </c:pt>
                <c:pt idx="256" formatCode="0.00">
                  <c:v>0</c:v>
                </c:pt>
                <c:pt idx="257" formatCode="0.00">
                  <c:v>0</c:v>
                </c:pt>
                <c:pt idx="258" formatCode="0.00">
                  <c:v>0</c:v>
                </c:pt>
                <c:pt idx="259" formatCode="0.00">
                  <c:v>0</c:v>
                </c:pt>
                <c:pt idx="260" formatCode="0.00">
                  <c:v>0</c:v>
                </c:pt>
                <c:pt idx="261" formatCode="0.00">
                  <c:v>0</c:v>
                </c:pt>
                <c:pt idx="262" formatCode="0.00">
                  <c:v>0</c:v>
                </c:pt>
                <c:pt idx="263" formatCode="0.00">
                  <c:v>0</c:v>
                </c:pt>
                <c:pt idx="264" formatCode="0.00">
                  <c:v>0</c:v>
                </c:pt>
                <c:pt idx="265" formatCode="0.00">
                  <c:v>0</c:v>
                </c:pt>
                <c:pt idx="266" formatCode="0.00">
                  <c:v>0</c:v>
                </c:pt>
                <c:pt idx="267" formatCode="0.00">
                  <c:v>0</c:v>
                </c:pt>
                <c:pt idx="268" formatCode="0.00">
                  <c:v>0</c:v>
                </c:pt>
                <c:pt idx="269" formatCode="0.00">
                  <c:v>0</c:v>
                </c:pt>
                <c:pt idx="270" formatCode="0.00">
                  <c:v>0</c:v>
                </c:pt>
                <c:pt idx="271" formatCode="0.00">
                  <c:v>0</c:v>
                </c:pt>
                <c:pt idx="272" formatCode="0.00">
                  <c:v>0</c:v>
                </c:pt>
                <c:pt idx="273" formatCode="0.00">
                  <c:v>0</c:v>
                </c:pt>
                <c:pt idx="274" formatCode="0.00">
                  <c:v>0</c:v>
                </c:pt>
                <c:pt idx="275" formatCode="0.00">
                  <c:v>0</c:v>
                </c:pt>
                <c:pt idx="276" formatCode="0.00">
                  <c:v>0</c:v>
                </c:pt>
                <c:pt idx="277" formatCode="0.00">
                  <c:v>0</c:v>
                </c:pt>
                <c:pt idx="278" formatCode="0.00">
                  <c:v>0</c:v>
                </c:pt>
                <c:pt idx="279" formatCode="0.00">
                  <c:v>0</c:v>
                </c:pt>
                <c:pt idx="280" formatCode="0.00">
                  <c:v>0</c:v>
                </c:pt>
                <c:pt idx="281" formatCode="0.00">
                  <c:v>0</c:v>
                </c:pt>
                <c:pt idx="282" formatCode="0.00">
                  <c:v>0</c:v>
                </c:pt>
                <c:pt idx="283" formatCode="0.00">
                  <c:v>0</c:v>
                </c:pt>
                <c:pt idx="284" formatCode="0.00">
                  <c:v>0</c:v>
                </c:pt>
                <c:pt idx="285" formatCode="0.00">
                  <c:v>0</c:v>
                </c:pt>
                <c:pt idx="286" formatCode="0.00">
                  <c:v>0</c:v>
                </c:pt>
                <c:pt idx="287" formatCode="0.00">
                  <c:v>0</c:v>
                </c:pt>
                <c:pt idx="288" formatCode="0.00">
                  <c:v>0</c:v>
                </c:pt>
                <c:pt idx="289" formatCode="0.00">
                  <c:v>0</c:v>
                </c:pt>
                <c:pt idx="290" formatCode="0.00">
                  <c:v>0</c:v>
                </c:pt>
                <c:pt idx="291" formatCode="0.00">
                  <c:v>0</c:v>
                </c:pt>
                <c:pt idx="292" formatCode="0.00">
                  <c:v>0</c:v>
                </c:pt>
                <c:pt idx="293" formatCode="0.00">
                  <c:v>0</c:v>
                </c:pt>
                <c:pt idx="294" formatCode="0.00">
                  <c:v>0</c:v>
                </c:pt>
                <c:pt idx="295" formatCode="0.00">
                  <c:v>0</c:v>
                </c:pt>
                <c:pt idx="296" formatCode="0.00">
                  <c:v>0</c:v>
                </c:pt>
                <c:pt idx="297" formatCode="0.00">
                  <c:v>0</c:v>
                </c:pt>
                <c:pt idx="298" formatCode="0.00">
                  <c:v>0</c:v>
                </c:pt>
                <c:pt idx="299" formatCode="0.00">
                  <c:v>0</c:v>
                </c:pt>
                <c:pt idx="300" formatCode="0.00">
                  <c:v>0</c:v>
                </c:pt>
                <c:pt idx="301" formatCode="0.0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7962-472F-AA71-0D0B241EB14C}"/>
            </c:ext>
          </c:extLst>
        </c:ser>
        <c:ser>
          <c:idx val="4"/>
          <c:order val="5"/>
          <c:tx>
            <c:v>Chuva obs</c:v>
          </c:tx>
          <c:spPr>
            <a:solidFill>
              <a:schemeClr val="tx2">
                <a:lumMod val="40000"/>
                <a:lumOff val="60000"/>
                <a:alpha val="67000"/>
              </a:schemeClr>
            </a:solidFill>
            <a:ln>
              <a:noFill/>
            </a:ln>
          </c:spPr>
          <c:invertIfNegative val="0"/>
          <c:val>
            <c:numRef>
              <c:f>Operacional_9_meses!$I$24:$I$53</c:f>
              <c:numCache>
                <c:formatCode>0.00</c:formatCode>
                <c:ptCount val="30"/>
                <c:pt idx="0">
                  <c:v>0.46</c:v>
                </c:pt>
                <c:pt idx="1">
                  <c:v>0.24</c:v>
                </c:pt>
                <c:pt idx="2">
                  <c:v>9.3000000000000007</c:v>
                </c:pt>
                <c:pt idx="3">
                  <c:v>31.29</c:v>
                </c:pt>
                <c:pt idx="4">
                  <c:v>4.3499999999999996</c:v>
                </c:pt>
                <c:pt idx="5">
                  <c:v>1.32</c:v>
                </c:pt>
                <c:pt idx="6">
                  <c:v>0.41</c:v>
                </c:pt>
                <c:pt idx="7">
                  <c:v>0.32</c:v>
                </c:pt>
                <c:pt idx="8">
                  <c:v>7.0000000000000007E-2</c:v>
                </c:pt>
                <c:pt idx="9">
                  <c:v>9.34</c:v>
                </c:pt>
                <c:pt idx="10">
                  <c:v>23.52</c:v>
                </c:pt>
                <c:pt idx="11">
                  <c:v>3.09</c:v>
                </c:pt>
                <c:pt idx="12">
                  <c:v>2.86</c:v>
                </c:pt>
                <c:pt idx="13">
                  <c:v>0.73</c:v>
                </c:pt>
                <c:pt idx="14">
                  <c:v>0.59</c:v>
                </c:pt>
                <c:pt idx="15">
                  <c:v>7.0000000000000007E-2</c:v>
                </c:pt>
                <c:pt idx="16">
                  <c:v>0.13</c:v>
                </c:pt>
                <c:pt idx="17">
                  <c:v>0.06</c:v>
                </c:pt>
                <c:pt idx="18">
                  <c:v>0.1</c:v>
                </c:pt>
                <c:pt idx="19">
                  <c:v>12.71</c:v>
                </c:pt>
                <c:pt idx="20">
                  <c:v>2.7</c:v>
                </c:pt>
                <c:pt idx="21">
                  <c:v>24.95</c:v>
                </c:pt>
                <c:pt idx="22">
                  <c:v>18.13</c:v>
                </c:pt>
                <c:pt idx="23">
                  <c:v>0.83</c:v>
                </c:pt>
                <c:pt idx="24">
                  <c:v>0.12</c:v>
                </c:pt>
                <c:pt idx="25">
                  <c:v>16.02</c:v>
                </c:pt>
                <c:pt idx="26">
                  <c:v>37.82</c:v>
                </c:pt>
                <c:pt idx="27">
                  <c:v>4.7</c:v>
                </c:pt>
                <c:pt idx="28">
                  <c:v>1.23</c:v>
                </c:pt>
                <c:pt idx="29">
                  <c:v>0.25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7962-472F-AA71-0D0B241EB14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35"/>
        <c:overlap val="100"/>
        <c:axId val="663608288"/>
        <c:axId val="663606656"/>
      </c:barChart>
      <c:lineChart>
        <c:grouping val="standard"/>
        <c:varyColors val="0"/>
        <c:ser>
          <c:idx val="0"/>
          <c:order val="0"/>
          <c:tx>
            <c:v>Q obs</c:v>
          </c:tx>
          <c:spPr>
            <a:ln>
              <a:solidFill>
                <a:schemeClr val="accent1"/>
              </a:solidFill>
            </a:ln>
          </c:spPr>
          <c:marker>
            <c:symbol val="square"/>
            <c:size val="4"/>
            <c:spPr>
              <a:ln>
                <a:solidFill>
                  <a:schemeClr val="accent1"/>
                </a:solidFill>
              </a:ln>
            </c:spPr>
          </c:marker>
          <c:cat>
            <c:numRef>
              <c:f>Operacional_9_meses!$A$24:$A$325</c:f>
              <c:numCache>
                <c:formatCode>m/d/yyyy</c:formatCode>
                <c:ptCount val="302"/>
                <c:pt idx="0">
                  <c:v>42429</c:v>
                </c:pt>
                <c:pt idx="1">
                  <c:v>42430</c:v>
                </c:pt>
                <c:pt idx="2">
                  <c:v>42431</c:v>
                </c:pt>
                <c:pt idx="3">
                  <c:v>42432</c:v>
                </c:pt>
                <c:pt idx="4">
                  <c:v>42433</c:v>
                </c:pt>
                <c:pt idx="5">
                  <c:v>42434</c:v>
                </c:pt>
                <c:pt idx="6">
                  <c:v>42435</c:v>
                </c:pt>
                <c:pt idx="7">
                  <c:v>42436</c:v>
                </c:pt>
                <c:pt idx="8">
                  <c:v>42437</c:v>
                </c:pt>
                <c:pt idx="9">
                  <c:v>42438</c:v>
                </c:pt>
                <c:pt idx="10">
                  <c:v>42439</c:v>
                </c:pt>
                <c:pt idx="11">
                  <c:v>42440</c:v>
                </c:pt>
                <c:pt idx="12">
                  <c:v>42441</c:v>
                </c:pt>
                <c:pt idx="13">
                  <c:v>42442</c:v>
                </c:pt>
                <c:pt idx="14">
                  <c:v>42443</c:v>
                </c:pt>
                <c:pt idx="15">
                  <c:v>42444</c:v>
                </c:pt>
                <c:pt idx="16">
                  <c:v>42445</c:v>
                </c:pt>
                <c:pt idx="17">
                  <c:v>42446</c:v>
                </c:pt>
                <c:pt idx="18">
                  <c:v>42447</c:v>
                </c:pt>
                <c:pt idx="19">
                  <c:v>42448</c:v>
                </c:pt>
                <c:pt idx="20">
                  <c:v>42449</c:v>
                </c:pt>
                <c:pt idx="21">
                  <c:v>42450</c:v>
                </c:pt>
                <c:pt idx="22">
                  <c:v>42451</c:v>
                </c:pt>
                <c:pt idx="23">
                  <c:v>42452</c:v>
                </c:pt>
                <c:pt idx="24">
                  <c:v>42453</c:v>
                </c:pt>
                <c:pt idx="25">
                  <c:v>42454</c:v>
                </c:pt>
                <c:pt idx="26">
                  <c:v>42455</c:v>
                </c:pt>
                <c:pt idx="27">
                  <c:v>42456</c:v>
                </c:pt>
                <c:pt idx="28">
                  <c:v>42457</c:v>
                </c:pt>
                <c:pt idx="29">
                  <c:v>42458</c:v>
                </c:pt>
                <c:pt idx="30">
                  <c:v>42459</c:v>
                </c:pt>
                <c:pt idx="31">
                  <c:v>42460</c:v>
                </c:pt>
                <c:pt idx="32">
                  <c:v>42461</c:v>
                </c:pt>
                <c:pt idx="33">
                  <c:v>42462</c:v>
                </c:pt>
                <c:pt idx="34">
                  <c:v>42463</c:v>
                </c:pt>
                <c:pt idx="35">
                  <c:v>42464</c:v>
                </c:pt>
                <c:pt idx="36">
                  <c:v>42465</c:v>
                </c:pt>
                <c:pt idx="37">
                  <c:v>42466</c:v>
                </c:pt>
                <c:pt idx="38">
                  <c:v>42467</c:v>
                </c:pt>
                <c:pt idx="39">
                  <c:v>42468</c:v>
                </c:pt>
                <c:pt idx="40">
                  <c:v>42469</c:v>
                </c:pt>
                <c:pt idx="41">
                  <c:v>42470</c:v>
                </c:pt>
                <c:pt idx="42">
                  <c:v>42471</c:v>
                </c:pt>
                <c:pt idx="43">
                  <c:v>42472</c:v>
                </c:pt>
                <c:pt idx="44">
                  <c:v>42473</c:v>
                </c:pt>
                <c:pt idx="45">
                  <c:v>42474</c:v>
                </c:pt>
                <c:pt idx="46">
                  <c:v>42475</c:v>
                </c:pt>
                <c:pt idx="47">
                  <c:v>42476</c:v>
                </c:pt>
                <c:pt idx="48">
                  <c:v>42477</c:v>
                </c:pt>
                <c:pt idx="49">
                  <c:v>42478</c:v>
                </c:pt>
                <c:pt idx="50">
                  <c:v>42479</c:v>
                </c:pt>
                <c:pt idx="51">
                  <c:v>42480</c:v>
                </c:pt>
                <c:pt idx="52">
                  <c:v>42481</c:v>
                </c:pt>
                <c:pt idx="53">
                  <c:v>42482</c:v>
                </c:pt>
                <c:pt idx="54">
                  <c:v>42483</c:v>
                </c:pt>
                <c:pt idx="55">
                  <c:v>42484</c:v>
                </c:pt>
                <c:pt idx="56">
                  <c:v>42485</c:v>
                </c:pt>
                <c:pt idx="57">
                  <c:v>42486</c:v>
                </c:pt>
                <c:pt idx="58">
                  <c:v>42487</c:v>
                </c:pt>
                <c:pt idx="59">
                  <c:v>42488</c:v>
                </c:pt>
                <c:pt idx="60">
                  <c:v>42489</c:v>
                </c:pt>
                <c:pt idx="61">
                  <c:v>42490</c:v>
                </c:pt>
                <c:pt idx="62">
                  <c:v>42491</c:v>
                </c:pt>
                <c:pt idx="63">
                  <c:v>42492</c:v>
                </c:pt>
                <c:pt idx="64">
                  <c:v>42493</c:v>
                </c:pt>
                <c:pt idx="65">
                  <c:v>42494</c:v>
                </c:pt>
                <c:pt idx="66">
                  <c:v>42495</c:v>
                </c:pt>
                <c:pt idx="67">
                  <c:v>42496</c:v>
                </c:pt>
                <c:pt idx="68">
                  <c:v>42497</c:v>
                </c:pt>
                <c:pt idx="69">
                  <c:v>42498</c:v>
                </c:pt>
                <c:pt idx="70">
                  <c:v>42499</c:v>
                </c:pt>
                <c:pt idx="71">
                  <c:v>42500</c:v>
                </c:pt>
                <c:pt idx="72">
                  <c:v>42501</c:v>
                </c:pt>
                <c:pt idx="73">
                  <c:v>42502</c:v>
                </c:pt>
                <c:pt idx="74">
                  <c:v>42503</c:v>
                </c:pt>
                <c:pt idx="75">
                  <c:v>42504</c:v>
                </c:pt>
                <c:pt idx="76">
                  <c:v>42505</c:v>
                </c:pt>
                <c:pt idx="77">
                  <c:v>42506</c:v>
                </c:pt>
                <c:pt idx="78">
                  <c:v>42507</c:v>
                </c:pt>
                <c:pt idx="79">
                  <c:v>42508</c:v>
                </c:pt>
                <c:pt idx="80">
                  <c:v>42509</c:v>
                </c:pt>
                <c:pt idx="81">
                  <c:v>42510</c:v>
                </c:pt>
                <c:pt idx="82">
                  <c:v>42511</c:v>
                </c:pt>
                <c:pt idx="83">
                  <c:v>42512</c:v>
                </c:pt>
                <c:pt idx="84">
                  <c:v>42513</c:v>
                </c:pt>
                <c:pt idx="85">
                  <c:v>42514</c:v>
                </c:pt>
                <c:pt idx="86">
                  <c:v>42515</c:v>
                </c:pt>
                <c:pt idx="87">
                  <c:v>42516</c:v>
                </c:pt>
                <c:pt idx="88">
                  <c:v>42517</c:v>
                </c:pt>
                <c:pt idx="89">
                  <c:v>42518</c:v>
                </c:pt>
                <c:pt idx="90">
                  <c:v>42519</c:v>
                </c:pt>
                <c:pt idx="91">
                  <c:v>42520</c:v>
                </c:pt>
                <c:pt idx="92">
                  <c:v>42521</c:v>
                </c:pt>
                <c:pt idx="93">
                  <c:v>42522</c:v>
                </c:pt>
                <c:pt idx="94">
                  <c:v>42523</c:v>
                </c:pt>
                <c:pt idx="95">
                  <c:v>42524</c:v>
                </c:pt>
                <c:pt idx="96">
                  <c:v>42525</c:v>
                </c:pt>
                <c:pt idx="97">
                  <c:v>42526</c:v>
                </c:pt>
                <c:pt idx="98">
                  <c:v>42527</c:v>
                </c:pt>
                <c:pt idx="99">
                  <c:v>42528</c:v>
                </c:pt>
                <c:pt idx="100">
                  <c:v>42529</c:v>
                </c:pt>
                <c:pt idx="101">
                  <c:v>42530</c:v>
                </c:pt>
                <c:pt idx="102">
                  <c:v>42531</c:v>
                </c:pt>
                <c:pt idx="103">
                  <c:v>42532</c:v>
                </c:pt>
                <c:pt idx="104">
                  <c:v>42533</c:v>
                </c:pt>
                <c:pt idx="105">
                  <c:v>42534</c:v>
                </c:pt>
                <c:pt idx="106">
                  <c:v>42535</c:v>
                </c:pt>
                <c:pt idx="107">
                  <c:v>42536</c:v>
                </c:pt>
                <c:pt idx="108">
                  <c:v>42537</c:v>
                </c:pt>
                <c:pt idx="109">
                  <c:v>42538</c:v>
                </c:pt>
                <c:pt idx="110">
                  <c:v>42539</c:v>
                </c:pt>
                <c:pt idx="111">
                  <c:v>42540</c:v>
                </c:pt>
                <c:pt idx="112">
                  <c:v>42541</c:v>
                </c:pt>
                <c:pt idx="113">
                  <c:v>42542</c:v>
                </c:pt>
                <c:pt idx="114">
                  <c:v>42543</c:v>
                </c:pt>
                <c:pt idx="115">
                  <c:v>42544</c:v>
                </c:pt>
                <c:pt idx="116">
                  <c:v>42545</c:v>
                </c:pt>
                <c:pt idx="117">
                  <c:v>42546</c:v>
                </c:pt>
                <c:pt idx="118">
                  <c:v>42547</c:v>
                </c:pt>
                <c:pt idx="119">
                  <c:v>42548</c:v>
                </c:pt>
                <c:pt idx="120">
                  <c:v>42549</c:v>
                </c:pt>
                <c:pt idx="121">
                  <c:v>42550</c:v>
                </c:pt>
                <c:pt idx="122">
                  <c:v>42551</c:v>
                </c:pt>
                <c:pt idx="123">
                  <c:v>42552</c:v>
                </c:pt>
                <c:pt idx="124">
                  <c:v>42553</c:v>
                </c:pt>
                <c:pt idx="125">
                  <c:v>42554</c:v>
                </c:pt>
                <c:pt idx="126">
                  <c:v>42555</c:v>
                </c:pt>
                <c:pt idx="127">
                  <c:v>42556</c:v>
                </c:pt>
                <c:pt idx="128">
                  <c:v>42557</c:v>
                </c:pt>
                <c:pt idx="129">
                  <c:v>42558</c:v>
                </c:pt>
                <c:pt idx="130">
                  <c:v>42559</c:v>
                </c:pt>
                <c:pt idx="131">
                  <c:v>42560</c:v>
                </c:pt>
                <c:pt idx="132">
                  <c:v>42561</c:v>
                </c:pt>
                <c:pt idx="133">
                  <c:v>42562</c:v>
                </c:pt>
                <c:pt idx="134">
                  <c:v>42563</c:v>
                </c:pt>
                <c:pt idx="135">
                  <c:v>42564</c:v>
                </c:pt>
                <c:pt idx="136">
                  <c:v>42565</c:v>
                </c:pt>
                <c:pt idx="137">
                  <c:v>42566</c:v>
                </c:pt>
                <c:pt idx="138">
                  <c:v>42567</c:v>
                </c:pt>
                <c:pt idx="139">
                  <c:v>42568</c:v>
                </c:pt>
                <c:pt idx="140">
                  <c:v>42569</c:v>
                </c:pt>
                <c:pt idx="141">
                  <c:v>42570</c:v>
                </c:pt>
                <c:pt idx="142">
                  <c:v>42571</c:v>
                </c:pt>
                <c:pt idx="143">
                  <c:v>42572</c:v>
                </c:pt>
                <c:pt idx="144">
                  <c:v>42573</c:v>
                </c:pt>
                <c:pt idx="145">
                  <c:v>42574</c:v>
                </c:pt>
                <c:pt idx="146">
                  <c:v>42575</c:v>
                </c:pt>
                <c:pt idx="147">
                  <c:v>42576</c:v>
                </c:pt>
                <c:pt idx="148">
                  <c:v>42577</c:v>
                </c:pt>
                <c:pt idx="149">
                  <c:v>42578</c:v>
                </c:pt>
                <c:pt idx="150">
                  <c:v>42579</c:v>
                </c:pt>
                <c:pt idx="151">
                  <c:v>42580</c:v>
                </c:pt>
                <c:pt idx="152">
                  <c:v>42581</c:v>
                </c:pt>
                <c:pt idx="153">
                  <c:v>42582</c:v>
                </c:pt>
                <c:pt idx="154">
                  <c:v>42583</c:v>
                </c:pt>
                <c:pt idx="155">
                  <c:v>42584</c:v>
                </c:pt>
                <c:pt idx="156">
                  <c:v>42585</c:v>
                </c:pt>
                <c:pt idx="157">
                  <c:v>42586</c:v>
                </c:pt>
                <c:pt idx="158">
                  <c:v>42587</c:v>
                </c:pt>
                <c:pt idx="159">
                  <c:v>42588</c:v>
                </c:pt>
                <c:pt idx="160">
                  <c:v>42589</c:v>
                </c:pt>
                <c:pt idx="161">
                  <c:v>42590</c:v>
                </c:pt>
                <c:pt idx="162">
                  <c:v>42591</c:v>
                </c:pt>
                <c:pt idx="163">
                  <c:v>42592</c:v>
                </c:pt>
                <c:pt idx="164">
                  <c:v>42593</c:v>
                </c:pt>
                <c:pt idx="165">
                  <c:v>42594</c:v>
                </c:pt>
                <c:pt idx="166">
                  <c:v>42595</c:v>
                </c:pt>
                <c:pt idx="167">
                  <c:v>42596</c:v>
                </c:pt>
                <c:pt idx="168">
                  <c:v>42597</c:v>
                </c:pt>
                <c:pt idx="169">
                  <c:v>42598</c:v>
                </c:pt>
                <c:pt idx="170">
                  <c:v>42599</c:v>
                </c:pt>
                <c:pt idx="171">
                  <c:v>42600</c:v>
                </c:pt>
                <c:pt idx="172">
                  <c:v>42601</c:v>
                </c:pt>
                <c:pt idx="173">
                  <c:v>42602</c:v>
                </c:pt>
                <c:pt idx="174">
                  <c:v>42603</c:v>
                </c:pt>
                <c:pt idx="175">
                  <c:v>42604</c:v>
                </c:pt>
                <c:pt idx="176">
                  <c:v>42605</c:v>
                </c:pt>
                <c:pt idx="177">
                  <c:v>42606</c:v>
                </c:pt>
                <c:pt idx="178">
                  <c:v>42607</c:v>
                </c:pt>
                <c:pt idx="179">
                  <c:v>42608</c:v>
                </c:pt>
                <c:pt idx="180">
                  <c:v>42609</c:v>
                </c:pt>
                <c:pt idx="181">
                  <c:v>42610</c:v>
                </c:pt>
                <c:pt idx="182">
                  <c:v>42611</c:v>
                </c:pt>
                <c:pt idx="183">
                  <c:v>42612</c:v>
                </c:pt>
                <c:pt idx="184">
                  <c:v>42613</c:v>
                </c:pt>
                <c:pt idx="185">
                  <c:v>42614</c:v>
                </c:pt>
                <c:pt idx="186">
                  <c:v>42615</c:v>
                </c:pt>
                <c:pt idx="187">
                  <c:v>42616</c:v>
                </c:pt>
                <c:pt idx="188">
                  <c:v>42617</c:v>
                </c:pt>
                <c:pt idx="189">
                  <c:v>42618</c:v>
                </c:pt>
                <c:pt idx="190">
                  <c:v>42619</c:v>
                </c:pt>
                <c:pt idx="191">
                  <c:v>42620</c:v>
                </c:pt>
                <c:pt idx="192">
                  <c:v>42621</c:v>
                </c:pt>
                <c:pt idx="193">
                  <c:v>42622</c:v>
                </c:pt>
                <c:pt idx="194">
                  <c:v>42623</c:v>
                </c:pt>
                <c:pt idx="195">
                  <c:v>42624</c:v>
                </c:pt>
                <c:pt idx="196">
                  <c:v>42625</c:v>
                </c:pt>
                <c:pt idx="197">
                  <c:v>42626</c:v>
                </c:pt>
                <c:pt idx="198">
                  <c:v>42627</c:v>
                </c:pt>
                <c:pt idx="199">
                  <c:v>42628</c:v>
                </c:pt>
                <c:pt idx="200">
                  <c:v>42629</c:v>
                </c:pt>
                <c:pt idx="201">
                  <c:v>42630</c:v>
                </c:pt>
                <c:pt idx="202">
                  <c:v>42631</c:v>
                </c:pt>
                <c:pt idx="203">
                  <c:v>42632</c:v>
                </c:pt>
                <c:pt idx="204">
                  <c:v>42633</c:v>
                </c:pt>
                <c:pt idx="205">
                  <c:v>42634</c:v>
                </c:pt>
                <c:pt idx="206">
                  <c:v>42635</c:v>
                </c:pt>
                <c:pt idx="207">
                  <c:v>42636</c:v>
                </c:pt>
                <c:pt idx="208">
                  <c:v>42637</c:v>
                </c:pt>
                <c:pt idx="209">
                  <c:v>42638</c:v>
                </c:pt>
                <c:pt idx="210">
                  <c:v>42639</c:v>
                </c:pt>
                <c:pt idx="211">
                  <c:v>42640</c:v>
                </c:pt>
                <c:pt idx="212">
                  <c:v>42641</c:v>
                </c:pt>
                <c:pt idx="213">
                  <c:v>42642</c:v>
                </c:pt>
                <c:pt idx="214">
                  <c:v>42643</c:v>
                </c:pt>
                <c:pt idx="215">
                  <c:v>42644</c:v>
                </c:pt>
                <c:pt idx="216">
                  <c:v>42645</c:v>
                </c:pt>
                <c:pt idx="217">
                  <c:v>42646</c:v>
                </c:pt>
                <c:pt idx="218">
                  <c:v>42647</c:v>
                </c:pt>
                <c:pt idx="219">
                  <c:v>42648</c:v>
                </c:pt>
                <c:pt idx="220">
                  <c:v>42649</c:v>
                </c:pt>
                <c:pt idx="221">
                  <c:v>42650</c:v>
                </c:pt>
                <c:pt idx="222">
                  <c:v>42651</c:v>
                </c:pt>
                <c:pt idx="223">
                  <c:v>42652</c:v>
                </c:pt>
                <c:pt idx="224">
                  <c:v>42653</c:v>
                </c:pt>
                <c:pt idx="225">
                  <c:v>42654</c:v>
                </c:pt>
                <c:pt idx="226">
                  <c:v>42655</c:v>
                </c:pt>
                <c:pt idx="227">
                  <c:v>42656</c:v>
                </c:pt>
                <c:pt idx="228">
                  <c:v>42657</c:v>
                </c:pt>
                <c:pt idx="229">
                  <c:v>42658</c:v>
                </c:pt>
                <c:pt idx="230">
                  <c:v>42659</c:v>
                </c:pt>
                <c:pt idx="231">
                  <c:v>42660</c:v>
                </c:pt>
                <c:pt idx="232">
                  <c:v>42661</c:v>
                </c:pt>
                <c:pt idx="233">
                  <c:v>42662</c:v>
                </c:pt>
                <c:pt idx="234">
                  <c:v>42663</c:v>
                </c:pt>
                <c:pt idx="235">
                  <c:v>42664</c:v>
                </c:pt>
                <c:pt idx="236">
                  <c:v>42665</c:v>
                </c:pt>
                <c:pt idx="237">
                  <c:v>42666</c:v>
                </c:pt>
                <c:pt idx="238">
                  <c:v>42667</c:v>
                </c:pt>
                <c:pt idx="239">
                  <c:v>42668</c:v>
                </c:pt>
                <c:pt idx="240">
                  <c:v>42669</c:v>
                </c:pt>
                <c:pt idx="241">
                  <c:v>42670</c:v>
                </c:pt>
                <c:pt idx="242">
                  <c:v>42671</c:v>
                </c:pt>
                <c:pt idx="243">
                  <c:v>42672</c:v>
                </c:pt>
                <c:pt idx="244">
                  <c:v>42673</c:v>
                </c:pt>
                <c:pt idx="245">
                  <c:v>42674</c:v>
                </c:pt>
                <c:pt idx="246">
                  <c:v>42675</c:v>
                </c:pt>
                <c:pt idx="247">
                  <c:v>42676</c:v>
                </c:pt>
                <c:pt idx="248">
                  <c:v>42677</c:v>
                </c:pt>
                <c:pt idx="249">
                  <c:v>42678</c:v>
                </c:pt>
                <c:pt idx="250">
                  <c:v>42679</c:v>
                </c:pt>
                <c:pt idx="251">
                  <c:v>42680</c:v>
                </c:pt>
                <c:pt idx="252">
                  <c:v>42681</c:v>
                </c:pt>
                <c:pt idx="253">
                  <c:v>42682</c:v>
                </c:pt>
                <c:pt idx="254">
                  <c:v>42683</c:v>
                </c:pt>
                <c:pt idx="255">
                  <c:v>42684</c:v>
                </c:pt>
                <c:pt idx="256">
                  <c:v>42685</c:v>
                </c:pt>
                <c:pt idx="257">
                  <c:v>42686</c:v>
                </c:pt>
                <c:pt idx="258">
                  <c:v>42687</c:v>
                </c:pt>
                <c:pt idx="259">
                  <c:v>42688</c:v>
                </c:pt>
                <c:pt idx="260">
                  <c:v>42689</c:v>
                </c:pt>
                <c:pt idx="261">
                  <c:v>42690</c:v>
                </c:pt>
                <c:pt idx="262">
                  <c:v>42691</c:v>
                </c:pt>
                <c:pt idx="263">
                  <c:v>42692</c:v>
                </c:pt>
                <c:pt idx="264">
                  <c:v>42693</c:v>
                </c:pt>
                <c:pt idx="265">
                  <c:v>42694</c:v>
                </c:pt>
                <c:pt idx="266">
                  <c:v>42695</c:v>
                </c:pt>
                <c:pt idx="267">
                  <c:v>42696</c:v>
                </c:pt>
                <c:pt idx="268">
                  <c:v>42697</c:v>
                </c:pt>
                <c:pt idx="269">
                  <c:v>42698</c:v>
                </c:pt>
                <c:pt idx="270">
                  <c:v>42699</c:v>
                </c:pt>
                <c:pt idx="271">
                  <c:v>42700</c:v>
                </c:pt>
                <c:pt idx="272">
                  <c:v>42701</c:v>
                </c:pt>
                <c:pt idx="273">
                  <c:v>42702</c:v>
                </c:pt>
                <c:pt idx="274">
                  <c:v>42703</c:v>
                </c:pt>
                <c:pt idx="275">
                  <c:v>42704</c:v>
                </c:pt>
                <c:pt idx="276">
                  <c:v>42705</c:v>
                </c:pt>
                <c:pt idx="277">
                  <c:v>42706</c:v>
                </c:pt>
                <c:pt idx="278">
                  <c:v>42707</c:v>
                </c:pt>
                <c:pt idx="279">
                  <c:v>42708</c:v>
                </c:pt>
                <c:pt idx="280">
                  <c:v>42709</c:v>
                </c:pt>
                <c:pt idx="281">
                  <c:v>42710</c:v>
                </c:pt>
                <c:pt idx="282">
                  <c:v>42711</c:v>
                </c:pt>
                <c:pt idx="283">
                  <c:v>42712</c:v>
                </c:pt>
                <c:pt idx="284">
                  <c:v>42713</c:v>
                </c:pt>
                <c:pt idx="285">
                  <c:v>42714</c:v>
                </c:pt>
                <c:pt idx="286">
                  <c:v>42715</c:v>
                </c:pt>
                <c:pt idx="287">
                  <c:v>42716</c:v>
                </c:pt>
                <c:pt idx="288">
                  <c:v>42717</c:v>
                </c:pt>
                <c:pt idx="289">
                  <c:v>42718</c:v>
                </c:pt>
                <c:pt idx="290">
                  <c:v>42719</c:v>
                </c:pt>
                <c:pt idx="291">
                  <c:v>42720</c:v>
                </c:pt>
                <c:pt idx="292">
                  <c:v>42721</c:v>
                </c:pt>
                <c:pt idx="293">
                  <c:v>42722</c:v>
                </c:pt>
                <c:pt idx="294">
                  <c:v>42723</c:v>
                </c:pt>
                <c:pt idx="295">
                  <c:v>42724</c:v>
                </c:pt>
                <c:pt idx="296">
                  <c:v>42725</c:v>
                </c:pt>
                <c:pt idx="297">
                  <c:v>42726</c:v>
                </c:pt>
                <c:pt idx="298">
                  <c:v>42727</c:v>
                </c:pt>
                <c:pt idx="299">
                  <c:v>42728</c:v>
                </c:pt>
                <c:pt idx="300">
                  <c:v>42729</c:v>
                </c:pt>
                <c:pt idx="301">
                  <c:v>42730</c:v>
                </c:pt>
              </c:numCache>
            </c:numRef>
          </c:cat>
          <c:val>
            <c:numRef>
              <c:f>Operacional_9_meses!$B$24:$B$53</c:f>
              <c:numCache>
                <c:formatCode>0</c:formatCode>
                <c:ptCount val="30"/>
                <c:pt idx="0">
                  <c:v>1035.03556978713</c:v>
                </c:pt>
                <c:pt idx="1">
                  <c:v>894.423546771171</c:v>
                </c:pt>
                <c:pt idx="2">
                  <c:v>770.51679494953601</c:v>
                </c:pt>
                <c:pt idx="3">
                  <c:v>2008.20300002503</c:v>
                </c:pt>
                <c:pt idx="4">
                  <c:v>2064.5436128544702</c:v>
                </c:pt>
                <c:pt idx="5">
                  <c:v>1933.3914916014901</c:v>
                </c:pt>
                <c:pt idx="6">
                  <c:v>1700.6263589523101</c:v>
                </c:pt>
                <c:pt idx="7">
                  <c:v>1339.08532292257</c:v>
                </c:pt>
                <c:pt idx="8">
                  <c:v>1099.2439515618901</c:v>
                </c:pt>
                <c:pt idx="9">
                  <c:v>1180.2527855814201</c:v>
                </c:pt>
                <c:pt idx="10">
                  <c:v>1709.14781201286</c:v>
                </c:pt>
                <c:pt idx="11">
                  <c:v>2064.19808210052</c:v>
                </c:pt>
                <c:pt idx="12">
                  <c:v>2041.8017553371501</c:v>
                </c:pt>
                <c:pt idx="13">
                  <c:v>1897.4468000433001</c:v>
                </c:pt>
                <c:pt idx="14">
                  <c:v>1561.3107932038799</c:v>
                </c:pt>
                <c:pt idx="15">
                  <c:v>1289.2214994701901</c:v>
                </c:pt>
                <c:pt idx="16">
                  <c:v>1090.66473545695</c:v>
                </c:pt>
                <c:pt idx="17">
                  <c:v>929.17803163181395</c:v>
                </c:pt>
                <c:pt idx="18">
                  <c:v>832.586682242763</c:v>
                </c:pt>
                <c:pt idx="19">
                  <c:v>760.89026976625405</c:v>
                </c:pt>
                <c:pt idx="20">
                  <c:v>671.57040358134805</c:v>
                </c:pt>
                <c:pt idx="21">
                  <c:v>907.67806605403598</c:v>
                </c:pt>
                <c:pt idx="22">
                  <c:v>2079.9068913917499</c:v>
                </c:pt>
                <c:pt idx="23">
                  <c:v>2114</c:v>
                </c:pt>
                <c:pt idx="24">
                  <c:v>1609</c:v>
                </c:pt>
                <c:pt idx="25">
                  <c:v>1553</c:v>
                </c:pt>
                <c:pt idx="26">
                  <c:v>2283</c:v>
                </c:pt>
                <c:pt idx="27">
                  <c:v>2411</c:v>
                </c:pt>
                <c:pt idx="28">
                  <c:v>2110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7962-472F-AA71-0D0B241EB14C}"/>
            </c:ext>
          </c:extLst>
        </c:ser>
        <c:ser>
          <c:idx val="3"/>
          <c:order val="1"/>
          <c:tx>
            <c:v>Q prev</c:v>
          </c:tx>
          <c:spPr>
            <a:ln>
              <a:solidFill>
                <a:schemeClr val="accent6">
                  <a:lumMod val="75000"/>
                </a:schemeClr>
              </a:solidFill>
            </a:ln>
          </c:spPr>
          <c:marker>
            <c:symbol val="circle"/>
            <c:size val="3"/>
            <c:spPr>
              <a:solidFill>
                <a:schemeClr val="accent6">
                  <a:lumMod val="75000"/>
                </a:schemeClr>
              </a:solidFill>
              <a:ln>
                <a:solidFill>
                  <a:schemeClr val="accent6">
                    <a:lumMod val="75000"/>
                  </a:schemeClr>
                </a:solidFill>
              </a:ln>
            </c:spPr>
          </c:marker>
          <c:cat>
            <c:numRef>
              <c:f>Operacional_9_meses!$A$24:$A$325</c:f>
              <c:numCache>
                <c:formatCode>m/d/yyyy</c:formatCode>
                <c:ptCount val="302"/>
                <c:pt idx="0">
                  <c:v>42429</c:v>
                </c:pt>
                <c:pt idx="1">
                  <c:v>42430</c:v>
                </c:pt>
                <c:pt idx="2">
                  <c:v>42431</c:v>
                </c:pt>
                <c:pt idx="3">
                  <c:v>42432</c:v>
                </c:pt>
                <c:pt idx="4">
                  <c:v>42433</c:v>
                </c:pt>
                <c:pt idx="5">
                  <c:v>42434</c:v>
                </c:pt>
                <c:pt idx="6">
                  <c:v>42435</c:v>
                </c:pt>
                <c:pt idx="7">
                  <c:v>42436</c:v>
                </c:pt>
                <c:pt idx="8">
                  <c:v>42437</c:v>
                </c:pt>
                <c:pt idx="9">
                  <c:v>42438</c:v>
                </c:pt>
                <c:pt idx="10">
                  <c:v>42439</c:v>
                </c:pt>
                <c:pt idx="11">
                  <c:v>42440</c:v>
                </c:pt>
                <c:pt idx="12">
                  <c:v>42441</c:v>
                </c:pt>
                <c:pt idx="13">
                  <c:v>42442</c:v>
                </c:pt>
                <c:pt idx="14">
                  <c:v>42443</c:v>
                </c:pt>
                <c:pt idx="15">
                  <c:v>42444</c:v>
                </c:pt>
                <c:pt idx="16">
                  <c:v>42445</c:v>
                </c:pt>
                <c:pt idx="17">
                  <c:v>42446</c:v>
                </c:pt>
                <c:pt idx="18">
                  <c:v>42447</c:v>
                </c:pt>
                <c:pt idx="19">
                  <c:v>42448</c:v>
                </c:pt>
                <c:pt idx="20">
                  <c:v>42449</c:v>
                </c:pt>
                <c:pt idx="21">
                  <c:v>42450</c:v>
                </c:pt>
                <c:pt idx="22">
                  <c:v>42451</c:v>
                </c:pt>
                <c:pt idx="23">
                  <c:v>42452</c:v>
                </c:pt>
                <c:pt idx="24">
                  <c:v>42453</c:v>
                </c:pt>
                <c:pt idx="25">
                  <c:v>42454</c:v>
                </c:pt>
                <c:pt idx="26">
                  <c:v>42455</c:v>
                </c:pt>
                <c:pt idx="27">
                  <c:v>42456</c:v>
                </c:pt>
                <c:pt idx="28">
                  <c:v>42457</c:v>
                </c:pt>
                <c:pt idx="29">
                  <c:v>42458</c:v>
                </c:pt>
                <c:pt idx="30">
                  <c:v>42459</c:v>
                </c:pt>
                <c:pt idx="31">
                  <c:v>42460</c:v>
                </c:pt>
                <c:pt idx="32">
                  <c:v>42461</c:v>
                </c:pt>
                <c:pt idx="33">
                  <c:v>42462</c:v>
                </c:pt>
                <c:pt idx="34">
                  <c:v>42463</c:v>
                </c:pt>
                <c:pt idx="35">
                  <c:v>42464</c:v>
                </c:pt>
                <c:pt idx="36">
                  <c:v>42465</c:v>
                </c:pt>
                <c:pt idx="37">
                  <c:v>42466</c:v>
                </c:pt>
                <c:pt idx="38">
                  <c:v>42467</c:v>
                </c:pt>
                <c:pt idx="39">
                  <c:v>42468</c:v>
                </c:pt>
                <c:pt idx="40">
                  <c:v>42469</c:v>
                </c:pt>
                <c:pt idx="41">
                  <c:v>42470</c:v>
                </c:pt>
                <c:pt idx="42">
                  <c:v>42471</c:v>
                </c:pt>
                <c:pt idx="43">
                  <c:v>42472</c:v>
                </c:pt>
                <c:pt idx="44">
                  <c:v>42473</c:v>
                </c:pt>
                <c:pt idx="45">
                  <c:v>42474</c:v>
                </c:pt>
                <c:pt idx="46">
                  <c:v>42475</c:v>
                </c:pt>
                <c:pt idx="47">
                  <c:v>42476</c:v>
                </c:pt>
                <c:pt idx="48">
                  <c:v>42477</c:v>
                </c:pt>
                <c:pt idx="49">
                  <c:v>42478</c:v>
                </c:pt>
                <c:pt idx="50">
                  <c:v>42479</c:v>
                </c:pt>
                <c:pt idx="51">
                  <c:v>42480</c:v>
                </c:pt>
                <c:pt idx="52">
                  <c:v>42481</c:v>
                </c:pt>
                <c:pt idx="53">
                  <c:v>42482</c:v>
                </c:pt>
                <c:pt idx="54">
                  <c:v>42483</c:v>
                </c:pt>
                <c:pt idx="55">
                  <c:v>42484</c:v>
                </c:pt>
                <c:pt idx="56">
                  <c:v>42485</c:v>
                </c:pt>
                <c:pt idx="57">
                  <c:v>42486</c:v>
                </c:pt>
                <c:pt idx="58">
                  <c:v>42487</c:v>
                </c:pt>
                <c:pt idx="59">
                  <c:v>42488</c:v>
                </c:pt>
                <c:pt idx="60">
                  <c:v>42489</c:v>
                </c:pt>
                <c:pt idx="61">
                  <c:v>42490</c:v>
                </c:pt>
                <c:pt idx="62">
                  <c:v>42491</c:v>
                </c:pt>
                <c:pt idx="63">
                  <c:v>42492</c:v>
                </c:pt>
                <c:pt idx="64">
                  <c:v>42493</c:v>
                </c:pt>
                <c:pt idx="65">
                  <c:v>42494</c:v>
                </c:pt>
                <c:pt idx="66">
                  <c:v>42495</c:v>
                </c:pt>
                <c:pt idx="67">
                  <c:v>42496</c:v>
                </c:pt>
                <c:pt idx="68">
                  <c:v>42497</c:v>
                </c:pt>
                <c:pt idx="69">
                  <c:v>42498</c:v>
                </c:pt>
                <c:pt idx="70">
                  <c:v>42499</c:v>
                </c:pt>
                <c:pt idx="71">
                  <c:v>42500</c:v>
                </c:pt>
                <c:pt idx="72">
                  <c:v>42501</c:v>
                </c:pt>
                <c:pt idx="73">
                  <c:v>42502</c:v>
                </c:pt>
                <c:pt idx="74">
                  <c:v>42503</c:v>
                </c:pt>
                <c:pt idx="75">
                  <c:v>42504</c:v>
                </c:pt>
                <c:pt idx="76">
                  <c:v>42505</c:v>
                </c:pt>
                <c:pt idx="77">
                  <c:v>42506</c:v>
                </c:pt>
                <c:pt idx="78">
                  <c:v>42507</c:v>
                </c:pt>
                <c:pt idx="79">
                  <c:v>42508</c:v>
                </c:pt>
                <c:pt idx="80">
                  <c:v>42509</c:v>
                </c:pt>
                <c:pt idx="81">
                  <c:v>42510</c:v>
                </c:pt>
                <c:pt idx="82">
                  <c:v>42511</c:v>
                </c:pt>
                <c:pt idx="83">
                  <c:v>42512</c:v>
                </c:pt>
                <c:pt idx="84">
                  <c:v>42513</c:v>
                </c:pt>
                <c:pt idx="85">
                  <c:v>42514</c:v>
                </c:pt>
                <c:pt idx="86">
                  <c:v>42515</c:v>
                </c:pt>
                <c:pt idx="87">
                  <c:v>42516</c:v>
                </c:pt>
                <c:pt idx="88">
                  <c:v>42517</c:v>
                </c:pt>
                <c:pt idx="89">
                  <c:v>42518</c:v>
                </c:pt>
                <c:pt idx="90">
                  <c:v>42519</c:v>
                </c:pt>
                <c:pt idx="91">
                  <c:v>42520</c:v>
                </c:pt>
                <c:pt idx="92">
                  <c:v>42521</c:v>
                </c:pt>
                <c:pt idx="93">
                  <c:v>42522</c:v>
                </c:pt>
                <c:pt idx="94">
                  <c:v>42523</c:v>
                </c:pt>
                <c:pt idx="95">
                  <c:v>42524</c:v>
                </c:pt>
                <c:pt idx="96">
                  <c:v>42525</c:v>
                </c:pt>
                <c:pt idx="97">
                  <c:v>42526</c:v>
                </c:pt>
                <c:pt idx="98">
                  <c:v>42527</c:v>
                </c:pt>
                <c:pt idx="99">
                  <c:v>42528</c:v>
                </c:pt>
                <c:pt idx="100">
                  <c:v>42529</c:v>
                </c:pt>
                <c:pt idx="101">
                  <c:v>42530</c:v>
                </c:pt>
                <c:pt idx="102">
                  <c:v>42531</c:v>
                </c:pt>
                <c:pt idx="103">
                  <c:v>42532</c:v>
                </c:pt>
                <c:pt idx="104">
                  <c:v>42533</c:v>
                </c:pt>
                <c:pt idx="105">
                  <c:v>42534</c:v>
                </c:pt>
                <c:pt idx="106">
                  <c:v>42535</c:v>
                </c:pt>
                <c:pt idx="107">
                  <c:v>42536</c:v>
                </c:pt>
                <c:pt idx="108">
                  <c:v>42537</c:v>
                </c:pt>
                <c:pt idx="109">
                  <c:v>42538</c:v>
                </c:pt>
                <c:pt idx="110">
                  <c:v>42539</c:v>
                </c:pt>
                <c:pt idx="111">
                  <c:v>42540</c:v>
                </c:pt>
                <c:pt idx="112">
                  <c:v>42541</c:v>
                </c:pt>
                <c:pt idx="113">
                  <c:v>42542</c:v>
                </c:pt>
                <c:pt idx="114">
                  <c:v>42543</c:v>
                </c:pt>
                <c:pt idx="115">
                  <c:v>42544</c:v>
                </c:pt>
                <c:pt idx="116">
                  <c:v>42545</c:v>
                </c:pt>
                <c:pt idx="117">
                  <c:v>42546</c:v>
                </c:pt>
                <c:pt idx="118">
                  <c:v>42547</c:v>
                </c:pt>
                <c:pt idx="119">
                  <c:v>42548</c:v>
                </c:pt>
                <c:pt idx="120">
                  <c:v>42549</c:v>
                </c:pt>
                <c:pt idx="121">
                  <c:v>42550</c:v>
                </c:pt>
                <c:pt idx="122">
                  <c:v>42551</c:v>
                </c:pt>
                <c:pt idx="123">
                  <c:v>42552</c:v>
                </c:pt>
                <c:pt idx="124">
                  <c:v>42553</c:v>
                </c:pt>
                <c:pt idx="125">
                  <c:v>42554</c:v>
                </c:pt>
                <c:pt idx="126">
                  <c:v>42555</c:v>
                </c:pt>
                <c:pt idx="127">
                  <c:v>42556</c:v>
                </c:pt>
                <c:pt idx="128">
                  <c:v>42557</c:v>
                </c:pt>
                <c:pt idx="129">
                  <c:v>42558</c:v>
                </c:pt>
                <c:pt idx="130">
                  <c:v>42559</c:v>
                </c:pt>
                <c:pt idx="131">
                  <c:v>42560</c:v>
                </c:pt>
                <c:pt idx="132">
                  <c:v>42561</c:v>
                </c:pt>
                <c:pt idx="133">
                  <c:v>42562</c:v>
                </c:pt>
                <c:pt idx="134">
                  <c:v>42563</c:v>
                </c:pt>
                <c:pt idx="135">
                  <c:v>42564</c:v>
                </c:pt>
                <c:pt idx="136">
                  <c:v>42565</c:v>
                </c:pt>
                <c:pt idx="137">
                  <c:v>42566</c:v>
                </c:pt>
                <c:pt idx="138">
                  <c:v>42567</c:v>
                </c:pt>
                <c:pt idx="139">
                  <c:v>42568</c:v>
                </c:pt>
                <c:pt idx="140">
                  <c:v>42569</c:v>
                </c:pt>
                <c:pt idx="141">
                  <c:v>42570</c:v>
                </c:pt>
                <c:pt idx="142">
                  <c:v>42571</c:v>
                </c:pt>
                <c:pt idx="143">
                  <c:v>42572</c:v>
                </c:pt>
                <c:pt idx="144">
                  <c:v>42573</c:v>
                </c:pt>
                <c:pt idx="145">
                  <c:v>42574</c:v>
                </c:pt>
                <c:pt idx="146">
                  <c:v>42575</c:v>
                </c:pt>
                <c:pt idx="147">
                  <c:v>42576</c:v>
                </c:pt>
                <c:pt idx="148">
                  <c:v>42577</c:v>
                </c:pt>
                <c:pt idx="149">
                  <c:v>42578</c:v>
                </c:pt>
                <c:pt idx="150">
                  <c:v>42579</c:v>
                </c:pt>
                <c:pt idx="151">
                  <c:v>42580</c:v>
                </c:pt>
                <c:pt idx="152">
                  <c:v>42581</c:v>
                </c:pt>
                <c:pt idx="153">
                  <c:v>42582</c:v>
                </c:pt>
                <c:pt idx="154">
                  <c:v>42583</c:v>
                </c:pt>
                <c:pt idx="155">
                  <c:v>42584</c:v>
                </c:pt>
                <c:pt idx="156">
                  <c:v>42585</c:v>
                </c:pt>
                <c:pt idx="157">
                  <c:v>42586</c:v>
                </c:pt>
                <c:pt idx="158">
                  <c:v>42587</c:v>
                </c:pt>
                <c:pt idx="159">
                  <c:v>42588</c:v>
                </c:pt>
                <c:pt idx="160">
                  <c:v>42589</c:v>
                </c:pt>
                <c:pt idx="161">
                  <c:v>42590</c:v>
                </c:pt>
                <c:pt idx="162">
                  <c:v>42591</c:v>
                </c:pt>
                <c:pt idx="163">
                  <c:v>42592</c:v>
                </c:pt>
                <c:pt idx="164">
                  <c:v>42593</c:v>
                </c:pt>
                <c:pt idx="165">
                  <c:v>42594</c:v>
                </c:pt>
                <c:pt idx="166">
                  <c:v>42595</c:v>
                </c:pt>
                <c:pt idx="167">
                  <c:v>42596</c:v>
                </c:pt>
                <c:pt idx="168">
                  <c:v>42597</c:v>
                </c:pt>
                <c:pt idx="169">
                  <c:v>42598</c:v>
                </c:pt>
                <c:pt idx="170">
                  <c:v>42599</c:v>
                </c:pt>
                <c:pt idx="171">
                  <c:v>42600</c:v>
                </c:pt>
                <c:pt idx="172">
                  <c:v>42601</c:v>
                </c:pt>
                <c:pt idx="173">
                  <c:v>42602</c:v>
                </c:pt>
                <c:pt idx="174">
                  <c:v>42603</c:v>
                </c:pt>
                <c:pt idx="175">
                  <c:v>42604</c:v>
                </c:pt>
                <c:pt idx="176">
                  <c:v>42605</c:v>
                </c:pt>
                <c:pt idx="177">
                  <c:v>42606</c:v>
                </c:pt>
                <c:pt idx="178">
                  <c:v>42607</c:v>
                </c:pt>
                <c:pt idx="179">
                  <c:v>42608</c:v>
                </c:pt>
                <c:pt idx="180">
                  <c:v>42609</c:v>
                </c:pt>
                <c:pt idx="181">
                  <c:v>42610</c:v>
                </c:pt>
                <c:pt idx="182">
                  <c:v>42611</c:v>
                </c:pt>
                <c:pt idx="183">
                  <c:v>42612</c:v>
                </c:pt>
                <c:pt idx="184">
                  <c:v>42613</c:v>
                </c:pt>
                <c:pt idx="185">
                  <c:v>42614</c:v>
                </c:pt>
                <c:pt idx="186">
                  <c:v>42615</c:v>
                </c:pt>
                <c:pt idx="187">
                  <c:v>42616</c:v>
                </c:pt>
                <c:pt idx="188">
                  <c:v>42617</c:v>
                </c:pt>
                <c:pt idx="189">
                  <c:v>42618</c:v>
                </c:pt>
                <c:pt idx="190">
                  <c:v>42619</c:v>
                </c:pt>
                <c:pt idx="191">
                  <c:v>42620</c:v>
                </c:pt>
                <c:pt idx="192">
                  <c:v>42621</c:v>
                </c:pt>
                <c:pt idx="193">
                  <c:v>42622</c:v>
                </c:pt>
                <c:pt idx="194">
                  <c:v>42623</c:v>
                </c:pt>
                <c:pt idx="195">
                  <c:v>42624</c:v>
                </c:pt>
                <c:pt idx="196">
                  <c:v>42625</c:v>
                </c:pt>
                <c:pt idx="197">
                  <c:v>42626</c:v>
                </c:pt>
                <c:pt idx="198">
                  <c:v>42627</c:v>
                </c:pt>
                <c:pt idx="199">
                  <c:v>42628</c:v>
                </c:pt>
                <c:pt idx="200">
                  <c:v>42629</c:v>
                </c:pt>
                <c:pt idx="201">
                  <c:v>42630</c:v>
                </c:pt>
                <c:pt idx="202">
                  <c:v>42631</c:v>
                </c:pt>
                <c:pt idx="203">
                  <c:v>42632</c:v>
                </c:pt>
                <c:pt idx="204">
                  <c:v>42633</c:v>
                </c:pt>
                <c:pt idx="205">
                  <c:v>42634</c:v>
                </c:pt>
                <c:pt idx="206">
                  <c:v>42635</c:v>
                </c:pt>
                <c:pt idx="207">
                  <c:v>42636</c:v>
                </c:pt>
                <c:pt idx="208">
                  <c:v>42637</c:v>
                </c:pt>
                <c:pt idx="209">
                  <c:v>42638</c:v>
                </c:pt>
                <c:pt idx="210">
                  <c:v>42639</c:v>
                </c:pt>
                <c:pt idx="211">
                  <c:v>42640</c:v>
                </c:pt>
                <c:pt idx="212">
                  <c:v>42641</c:v>
                </c:pt>
                <c:pt idx="213">
                  <c:v>42642</c:v>
                </c:pt>
                <c:pt idx="214">
                  <c:v>42643</c:v>
                </c:pt>
                <c:pt idx="215">
                  <c:v>42644</c:v>
                </c:pt>
                <c:pt idx="216">
                  <c:v>42645</c:v>
                </c:pt>
                <c:pt idx="217">
                  <c:v>42646</c:v>
                </c:pt>
                <c:pt idx="218">
                  <c:v>42647</c:v>
                </c:pt>
                <c:pt idx="219">
                  <c:v>42648</c:v>
                </c:pt>
                <c:pt idx="220">
                  <c:v>42649</c:v>
                </c:pt>
                <c:pt idx="221">
                  <c:v>42650</c:v>
                </c:pt>
                <c:pt idx="222">
                  <c:v>42651</c:v>
                </c:pt>
                <c:pt idx="223">
                  <c:v>42652</c:v>
                </c:pt>
                <c:pt idx="224">
                  <c:v>42653</c:v>
                </c:pt>
                <c:pt idx="225">
                  <c:v>42654</c:v>
                </c:pt>
                <c:pt idx="226">
                  <c:v>42655</c:v>
                </c:pt>
                <c:pt idx="227">
                  <c:v>42656</c:v>
                </c:pt>
                <c:pt idx="228">
                  <c:v>42657</c:v>
                </c:pt>
                <c:pt idx="229">
                  <c:v>42658</c:v>
                </c:pt>
                <c:pt idx="230">
                  <c:v>42659</c:v>
                </c:pt>
                <c:pt idx="231">
                  <c:v>42660</c:v>
                </c:pt>
                <c:pt idx="232">
                  <c:v>42661</c:v>
                </c:pt>
                <c:pt idx="233">
                  <c:v>42662</c:v>
                </c:pt>
                <c:pt idx="234">
                  <c:v>42663</c:v>
                </c:pt>
                <c:pt idx="235">
                  <c:v>42664</c:v>
                </c:pt>
                <c:pt idx="236">
                  <c:v>42665</c:v>
                </c:pt>
                <c:pt idx="237">
                  <c:v>42666</c:v>
                </c:pt>
                <c:pt idx="238">
                  <c:v>42667</c:v>
                </c:pt>
                <c:pt idx="239">
                  <c:v>42668</c:v>
                </c:pt>
                <c:pt idx="240">
                  <c:v>42669</c:v>
                </c:pt>
                <c:pt idx="241">
                  <c:v>42670</c:v>
                </c:pt>
                <c:pt idx="242">
                  <c:v>42671</c:v>
                </c:pt>
                <c:pt idx="243">
                  <c:v>42672</c:v>
                </c:pt>
                <c:pt idx="244">
                  <c:v>42673</c:v>
                </c:pt>
                <c:pt idx="245">
                  <c:v>42674</c:v>
                </c:pt>
                <c:pt idx="246">
                  <c:v>42675</c:v>
                </c:pt>
                <c:pt idx="247">
                  <c:v>42676</c:v>
                </c:pt>
                <c:pt idx="248">
                  <c:v>42677</c:v>
                </c:pt>
                <c:pt idx="249">
                  <c:v>42678</c:v>
                </c:pt>
                <c:pt idx="250">
                  <c:v>42679</c:v>
                </c:pt>
                <c:pt idx="251">
                  <c:v>42680</c:v>
                </c:pt>
                <c:pt idx="252">
                  <c:v>42681</c:v>
                </c:pt>
                <c:pt idx="253">
                  <c:v>42682</c:v>
                </c:pt>
                <c:pt idx="254">
                  <c:v>42683</c:v>
                </c:pt>
                <c:pt idx="255">
                  <c:v>42684</c:v>
                </c:pt>
                <c:pt idx="256">
                  <c:v>42685</c:v>
                </c:pt>
                <c:pt idx="257">
                  <c:v>42686</c:v>
                </c:pt>
                <c:pt idx="258">
                  <c:v>42687</c:v>
                </c:pt>
                <c:pt idx="259">
                  <c:v>42688</c:v>
                </c:pt>
                <c:pt idx="260">
                  <c:v>42689</c:v>
                </c:pt>
                <c:pt idx="261">
                  <c:v>42690</c:v>
                </c:pt>
                <c:pt idx="262">
                  <c:v>42691</c:v>
                </c:pt>
                <c:pt idx="263">
                  <c:v>42692</c:v>
                </c:pt>
                <c:pt idx="264">
                  <c:v>42693</c:v>
                </c:pt>
                <c:pt idx="265">
                  <c:v>42694</c:v>
                </c:pt>
                <c:pt idx="266">
                  <c:v>42695</c:v>
                </c:pt>
                <c:pt idx="267">
                  <c:v>42696</c:v>
                </c:pt>
                <c:pt idx="268">
                  <c:v>42697</c:v>
                </c:pt>
                <c:pt idx="269">
                  <c:v>42698</c:v>
                </c:pt>
                <c:pt idx="270">
                  <c:v>42699</c:v>
                </c:pt>
                <c:pt idx="271">
                  <c:v>42700</c:v>
                </c:pt>
                <c:pt idx="272">
                  <c:v>42701</c:v>
                </c:pt>
                <c:pt idx="273">
                  <c:v>42702</c:v>
                </c:pt>
                <c:pt idx="274">
                  <c:v>42703</c:v>
                </c:pt>
                <c:pt idx="275">
                  <c:v>42704</c:v>
                </c:pt>
                <c:pt idx="276">
                  <c:v>42705</c:v>
                </c:pt>
                <c:pt idx="277">
                  <c:v>42706</c:v>
                </c:pt>
                <c:pt idx="278">
                  <c:v>42707</c:v>
                </c:pt>
                <c:pt idx="279">
                  <c:v>42708</c:v>
                </c:pt>
                <c:pt idx="280">
                  <c:v>42709</c:v>
                </c:pt>
                <c:pt idx="281">
                  <c:v>42710</c:v>
                </c:pt>
                <c:pt idx="282">
                  <c:v>42711</c:v>
                </c:pt>
                <c:pt idx="283">
                  <c:v>42712</c:v>
                </c:pt>
                <c:pt idx="284">
                  <c:v>42713</c:v>
                </c:pt>
                <c:pt idx="285">
                  <c:v>42714</c:v>
                </c:pt>
                <c:pt idx="286">
                  <c:v>42715</c:v>
                </c:pt>
                <c:pt idx="287">
                  <c:v>42716</c:v>
                </c:pt>
                <c:pt idx="288">
                  <c:v>42717</c:v>
                </c:pt>
                <c:pt idx="289">
                  <c:v>42718</c:v>
                </c:pt>
                <c:pt idx="290">
                  <c:v>42719</c:v>
                </c:pt>
                <c:pt idx="291">
                  <c:v>42720</c:v>
                </c:pt>
                <c:pt idx="292">
                  <c:v>42721</c:v>
                </c:pt>
                <c:pt idx="293">
                  <c:v>42722</c:v>
                </c:pt>
                <c:pt idx="294">
                  <c:v>42723</c:v>
                </c:pt>
                <c:pt idx="295">
                  <c:v>42724</c:v>
                </c:pt>
                <c:pt idx="296">
                  <c:v>42725</c:v>
                </c:pt>
                <c:pt idx="297">
                  <c:v>42726</c:v>
                </c:pt>
                <c:pt idx="298">
                  <c:v>42727</c:v>
                </c:pt>
                <c:pt idx="299">
                  <c:v>42728</c:v>
                </c:pt>
                <c:pt idx="300">
                  <c:v>42729</c:v>
                </c:pt>
                <c:pt idx="301">
                  <c:v>42730</c:v>
                </c:pt>
              </c:numCache>
            </c:numRef>
          </c:cat>
          <c:val>
            <c:numRef>
              <c:f>Operacional_9_meses!$E$24:$E$325</c:f>
              <c:numCache>
                <c:formatCode>0</c:formatCode>
                <c:ptCount val="302"/>
                <c:pt idx="0">
                  <c:v>1049.422528724215</c:v>
                </c:pt>
                <c:pt idx="1">
                  <c:v>862.97064693653431</c:v>
                </c:pt>
                <c:pt idx="2">
                  <c:v>781.87694485499287</c:v>
                </c:pt>
                <c:pt idx="3">
                  <c:v>2015.2835387628393</c:v>
                </c:pt>
                <c:pt idx="4">
                  <c:v>2316.447365852468</c:v>
                </c:pt>
                <c:pt idx="5">
                  <c:v>1949.1376615096544</c:v>
                </c:pt>
                <c:pt idx="6">
                  <c:v>1535.3191391419666</c:v>
                </c:pt>
                <c:pt idx="7">
                  <c:v>1225.7764075248226</c:v>
                </c:pt>
                <c:pt idx="8">
                  <c:v>1002.62722551921</c:v>
                </c:pt>
                <c:pt idx="9">
                  <c:v>1181.3037124829168</c:v>
                </c:pt>
                <c:pt idx="10">
                  <c:v>1710.1463410102242</c:v>
                </c:pt>
                <c:pt idx="11">
                  <c:v>2440.2438718612666</c:v>
                </c:pt>
                <c:pt idx="12">
                  <c:v>2112.1861731406452</c:v>
                </c:pt>
                <c:pt idx="13">
                  <c:v>1772.7470839815267</c:v>
                </c:pt>
                <c:pt idx="14">
                  <c:v>1415.7528971016848</c:v>
                </c:pt>
                <c:pt idx="15">
                  <c:v>1148.6104543408542</c:v>
                </c:pt>
                <c:pt idx="16">
                  <c:v>946.87640018726324</c:v>
                </c:pt>
                <c:pt idx="17">
                  <c:v>794.10919165361429</c:v>
                </c:pt>
                <c:pt idx="18">
                  <c:v>726.41791195110068</c:v>
                </c:pt>
                <c:pt idx="19">
                  <c:v>758.86321682710786</c:v>
                </c:pt>
                <c:pt idx="20">
                  <c:v>720.69132105233962</c:v>
                </c:pt>
                <c:pt idx="21">
                  <c:v>907.72537981185394</c:v>
                </c:pt>
                <c:pt idx="22">
                  <c:v>2080.3405279106382</c:v>
                </c:pt>
                <c:pt idx="23">
                  <c:v>2071.0357635072796</c:v>
                </c:pt>
                <c:pt idx="24">
                  <c:v>1645.3172901389632</c:v>
                </c:pt>
                <c:pt idx="25">
                  <c:v>1553.3510188338412</c:v>
                </c:pt>
                <c:pt idx="26">
                  <c:v>2283.0119370215161</c:v>
                </c:pt>
                <c:pt idx="27">
                  <c:v>2416.4325795814093</c:v>
                </c:pt>
                <c:pt idx="28">
                  <c:v>2090.196038220738</c:v>
                </c:pt>
                <c:pt idx="29">
                  <c:v>1670.4192927883753</c:v>
                </c:pt>
                <c:pt idx="30">
                  <c:v>1356.3325791958575</c:v>
                </c:pt>
                <c:pt idx="31">
                  <c:v>1119.5962484666663</c:v>
                </c:pt>
                <c:pt idx="32">
                  <c:v>940.39294831126585</c:v>
                </c:pt>
                <c:pt idx="33">
                  <c:v>824.28666146461865</c:v>
                </c:pt>
                <c:pt idx="34">
                  <c:v>972.08745613345798</c:v>
                </c:pt>
                <c:pt idx="35">
                  <c:v>1630.6470637300861</c:v>
                </c:pt>
                <c:pt idx="36">
                  <c:v>2091.6370123989941</c:v>
                </c:pt>
                <c:pt idx="37">
                  <c:v>1975.0174366272831</c:v>
                </c:pt>
                <c:pt idx="38">
                  <c:v>1630.9529658125257</c:v>
                </c:pt>
                <c:pt idx="39">
                  <c:v>1523.1591402149256</c:v>
                </c:pt>
                <c:pt idx="40">
                  <c:v>1500.2988392910479</c:v>
                </c:pt>
                <c:pt idx="41">
                  <c:v>1375.0238405121861</c:v>
                </c:pt>
                <c:pt idx="42">
                  <c:v>1297.3332799734665</c:v>
                </c:pt>
                <c:pt idx="43">
                  <c:v>1500.366921231793</c:v>
                </c:pt>
                <c:pt idx="44">
                  <c:v>1594.656302100771</c:v>
                </c:pt>
                <c:pt idx="45">
                  <c:v>1321.62129691363</c:v>
                </c:pt>
                <c:pt idx="46">
                  <c:v>1118.9334785197007</c:v>
                </c:pt>
                <c:pt idx="47">
                  <c:v>965.85448168090568</c:v>
                </c:pt>
                <c:pt idx="48">
                  <c:v>876.61158132788159</c:v>
                </c:pt>
                <c:pt idx="49">
                  <c:v>1518.8428578188712</c:v>
                </c:pt>
                <c:pt idx="50">
                  <c:v>3525.2346708135688</c:v>
                </c:pt>
                <c:pt idx="51">
                  <c:v>5536.6077408235496</c:v>
                </c:pt>
                <c:pt idx="52">
                  <c:v>5225.3973801534266</c:v>
                </c:pt>
                <c:pt idx="53">
                  <c:v>4066.6905150909679</c:v>
                </c:pt>
                <c:pt idx="54">
                  <c:v>3198.0428840034219</c:v>
                </c:pt>
                <c:pt idx="55">
                  <c:v>2544.3425180708177</c:v>
                </c:pt>
                <c:pt idx="56">
                  <c:v>2051.9164596576461</c:v>
                </c:pt>
                <c:pt idx="57">
                  <c:v>1680.2846591961256</c:v>
                </c:pt>
                <c:pt idx="58">
                  <c:v>1399.3595643388492</c:v>
                </c:pt>
                <c:pt idx="59">
                  <c:v>1186.5161412819186</c:v>
                </c:pt>
                <c:pt idx="60">
                  <c:v>1058.7288535044495</c:v>
                </c:pt>
                <c:pt idx="61">
                  <c:v>1166.9321409923896</c:v>
                </c:pt>
                <c:pt idx="62">
                  <c:v>1479.5368293329045</c:v>
                </c:pt>
                <c:pt idx="63">
                  <c:v>1370.3699262837938</c:v>
                </c:pt>
                <c:pt idx="64">
                  <c:v>1175.0849711097492</c:v>
                </c:pt>
                <c:pt idx="65">
                  <c:v>1020.4532895832325</c:v>
                </c:pt>
                <c:pt idx="66">
                  <c:v>914.59932058221477</c:v>
                </c:pt>
                <c:pt idx="67">
                  <c:v>877.2741321966181</c:v>
                </c:pt>
                <c:pt idx="68">
                  <c:v>821.97080779313762</c:v>
                </c:pt>
                <c:pt idx="69">
                  <c:v>756.5810276013957</c:v>
                </c:pt>
                <c:pt idx="70">
                  <c:v>865.74722446489363</c:v>
                </c:pt>
                <c:pt idx="71">
                  <c:v>1943.6187262418196</c:v>
                </c:pt>
                <c:pt idx="72">
                  <c:v>4955.7725828915236</c:v>
                </c:pt>
                <c:pt idx="73">
                  <c:v>7310.9762348492059</c:v>
                </c:pt>
                <c:pt idx="74">
                  <c:v>8256.5567909172823</c:v>
                </c:pt>
                <c:pt idx="75">
                  <c:v>6937.9218465075055</c:v>
                </c:pt>
                <c:pt idx="76">
                  <c:v>5431.3455143473811</c:v>
                </c:pt>
                <c:pt idx="77">
                  <c:v>4277.3602128907169</c:v>
                </c:pt>
                <c:pt idx="78">
                  <c:v>3379.3675536213082</c:v>
                </c:pt>
                <c:pt idx="79">
                  <c:v>2705.4216248144094</c:v>
                </c:pt>
                <c:pt idx="80">
                  <c:v>2198.7819194614367</c:v>
                </c:pt>
                <c:pt idx="81">
                  <c:v>1817.1152939118979</c:v>
                </c:pt>
                <c:pt idx="82">
                  <c:v>1536.0709414956357</c:v>
                </c:pt>
                <c:pt idx="83">
                  <c:v>1545.7835038757278</c:v>
                </c:pt>
                <c:pt idx="84">
                  <c:v>2008.8539596842038</c:v>
                </c:pt>
                <c:pt idx="85">
                  <c:v>2259.8860601760221</c:v>
                </c:pt>
                <c:pt idx="86">
                  <c:v>2203.7828387721243</c:v>
                </c:pt>
                <c:pt idx="87">
                  <c:v>1965.4269321361023</c:v>
                </c:pt>
                <c:pt idx="88">
                  <c:v>1811.0652278548298</c:v>
                </c:pt>
                <c:pt idx="89">
                  <c:v>1787.8770729763921</c:v>
                </c:pt>
                <c:pt idx="90">
                  <c:v>1935.1473697059553</c:v>
                </c:pt>
                <c:pt idx="91">
                  <c:v>1986.8383470073657</c:v>
                </c:pt>
                <c:pt idx="92">
                  <c:v>2325.1185709310826</c:v>
                </c:pt>
                <c:pt idx="93">
                  <c:v>3202.3395275728517</c:v>
                </c:pt>
                <c:pt idx="94">
                  <c:v>3510.8756411033551</c:v>
                </c:pt>
                <c:pt idx="95">
                  <c:v>4033.2046128064485</c:v>
                </c:pt>
                <c:pt idx="96">
                  <c:v>4773.5005148075325</c:v>
                </c:pt>
                <c:pt idx="97">
                  <c:v>5695.5172955738262</c:v>
                </c:pt>
                <c:pt idx="98">
                  <c:v>5132.0449433918702</c:v>
                </c:pt>
                <c:pt idx="99">
                  <c:v>4428.0445113465776</c:v>
                </c:pt>
                <c:pt idx="100">
                  <c:v>3532.7302318108168</c:v>
                </c:pt>
                <c:pt idx="101">
                  <c:v>2861.4225665461709</c:v>
                </c:pt>
                <c:pt idx="102">
                  <c:v>2355.9846230912626</c:v>
                </c:pt>
                <c:pt idx="103">
                  <c:v>1975.0831985635255</c:v>
                </c:pt>
                <c:pt idx="104">
                  <c:v>1687.4665259029182</c:v>
                </c:pt>
                <c:pt idx="105">
                  <c:v>1469.8231185526186</c:v>
                </c:pt>
                <c:pt idx="106">
                  <c:v>1304.6729905509453</c:v>
                </c:pt>
                <c:pt idx="107">
                  <c:v>1187.9482242448214</c:v>
                </c:pt>
                <c:pt idx="108">
                  <c:v>1103.7001415834798</c:v>
                </c:pt>
                <c:pt idx="109">
                  <c:v>1038.4816173892887</c:v>
                </c:pt>
                <c:pt idx="110">
                  <c:v>1003.1975341113729</c:v>
                </c:pt>
                <c:pt idx="111">
                  <c:v>1167.5275982255639</c:v>
                </c:pt>
                <c:pt idx="112">
                  <c:v>1358.5702870216721</c:v>
                </c:pt>
                <c:pt idx="113">
                  <c:v>1698.7433182638597</c:v>
                </c:pt>
                <c:pt idx="114">
                  <c:v>1531.3591094719095</c:v>
                </c:pt>
                <c:pt idx="115">
                  <c:v>1355.2328377454887</c:v>
                </c:pt>
                <c:pt idx="116">
                  <c:v>1224.0677198875781</c:v>
                </c:pt>
                <c:pt idx="117">
                  <c:v>1126.7852072573241</c:v>
                </c:pt>
                <c:pt idx="118">
                  <c:v>1065.0984885005582</c:v>
                </c:pt>
                <c:pt idx="119">
                  <c:v>1004.9035117708617</c:v>
                </c:pt>
                <c:pt idx="120">
                  <c:v>959.99128053710399</c:v>
                </c:pt>
                <c:pt idx="121">
                  <c:v>925.71844999602047</c:v>
                </c:pt>
                <c:pt idx="122">
                  <c:v>898.45466650071876</c:v>
                </c:pt>
                <c:pt idx="123">
                  <c:v>876.31155922646462</c:v>
                </c:pt>
                <c:pt idx="124">
                  <c:v>857.84027854169426</c:v>
                </c:pt>
                <c:pt idx="125">
                  <c:v>841.90093065073779</c:v>
                </c:pt>
                <c:pt idx="126">
                  <c:v>827.75996917886971</c:v>
                </c:pt>
                <c:pt idx="127">
                  <c:v>814.88091271802989</c:v>
                </c:pt>
                <c:pt idx="128">
                  <c:v>802.87383020088964</c:v>
                </c:pt>
                <c:pt idx="129">
                  <c:v>791.45750032375531</c:v>
                </c:pt>
                <c:pt idx="130">
                  <c:v>780.43110514121793</c:v>
                </c:pt>
                <c:pt idx="131">
                  <c:v>769.65308744276774</c:v>
                </c:pt>
                <c:pt idx="132">
                  <c:v>759.02538488633309</c:v>
                </c:pt>
                <c:pt idx="133">
                  <c:v>748.48169523450224</c:v>
                </c:pt>
                <c:pt idx="134">
                  <c:v>737.97876044532973</c:v>
                </c:pt>
                <c:pt idx="135">
                  <c:v>727.48990889267679</c:v>
                </c:pt>
                <c:pt idx="136">
                  <c:v>717.0002845332757</c:v>
                </c:pt>
                <c:pt idx="137">
                  <c:v>706.50333453673124</c:v>
                </c:pt>
                <c:pt idx="138">
                  <c:v>696.1858674246821</c:v>
                </c:pt>
                <c:pt idx="139">
                  <c:v>686.07967412222729</c:v>
                </c:pt>
                <c:pt idx="140">
                  <c:v>676.16578089291102</c:v>
                </c:pt>
                <c:pt idx="141">
                  <c:v>666.42944273141086</c:v>
                </c:pt>
                <c:pt idx="142">
                  <c:v>656.85910166309088</c:v>
                </c:pt>
                <c:pt idx="143">
                  <c:v>647.44560322629661</c:v>
                </c:pt>
                <c:pt idx="144">
                  <c:v>638.18160712495785</c:v>
                </c:pt>
                <c:pt idx="145">
                  <c:v>629.06114391027563</c:v>
                </c:pt>
                <c:pt idx="146">
                  <c:v>620.07928148638996</c:v>
                </c:pt>
                <c:pt idx="147">
                  <c:v>611.23187421159082</c:v>
                </c:pt>
                <c:pt idx="148">
                  <c:v>602.5153741176357</c:v>
                </c:pt>
                <c:pt idx="149">
                  <c:v>593.92668884689203</c:v>
                </c:pt>
                <c:pt idx="150">
                  <c:v>585.46307472535</c:v>
                </c:pt>
                <c:pt idx="151">
                  <c:v>577.12205626116031</c:v>
                </c:pt>
                <c:pt idx="152">
                  <c:v>568.90136551798003</c:v>
                </c:pt>
                <c:pt idx="153">
                  <c:v>560.79889643657168</c:v>
                </c:pt>
                <c:pt idx="154">
                  <c:v>552.81267039957731</c:v>
                </c:pt>
                <c:pt idx="155">
                  <c:v>544.94081025300568</c:v>
                </c:pt>
                <c:pt idx="156">
                  <c:v>537.18152068883444</c:v>
                </c:pt>
                <c:pt idx="157">
                  <c:v>529.5330734126876</c:v>
                </c:pt>
                <c:pt idx="158">
                  <c:v>521.99379591130264</c:v>
                </c:pt>
                <c:pt idx="159">
                  <c:v>514.562062928361</c:v>
                </c:pt>
                <c:pt idx="160">
                  <c:v>507.23628997826211</c:v>
                </c:pt>
                <c:pt idx="161">
                  <c:v>500.01492839362794</c:v>
                </c:pt>
                <c:pt idx="162">
                  <c:v>492.89646152732644</c:v>
                </c:pt>
                <c:pt idx="163">
                  <c:v>485.87940182380538</c:v>
                </c:pt>
                <c:pt idx="164">
                  <c:v>478.96228854523264</c:v>
                </c:pt>
                <c:pt idx="165">
                  <c:v>472.14368599110276</c:v>
                </c:pt>
                <c:pt idx="166">
                  <c:v>465.42218208996422</c:v>
                </c:pt>
                <c:pt idx="167">
                  <c:v>458.79638727198574</c:v>
                </c:pt>
                <c:pt idx="168">
                  <c:v>452.2649335537094</c:v>
                </c:pt>
                <c:pt idx="169">
                  <c:v>445.82647378333291</c:v>
                </c:pt>
                <c:pt idx="170">
                  <c:v>439.47968100767105</c:v>
                </c:pt>
                <c:pt idx="171">
                  <c:v>433.2232479315536</c:v>
                </c:pt>
                <c:pt idx="172">
                  <c:v>427.05588644766334</c:v>
                </c:pt>
                <c:pt idx="173">
                  <c:v>420.97632722025213</c:v>
                </c:pt>
                <c:pt idx="174">
                  <c:v>414.98331931027053</c:v>
                </c:pt>
                <c:pt idx="175">
                  <c:v>409.07562983252171</c:v>
                </c:pt>
                <c:pt idx="176">
                  <c:v>403.25204363776777</c:v>
                </c:pt>
                <c:pt idx="177">
                  <c:v>397.5113630144553</c:v>
                </c:pt>
                <c:pt idx="178">
                  <c:v>391.85240740604041</c:v>
                </c:pt>
                <c:pt idx="179">
                  <c:v>386.27401314087427</c:v>
                </c:pt>
                <c:pt idx="180">
                  <c:v>380.77503317235545</c:v>
                </c:pt>
                <c:pt idx="181">
                  <c:v>375.3543368276097</c:v>
                </c:pt>
                <c:pt idx="182">
                  <c:v>370.01080956337915</c:v>
                </c:pt>
                <c:pt idx="183">
                  <c:v>364.743352728118</c:v>
                </c:pt>
                <c:pt idx="184">
                  <c:v>359.55088332952835</c:v>
                </c:pt>
                <c:pt idx="185">
                  <c:v>354.43233380695091</c:v>
                </c:pt>
                <c:pt idx="186">
                  <c:v>349.38665180815684</c:v>
                </c:pt>
                <c:pt idx="187">
                  <c:v>344.41279997019171</c:v>
                </c:pt>
                <c:pt idx="188">
                  <c:v>339.5097557039951</c:v>
                </c:pt>
                <c:pt idx="189">
                  <c:v>334.67651098258204</c:v>
                </c:pt>
                <c:pt idx="190">
                  <c:v>329.91207213261043</c:v>
                </c:pt>
                <c:pt idx="191">
                  <c:v>325.21545962919595</c:v>
                </c:pt>
                <c:pt idx="192">
                  <c:v>320.58570789385669</c:v>
                </c:pt>
                <c:pt idx="193">
                  <c:v>316.02186509549477</c:v>
                </c:pt>
                <c:pt idx="194">
                  <c:v>311.52299295432744</c:v>
                </c:pt>
                <c:pt idx="195">
                  <c:v>307.08816654870071</c:v>
                </c:pt>
                <c:pt idx="196">
                  <c:v>302.71647412471964</c:v>
                </c:pt>
                <c:pt idx="197">
                  <c:v>298.40701690863892</c:v>
                </c:pt>
                <c:pt idx="198">
                  <c:v>294.1589089219633</c:v>
                </c:pt>
                <c:pt idx="199">
                  <c:v>289.97127679920806</c:v>
                </c:pt>
                <c:pt idx="200">
                  <c:v>285.84325960827533</c:v>
                </c:pt>
                <c:pt idx="201">
                  <c:v>281.7740086734043</c:v>
                </c:pt>
                <c:pt idx="202">
                  <c:v>277.76268740065331</c:v>
                </c:pt>
                <c:pt idx="203">
                  <c:v>273.80847110587627</c:v>
                </c:pt>
                <c:pt idx="204">
                  <c:v>269.91054684515433</c:v>
                </c:pt>
                <c:pt idx="205">
                  <c:v>266.06811324764664</c:v>
                </c:pt>
                <c:pt idx="206">
                  <c:v>262.2803803508254</c:v>
                </c:pt>
                <c:pt idx="207">
                  <c:v>258.54656943805799</c:v>
                </c:pt>
                <c:pt idx="208">
                  <c:v>254.86591287850504</c:v>
                </c:pt>
                <c:pt idx="209">
                  <c:v>251.23765396929784</c:v>
                </c:pt>
                <c:pt idx="210">
                  <c:v>247.6610467799652</c:v>
                </c:pt>
                <c:pt idx="211">
                  <c:v>244.1353559990747</c:v>
                </c:pt>
                <c:pt idx="212">
                  <c:v>240.65985678305881</c:v>
                </c:pt>
                <c:pt idx="213">
                  <c:v>237.2338346071931</c:v>
                </c:pt>
                <c:pt idx="214">
                  <c:v>233.85658511869653</c:v>
                </c:pt>
                <c:pt idx="215">
                  <c:v>230.52741399192308</c:v>
                </c:pt>
                <c:pt idx="216">
                  <c:v>227.24563678561552</c:v>
                </c:pt>
                <c:pt idx="217">
                  <c:v>224.01057880219111</c:v>
                </c:pt>
                <c:pt idx="218">
                  <c:v>220.82157494903058</c:v>
                </c:pt>
                <c:pt idx="219">
                  <c:v>217.67796960174229</c:v>
                </c:pt>
                <c:pt idx="220">
                  <c:v>214.57911646937254</c:v>
                </c:pt>
                <c:pt idx="221">
                  <c:v>211.52437846153515</c:v>
                </c:pt>
                <c:pt idx="222">
                  <c:v>208.51312755743257</c:v>
                </c:pt>
                <c:pt idx="223">
                  <c:v>205.5447446767414</c:v>
                </c:pt>
                <c:pt idx="224">
                  <c:v>202.61861955233627</c:v>
                </c:pt>
                <c:pt idx="225">
                  <c:v>199.73415060482549</c:v>
                </c:pt>
                <c:pt idx="226">
                  <c:v>196.89074481887286</c:v>
                </c:pt>
                <c:pt idx="227">
                  <c:v>194.08781762128012</c:v>
                </c:pt>
                <c:pt idx="228">
                  <c:v>191.32479276080511</c:v>
                </c:pt>
                <c:pt idx="229">
                  <c:v>188.60110218969069</c:v>
                </c:pt>
                <c:pt idx="230">
                  <c:v>185.91618594688052</c:v>
                </c:pt>
                <c:pt idx="231">
                  <c:v>183.26949204289687</c:v>
                </c:pt>
                <c:pt idx="232">
                  <c:v>180.66047634635783</c:v>
                </c:pt>
                <c:pt idx="233">
                  <c:v>178.08860247210978</c:v>
                </c:pt>
                <c:pt idx="234">
                  <c:v>175.55334167095239</c:v>
                </c:pt>
                <c:pt idx="235">
                  <c:v>173.05417272093354</c:v>
                </c:pt>
                <c:pt idx="236">
                  <c:v>170.59058182019189</c:v>
                </c:pt>
                <c:pt idx="237">
                  <c:v>168.16206248132477</c:v>
                </c:pt>
                <c:pt idx="238">
                  <c:v>165.76811542725986</c:v>
                </c:pt>
                <c:pt idx="239">
                  <c:v>163.40824848860913</c:v>
                </c:pt>
                <c:pt idx="240">
                  <c:v>161.08197650248474</c:v>
                </c:pt>
                <c:pt idx="241">
                  <c:v>158.78882121275402</c:v>
                </c:pt>
                <c:pt idx="242">
                  <c:v>156.52831117171596</c:v>
                </c:pt>
                <c:pt idx="243">
                  <c:v>154.29998164317624</c:v>
                </c:pt>
                <c:pt idx="244">
                  <c:v>152.10337450690278</c:v>
                </c:pt>
                <c:pt idx="245">
                  <c:v>149.93803816444108</c:v>
                </c:pt>
                <c:pt idx="246">
                  <c:v>147.80352744627069</c:v>
                </c:pt>
                <c:pt idx="247">
                  <c:v>145.69940352028303</c:v>
                </c:pt>
                <c:pt idx="248">
                  <c:v>143.62523380156227</c:v>
                </c:pt>
                <c:pt idx="249">
                  <c:v>141.58059186345091</c:v>
                </c:pt>
                <c:pt idx="250">
                  <c:v>139.56505734988068</c:v>
                </c:pt>
                <c:pt idx="251">
                  <c:v>137.5782158889522</c:v>
                </c:pt>
                <c:pt idx="252">
                  <c:v>135.61965900774467</c:v>
                </c:pt>
                <c:pt idx="253">
                  <c:v>133.68898404833803</c:v>
                </c:pt>
                <c:pt idx="254">
                  <c:v>131.78579408503117</c:v>
                </c:pt>
                <c:pt idx="255">
                  <c:v>129.90969784273815</c:v>
                </c:pt>
                <c:pt idx="256">
                  <c:v>128.06030961654645</c:v>
                </c:pt>
                <c:pt idx="257">
                  <c:v>126.23724919242012</c:v>
                </c:pt>
                <c:pt idx="258">
                  <c:v>124.44014176903204</c:v>
                </c:pt>
                <c:pt idx="259">
                  <c:v>122.66861788070874</c:v>
                </c:pt>
                <c:pt idx="260">
                  <c:v>120.92231332147236</c:v>
                </c:pt>
                <c:pt idx="261">
                  <c:v>119.20086907016395</c:v>
                </c:pt>
                <c:pt idx="262">
                  <c:v>117.50393121663245</c:v>
                </c:pt>
                <c:pt idx="263">
                  <c:v>115.83115088897483</c:v>
                </c:pt>
                <c:pt idx="264">
                  <c:v>114.18218418181165</c:v>
                </c:pt>
                <c:pt idx="265">
                  <c:v>112.55669208558398</c:v>
                </c:pt>
                <c:pt idx="266">
                  <c:v>110.95434041685675</c:v>
                </c:pt>
                <c:pt idx="267">
                  <c:v>109.37479974961417</c:v>
                </c:pt>
                <c:pt idx="268">
                  <c:v>107.81774534753343</c:v>
                </c:pt>
                <c:pt idx="269">
                  <c:v>106.2828570972225</c:v>
                </c:pt>
                <c:pt idx="270">
                  <c:v>104.76981944240812</c:v>
                </c:pt>
                <c:pt idx="271">
                  <c:v>103.27832131906112</c:v>
                </c:pt>
                <c:pt idx="272">
                  <c:v>101.80805609144487</c:v>
                </c:pt>
                <c:pt idx="273">
                  <c:v>100.3587214890743</c:v>
                </c:pt>
                <c:pt idx="274">
                  <c:v>98.930019544572616</c:v>
                </c:pt>
                <c:pt idx="275">
                  <c:v>97.52165653241218</c:v>
                </c:pt>
                <c:pt idx="276">
                  <c:v>96.133342908528007</c:v>
                </c:pt>
                <c:pt idx="277">
                  <c:v>94.764793250790348</c:v>
                </c:pt>
                <c:pt idx="278">
                  <c:v>93.415726200325366</c:v>
                </c:pt>
                <c:pt idx="279">
                  <c:v>92.085864403670513</c:v>
                </c:pt>
                <c:pt idx="280">
                  <c:v>90.774934455753979</c:v>
                </c:pt>
                <c:pt idx="281">
                  <c:v>89.482666843685323</c:v>
                </c:pt>
                <c:pt idx="282">
                  <c:v>88.208795891346767</c:v>
                </c:pt>
                <c:pt idx="283">
                  <c:v>86.953059704772883</c:v>
                </c:pt>
                <c:pt idx="284">
                  <c:v>85.715200118308289</c:v>
                </c:pt>
                <c:pt idx="285">
                  <c:v>84.494962641531444</c:v>
                </c:pt>
                <c:pt idx="286">
                  <c:v>83.292096406934249</c:v>
                </c:pt>
                <c:pt idx="287">
                  <c:v>82.10635411834636</c:v>
                </c:pt>
                <c:pt idx="288">
                  <c:v>80.93749200009394</c:v>
                </c:pt>
                <c:pt idx="289">
                  <c:v>79.785269746881866</c:v>
                </c:pt>
                <c:pt idx="290">
                  <c:v>78.649450474389724</c:v>
                </c:pt>
                <c:pt idx="291">
                  <c:v>77.529800670570907</c:v>
                </c:pt>
                <c:pt idx="292">
                  <c:v>76.426090147645112</c:v>
                </c:pt>
                <c:pt idx="293">
                  <c:v>75.338091994774175</c:v>
                </c:pt>
                <c:pt idx="294">
                  <c:v>74.265582531411809</c:v>
                </c:pt>
                <c:pt idx="295">
                  <c:v>73.208341261317216</c:v>
                </c:pt>
                <c:pt idx="296">
                  <c:v>72.166150827223518</c:v>
                </c:pt>
                <c:pt idx="297">
                  <c:v>71.13879696615146</c:v>
                </c:pt>
                <c:pt idx="298">
                  <c:v>70.126068465359268</c:v>
                </c:pt>
                <c:pt idx="299">
                  <c:v>69.127757118919661</c:v>
                </c:pt>
                <c:pt idx="300">
                  <c:v>68.143657684914885</c:v>
                </c:pt>
                <c:pt idx="301">
                  <c:v>67.173567843241329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5-7962-472F-AA71-0D0B241EB14C}"/>
            </c:ext>
          </c:extLst>
        </c:ser>
        <c:ser>
          <c:idx val="1"/>
          <c:order val="2"/>
          <c:tx>
            <c:v>Q calc</c:v>
          </c:tx>
          <c:spPr>
            <a:ln>
              <a:solidFill>
                <a:schemeClr val="accent2"/>
              </a:solidFill>
            </a:ln>
          </c:spPr>
          <c:marker>
            <c:symbol val="square"/>
            <c:size val="4"/>
            <c:spPr>
              <a:ln>
                <a:solidFill>
                  <a:schemeClr val="accent2"/>
                </a:solidFill>
              </a:ln>
            </c:spPr>
          </c:marker>
          <c:cat>
            <c:numRef>
              <c:f>Operacional_9_meses!$A$24:$A$325</c:f>
              <c:numCache>
                <c:formatCode>m/d/yyyy</c:formatCode>
                <c:ptCount val="302"/>
                <c:pt idx="0">
                  <c:v>42429</c:v>
                </c:pt>
                <c:pt idx="1">
                  <c:v>42430</c:v>
                </c:pt>
                <c:pt idx="2">
                  <c:v>42431</c:v>
                </c:pt>
                <c:pt idx="3">
                  <c:v>42432</c:v>
                </c:pt>
                <c:pt idx="4">
                  <c:v>42433</c:v>
                </c:pt>
                <c:pt idx="5">
                  <c:v>42434</c:v>
                </c:pt>
                <c:pt idx="6">
                  <c:v>42435</c:v>
                </c:pt>
                <c:pt idx="7">
                  <c:v>42436</c:v>
                </c:pt>
                <c:pt idx="8">
                  <c:v>42437</c:v>
                </c:pt>
                <c:pt idx="9">
                  <c:v>42438</c:v>
                </c:pt>
                <c:pt idx="10">
                  <c:v>42439</c:v>
                </c:pt>
                <c:pt idx="11">
                  <c:v>42440</c:v>
                </c:pt>
                <c:pt idx="12">
                  <c:v>42441</c:v>
                </c:pt>
                <c:pt idx="13">
                  <c:v>42442</c:v>
                </c:pt>
                <c:pt idx="14">
                  <c:v>42443</c:v>
                </c:pt>
                <c:pt idx="15">
                  <c:v>42444</c:v>
                </c:pt>
                <c:pt idx="16">
                  <c:v>42445</c:v>
                </c:pt>
                <c:pt idx="17">
                  <c:v>42446</c:v>
                </c:pt>
                <c:pt idx="18">
                  <c:v>42447</c:v>
                </c:pt>
                <c:pt idx="19">
                  <c:v>42448</c:v>
                </c:pt>
                <c:pt idx="20">
                  <c:v>42449</c:v>
                </c:pt>
                <c:pt idx="21">
                  <c:v>42450</c:v>
                </c:pt>
                <c:pt idx="22">
                  <c:v>42451</c:v>
                </c:pt>
                <c:pt idx="23">
                  <c:v>42452</c:v>
                </c:pt>
                <c:pt idx="24">
                  <c:v>42453</c:v>
                </c:pt>
                <c:pt idx="25">
                  <c:v>42454</c:v>
                </c:pt>
                <c:pt idx="26">
                  <c:v>42455</c:v>
                </c:pt>
                <c:pt idx="27">
                  <c:v>42456</c:v>
                </c:pt>
                <c:pt idx="28">
                  <c:v>42457</c:v>
                </c:pt>
                <c:pt idx="29">
                  <c:v>42458</c:v>
                </c:pt>
                <c:pt idx="30">
                  <c:v>42459</c:v>
                </c:pt>
                <c:pt idx="31">
                  <c:v>42460</c:v>
                </c:pt>
                <c:pt idx="32">
                  <c:v>42461</c:v>
                </c:pt>
                <c:pt idx="33">
                  <c:v>42462</c:v>
                </c:pt>
                <c:pt idx="34">
                  <c:v>42463</c:v>
                </c:pt>
                <c:pt idx="35">
                  <c:v>42464</c:v>
                </c:pt>
                <c:pt idx="36">
                  <c:v>42465</c:v>
                </c:pt>
                <c:pt idx="37">
                  <c:v>42466</c:v>
                </c:pt>
                <c:pt idx="38">
                  <c:v>42467</c:v>
                </c:pt>
                <c:pt idx="39">
                  <c:v>42468</c:v>
                </c:pt>
                <c:pt idx="40">
                  <c:v>42469</c:v>
                </c:pt>
                <c:pt idx="41">
                  <c:v>42470</c:v>
                </c:pt>
                <c:pt idx="42">
                  <c:v>42471</c:v>
                </c:pt>
                <c:pt idx="43">
                  <c:v>42472</c:v>
                </c:pt>
                <c:pt idx="44">
                  <c:v>42473</c:v>
                </c:pt>
                <c:pt idx="45">
                  <c:v>42474</c:v>
                </c:pt>
                <c:pt idx="46">
                  <c:v>42475</c:v>
                </c:pt>
                <c:pt idx="47">
                  <c:v>42476</c:v>
                </c:pt>
                <c:pt idx="48">
                  <c:v>42477</c:v>
                </c:pt>
                <c:pt idx="49">
                  <c:v>42478</c:v>
                </c:pt>
                <c:pt idx="50">
                  <c:v>42479</c:v>
                </c:pt>
                <c:pt idx="51">
                  <c:v>42480</c:v>
                </c:pt>
                <c:pt idx="52">
                  <c:v>42481</c:v>
                </c:pt>
                <c:pt idx="53">
                  <c:v>42482</c:v>
                </c:pt>
                <c:pt idx="54">
                  <c:v>42483</c:v>
                </c:pt>
                <c:pt idx="55">
                  <c:v>42484</c:v>
                </c:pt>
                <c:pt idx="56">
                  <c:v>42485</c:v>
                </c:pt>
                <c:pt idx="57">
                  <c:v>42486</c:v>
                </c:pt>
                <c:pt idx="58">
                  <c:v>42487</c:v>
                </c:pt>
                <c:pt idx="59">
                  <c:v>42488</c:v>
                </c:pt>
                <c:pt idx="60">
                  <c:v>42489</c:v>
                </c:pt>
                <c:pt idx="61">
                  <c:v>42490</c:v>
                </c:pt>
                <c:pt idx="62">
                  <c:v>42491</c:v>
                </c:pt>
                <c:pt idx="63">
                  <c:v>42492</c:v>
                </c:pt>
                <c:pt idx="64">
                  <c:v>42493</c:v>
                </c:pt>
                <c:pt idx="65">
                  <c:v>42494</c:v>
                </c:pt>
                <c:pt idx="66">
                  <c:v>42495</c:v>
                </c:pt>
                <c:pt idx="67">
                  <c:v>42496</c:v>
                </c:pt>
                <c:pt idx="68">
                  <c:v>42497</c:v>
                </c:pt>
                <c:pt idx="69">
                  <c:v>42498</c:v>
                </c:pt>
                <c:pt idx="70">
                  <c:v>42499</c:v>
                </c:pt>
                <c:pt idx="71">
                  <c:v>42500</c:v>
                </c:pt>
                <c:pt idx="72">
                  <c:v>42501</c:v>
                </c:pt>
                <c:pt idx="73">
                  <c:v>42502</c:v>
                </c:pt>
                <c:pt idx="74">
                  <c:v>42503</c:v>
                </c:pt>
                <c:pt idx="75">
                  <c:v>42504</c:v>
                </c:pt>
                <c:pt idx="76">
                  <c:v>42505</c:v>
                </c:pt>
                <c:pt idx="77">
                  <c:v>42506</c:v>
                </c:pt>
                <c:pt idx="78">
                  <c:v>42507</c:v>
                </c:pt>
                <c:pt idx="79">
                  <c:v>42508</c:v>
                </c:pt>
                <c:pt idx="80">
                  <c:v>42509</c:v>
                </c:pt>
                <c:pt idx="81">
                  <c:v>42510</c:v>
                </c:pt>
                <c:pt idx="82">
                  <c:v>42511</c:v>
                </c:pt>
                <c:pt idx="83">
                  <c:v>42512</c:v>
                </c:pt>
                <c:pt idx="84">
                  <c:v>42513</c:v>
                </c:pt>
                <c:pt idx="85">
                  <c:v>42514</c:v>
                </c:pt>
                <c:pt idx="86">
                  <c:v>42515</c:v>
                </c:pt>
                <c:pt idx="87">
                  <c:v>42516</c:v>
                </c:pt>
                <c:pt idx="88">
                  <c:v>42517</c:v>
                </c:pt>
                <c:pt idx="89">
                  <c:v>42518</c:v>
                </c:pt>
                <c:pt idx="90">
                  <c:v>42519</c:v>
                </c:pt>
                <c:pt idx="91">
                  <c:v>42520</c:v>
                </c:pt>
                <c:pt idx="92">
                  <c:v>42521</c:v>
                </c:pt>
                <c:pt idx="93">
                  <c:v>42522</c:v>
                </c:pt>
                <c:pt idx="94">
                  <c:v>42523</c:v>
                </c:pt>
                <c:pt idx="95">
                  <c:v>42524</c:v>
                </c:pt>
                <c:pt idx="96">
                  <c:v>42525</c:v>
                </c:pt>
                <c:pt idx="97">
                  <c:v>42526</c:v>
                </c:pt>
                <c:pt idx="98">
                  <c:v>42527</c:v>
                </c:pt>
                <c:pt idx="99">
                  <c:v>42528</c:v>
                </c:pt>
                <c:pt idx="100">
                  <c:v>42529</c:v>
                </c:pt>
                <c:pt idx="101">
                  <c:v>42530</c:v>
                </c:pt>
                <c:pt idx="102">
                  <c:v>42531</c:v>
                </c:pt>
                <c:pt idx="103">
                  <c:v>42532</c:v>
                </c:pt>
                <c:pt idx="104">
                  <c:v>42533</c:v>
                </c:pt>
                <c:pt idx="105">
                  <c:v>42534</c:v>
                </c:pt>
                <c:pt idx="106">
                  <c:v>42535</c:v>
                </c:pt>
                <c:pt idx="107">
                  <c:v>42536</c:v>
                </c:pt>
                <c:pt idx="108">
                  <c:v>42537</c:v>
                </c:pt>
                <c:pt idx="109">
                  <c:v>42538</c:v>
                </c:pt>
                <c:pt idx="110">
                  <c:v>42539</c:v>
                </c:pt>
                <c:pt idx="111">
                  <c:v>42540</c:v>
                </c:pt>
                <c:pt idx="112">
                  <c:v>42541</c:v>
                </c:pt>
                <c:pt idx="113">
                  <c:v>42542</c:v>
                </c:pt>
                <c:pt idx="114">
                  <c:v>42543</c:v>
                </c:pt>
                <c:pt idx="115">
                  <c:v>42544</c:v>
                </c:pt>
                <c:pt idx="116">
                  <c:v>42545</c:v>
                </c:pt>
                <c:pt idx="117">
                  <c:v>42546</c:v>
                </c:pt>
                <c:pt idx="118">
                  <c:v>42547</c:v>
                </c:pt>
                <c:pt idx="119">
                  <c:v>42548</c:v>
                </c:pt>
                <c:pt idx="120">
                  <c:v>42549</c:v>
                </c:pt>
                <c:pt idx="121">
                  <c:v>42550</c:v>
                </c:pt>
                <c:pt idx="122">
                  <c:v>42551</c:v>
                </c:pt>
                <c:pt idx="123">
                  <c:v>42552</c:v>
                </c:pt>
                <c:pt idx="124">
                  <c:v>42553</c:v>
                </c:pt>
                <c:pt idx="125">
                  <c:v>42554</c:v>
                </c:pt>
                <c:pt idx="126">
                  <c:v>42555</c:v>
                </c:pt>
                <c:pt idx="127">
                  <c:v>42556</c:v>
                </c:pt>
                <c:pt idx="128">
                  <c:v>42557</c:v>
                </c:pt>
                <c:pt idx="129">
                  <c:v>42558</c:v>
                </c:pt>
                <c:pt idx="130">
                  <c:v>42559</c:v>
                </c:pt>
                <c:pt idx="131">
                  <c:v>42560</c:v>
                </c:pt>
                <c:pt idx="132">
                  <c:v>42561</c:v>
                </c:pt>
                <c:pt idx="133">
                  <c:v>42562</c:v>
                </c:pt>
                <c:pt idx="134">
                  <c:v>42563</c:v>
                </c:pt>
                <c:pt idx="135">
                  <c:v>42564</c:v>
                </c:pt>
                <c:pt idx="136">
                  <c:v>42565</c:v>
                </c:pt>
                <c:pt idx="137">
                  <c:v>42566</c:v>
                </c:pt>
                <c:pt idx="138">
                  <c:v>42567</c:v>
                </c:pt>
                <c:pt idx="139">
                  <c:v>42568</c:v>
                </c:pt>
                <c:pt idx="140">
                  <c:v>42569</c:v>
                </c:pt>
                <c:pt idx="141">
                  <c:v>42570</c:v>
                </c:pt>
                <c:pt idx="142">
                  <c:v>42571</c:v>
                </c:pt>
                <c:pt idx="143">
                  <c:v>42572</c:v>
                </c:pt>
                <c:pt idx="144">
                  <c:v>42573</c:v>
                </c:pt>
                <c:pt idx="145">
                  <c:v>42574</c:v>
                </c:pt>
                <c:pt idx="146">
                  <c:v>42575</c:v>
                </c:pt>
                <c:pt idx="147">
                  <c:v>42576</c:v>
                </c:pt>
                <c:pt idx="148">
                  <c:v>42577</c:v>
                </c:pt>
                <c:pt idx="149">
                  <c:v>42578</c:v>
                </c:pt>
                <c:pt idx="150">
                  <c:v>42579</c:v>
                </c:pt>
                <c:pt idx="151">
                  <c:v>42580</c:v>
                </c:pt>
                <c:pt idx="152">
                  <c:v>42581</c:v>
                </c:pt>
                <c:pt idx="153">
                  <c:v>42582</c:v>
                </c:pt>
                <c:pt idx="154">
                  <c:v>42583</c:v>
                </c:pt>
                <c:pt idx="155">
                  <c:v>42584</c:v>
                </c:pt>
                <c:pt idx="156">
                  <c:v>42585</c:v>
                </c:pt>
                <c:pt idx="157">
                  <c:v>42586</c:v>
                </c:pt>
                <c:pt idx="158">
                  <c:v>42587</c:v>
                </c:pt>
                <c:pt idx="159">
                  <c:v>42588</c:v>
                </c:pt>
                <c:pt idx="160">
                  <c:v>42589</c:v>
                </c:pt>
                <c:pt idx="161">
                  <c:v>42590</c:v>
                </c:pt>
                <c:pt idx="162">
                  <c:v>42591</c:v>
                </c:pt>
                <c:pt idx="163">
                  <c:v>42592</c:v>
                </c:pt>
                <c:pt idx="164">
                  <c:v>42593</c:v>
                </c:pt>
                <c:pt idx="165">
                  <c:v>42594</c:v>
                </c:pt>
                <c:pt idx="166">
                  <c:v>42595</c:v>
                </c:pt>
                <c:pt idx="167">
                  <c:v>42596</c:v>
                </c:pt>
                <c:pt idx="168">
                  <c:v>42597</c:v>
                </c:pt>
                <c:pt idx="169">
                  <c:v>42598</c:v>
                </c:pt>
                <c:pt idx="170">
                  <c:v>42599</c:v>
                </c:pt>
                <c:pt idx="171">
                  <c:v>42600</c:v>
                </c:pt>
                <c:pt idx="172">
                  <c:v>42601</c:v>
                </c:pt>
                <c:pt idx="173">
                  <c:v>42602</c:v>
                </c:pt>
                <c:pt idx="174">
                  <c:v>42603</c:v>
                </c:pt>
                <c:pt idx="175">
                  <c:v>42604</c:v>
                </c:pt>
                <c:pt idx="176">
                  <c:v>42605</c:v>
                </c:pt>
                <c:pt idx="177">
                  <c:v>42606</c:v>
                </c:pt>
                <c:pt idx="178">
                  <c:v>42607</c:v>
                </c:pt>
                <c:pt idx="179">
                  <c:v>42608</c:v>
                </c:pt>
                <c:pt idx="180">
                  <c:v>42609</c:v>
                </c:pt>
                <c:pt idx="181">
                  <c:v>42610</c:v>
                </c:pt>
                <c:pt idx="182">
                  <c:v>42611</c:v>
                </c:pt>
                <c:pt idx="183">
                  <c:v>42612</c:v>
                </c:pt>
                <c:pt idx="184">
                  <c:v>42613</c:v>
                </c:pt>
                <c:pt idx="185">
                  <c:v>42614</c:v>
                </c:pt>
                <c:pt idx="186">
                  <c:v>42615</c:v>
                </c:pt>
                <c:pt idx="187">
                  <c:v>42616</c:v>
                </c:pt>
                <c:pt idx="188">
                  <c:v>42617</c:v>
                </c:pt>
                <c:pt idx="189">
                  <c:v>42618</c:v>
                </c:pt>
                <c:pt idx="190">
                  <c:v>42619</c:v>
                </c:pt>
                <c:pt idx="191">
                  <c:v>42620</c:v>
                </c:pt>
                <c:pt idx="192">
                  <c:v>42621</c:v>
                </c:pt>
                <c:pt idx="193">
                  <c:v>42622</c:v>
                </c:pt>
                <c:pt idx="194">
                  <c:v>42623</c:v>
                </c:pt>
                <c:pt idx="195">
                  <c:v>42624</c:v>
                </c:pt>
                <c:pt idx="196">
                  <c:v>42625</c:v>
                </c:pt>
                <c:pt idx="197">
                  <c:v>42626</c:v>
                </c:pt>
                <c:pt idx="198">
                  <c:v>42627</c:v>
                </c:pt>
                <c:pt idx="199">
                  <c:v>42628</c:v>
                </c:pt>
                <c:pt idx="200">
                  <c:v>42629</c:v>
                </c:pt>
                <c:pt idx="201">
                  <c:v>42630</c:v>
                </c:pt>
                <c:pt idx="202">
                  <c:v>42631</c:v>
                </c:pt>
                <c:pt idx="203">
                  <c:v>42632</c:v>
                </c:pt>
                <c:pt idx="204">
                  <c:v>42633</c:v>
                </c:pt>
                <c:pt idx="205">
                  <c:v>42634</c:v>
                </c:pt>
                <c:pt idx="206">
                  <c:v>42635</c:v>
                </c:pt>
                <c:pt idx="207">
                  <c:v>42636</c:v>
                </c:pt>
                <c:pt idx="208">
                  <c:v>42637</c:v>
                </c:pt>
                <c:pt idx="209">
                  <c:v>42638</c:v>
                </c:pt>
                <c:pt idx="210">
                  <c:v>42639</c:v>
                </c:pt>
                <c:pt idx="211">
                  <c:v>42640</c:v>
                </c:pt>
                <c:pt idx="212">
                  <c:v>42641</c:v>
                </c:pt>
                <c:pt idx="213">
                  <c:v>42642</c:v>
                </c:pt>
                <c:pt idx="214">
                  <c:v>42643</c:v>
                </c:pt>
                <c:pt idx="215">
                  <c:v>42644</c:v>
                </c:pt>
                <c:pt idx="216">
                  <c:v>42645</c:v>
                </c:pt>
                <c:pt idx="217">
                  <c:v>42646</c:v>
                </c:pt>
                <c:pt idx="218">
                  <c:v>42647</c:v>
                </c:pt>
                <c:pt idx="219">
                  <c:v>42648</c:v>
                </c:pt>
                <c:pt idx="220">
                  <c:v>42649</c:v>
                </c:pt>
                <c:pt idx="221">
                  <c:v>42650</c:v>
                </c:pt>
                <c:pt idx="222">
                  <c:v>42651</c:v>
                </c:pt>
                <c:pt idx="223">
                  <c:v>42652</c:v>
                </c:pt>
                <c:pt idx="224">
                  <c:v>42653</c:v>
                </c:pt>
                <c:pt idx="225">
                  <c:v>42654</c:v>
                </c:pt>
                <c:pt idx="226">
                  <c:v>42655</c:v>
                </c:pt>
                <c:pt idx="227">
                  <c:v>42656</c:v>
                </c:pt>
                <c:pt idx="228">
                  <c:v>42657</c:v>
                </c:pt>
                <c:pt idx="229">
                  <c:v>42658</c:v>
                </c:pt>
                <c:pt idx="230">
                  <c:v>42659</c:v>
                </c:pt>
                <c:pt idx="231">
                  <c:v>42660</c:v>
                </c:pt>
                <c:pt idx="232">
                  <c:v>42661</c:v>
                </c:pt>
                <c:pt idx="233">
                  <c:v>42662</c:v>
                </c:pt>
                <c:pt idx="234">
                  <c:v>42663</c:v>
                </c:pt>
                <c:pt idx="235">
                  <c:v>42664</c:v>
                </c:pt>
                <c:pt idx="236">
                  <c:v>42665</c:v>
                </c:pt>
                <c:pt idx="237">
                  <c:v>42666</c:v>
                </c:pt>
                <c:pt idx="238">
                  <c:v>42667</c:v>
                </c:pt>
                <c:pt idx="239">
                  <c:v>42668</c:v>
                </c:pt>
                <c:pt idx="240">
                  <c:v>42669</c:v>
                </c:pt>
                <c:pt idx="241">
                  <c:v>42670</c:v>
                </c:pt>
                <c:pt idx="242">
                  <c:v>42671</c:v>
                </c:pt>
                <c:pt idx="243">
                  <c:v>42672</c:v>
                </c:pt>
                <c:pt idx="244">
                  <c:v>42673</c:v>
                </c:pt>
                <c:pt idx="245">
                  <c:v>42674</c:v>
                </c:pt>
                <c:pt idx="246">
                  <c:v>42675</c:v>
                </c:pt>
                <c:pt idx="247">
                  <c:v>42676</c:v>
                </c:pt>
                <c:pt idx="248">
                  <c:v>42677</c:v>
                </c:pt>
                <c:pt idx="249">
                  <c:v>42678</c:v>
                </c:pt>
                <c:pt idx="250">
                  <c:v>42679</c:v>
                </c:pt>
                <c:pt idx="251">
                  <c:v>42680</c:v>
                </c:pt>
                <c:pt idx="252">
                  <c:v>42681</c:v>
                </c:pt>
                <c:pt idx="253">
                  <c:v>42682</c:v>
                </c:pt>
                <c:pt idx="254">
                  <c:v>42683</c:v>
                </c:pt>
                <c:pt idx="255">
                  <c:v>42684</c:v>
                </c:pt>
                <c:pt idx="256">
                  <c:v>42685</c:v>
                </c:pt>
                <c:pt idx="257">
                  <c:v>42686</c:v>
                </c:pt>
                <c:pt idx="258">
                  <c:v>42687</c:v>
                </c:pt>
                <c:pt idx="259">
                  <c:v>42688</c:v>
                </c:pt>
                <c:pt idx="260">
                  <c:v>42689</c:v>
                </c:pt>
                <c:pt idx="261">
                  <c:v>42690</c:v>
                </c:pt>
                <c:pt idx="262">
                  <c:v>42691</c:v>
                </c:pt>
                <c:pt idx="263">
                  <c:v>42692</c:v>
                </c:pt>
                <c:pt idx="264">
                  <c:v>42693</c:v>
                </c:pt>
                <c:pt idx="265">
                  <c:v>42694</c:v>
                </c:pt>
                <c:pt idx="266">
                  <c:v>42695</c:v>
                </c:pt>
                <c:pt idx="267">
                  <c:v>42696</c:v>
                </c:pt>
                <c:pt idx="268">
                  <c:v>42697</c:v>
                </c:pt>
                <c:pt idx="269">
                  <c:v>42698</c:v>
                </c:pt>
                <c:pt idx="270">
                  <c:v>42699</c:v>
                </c:pt>
                <c:pt idx="271">
                  <c:v>42700</c:v>
                </c:pt>
                <c:pt idx="272">
                  <c:v>42701</c:v>
                </c:pt>
                <c:pt idx="273">
                  <c:v>42702</c:v>
                </c:pt>
                <c:pt idx="274">
                  <c:v>42703</c:v>
                </c:pt>
                <c:pt idx="275">
                  <c:v>42704</c:v>
                </c:pt>
                <c:pt idx="276">
                  <c:v>42705</c:v>
                </c:pt>
                <c:pt idx="277">
                  <c:v>42706</c:v>
                </c:pt>
                <c:pt idx="278">
                  <c:v>42707</c:v>
                </c:pt>
                <c:pt idx="279">
                  <c:v>42708</c:v>
                </c:pt>
                <c:pt idx="280">
                  <c:v>42709</c:v>
                </c:pt>
                <c:pt idx="281">
                  <c:v>42710</c:v>
                </c:pt>
                <c:pt idx="282">
                  <c:v>42711</c:v>
                </c:pt>
                <c:pt idx="283">
                  <c:v>42712</c:v>
                </c:pt>
                <c:pt idx="284">
                  <c:v>42713</c:v>
                </c:pt>
                <c:pt idx="285">
                  <c:v>42714</c:v>
                </c:pt>
                <c:pt idx="286">
                  <c:v>42715</c:v>
                </c:pt>
                <c:pt idx="287">
                  <c:v>42716</c:v>
                </c:pt>
                <c:pt idx="288">
                  <c:v>42717</c:v>
                </c:pt>
                <c:pt idx="289">
                  <c:v>42718</c:v>
                </c:pt>
                <c:pt idx="290">
                  <c:v>42719</c:v>
                </c:pt>
                <c:pt idx="291">
                  <c:v>42720</c:v>
                </c:pt>
                <c:pt idx="292">
                  <c:v>42721</c:v>
                </c:pt>
                <c:pt idx="293">
                  <c:v>42722</c:v>
                </c:pt>
                <c:pt idx="294">
                  <c:v>42723</c:v>
                </c:pt>
                <c:pt idx="295">
                  <c:v>42724</c:v>
                </c:pt>
                <c:pt idx="296">
                  <c:v>42725</c:v>
                </c:pt>
                <c:pt idx="297">
                  <c:v>42726</c:v>
                </c:pt>
                <c:pt idx="298">
                  <c:v>42727</c:v>
                </c:pt>
                <c:pt idx="299">
                  <c:v>42728</c:v>
                </c:pt>
                <c:pt idx="300">
                  <c:v>42729</c:v>
                </c:pt>
                <c:pt idx="301">
                  <c:v>42730</c:v>
                </c:pt>
              </c:numCache>
            </c:numRef>
          </c:cat>
          <c:val>
            <c:numRef>
              <c:f>Operacional_9_meses!$E$24:$E$53</c:f>
              <c:numCache>
                <c:formatCode>0</c:formatCode>
                <c:ptCount val="30"/>
                <c:pt idx="0">
                  <c:v>1049.422528724215</c:v>
                </c:pt>
                <c:pt idx="1">
                  <c:v>862.97064693653431</c:v>
                </c:pt>
                <c:pt idx="2">
                  <c:v>781.87694485499287</c:v>
                </c:pt>
                <c:pt idx="3">
                  <c:v>2015.2835387628393</c:v>
                </c:pt>
                <c:pt idx="4">
                  <c:v>2316.447365852468</c:v>
                </c:pt>
                <c:pt idx="5">
                  <c:v>1949.1376615096544</c:v>
                </c:pt>
                <c:pt idx="6">
                  <c:v>1535.3191391419666</c:v>
                </c:pt>
                <c:pt idx="7">
                  <c:v>1225.7764075248226</c:v>
                </c:pt>
                <c:pt idx="8">
                  <c:v>1002.62722551921</c:v>
                </c:pt>
                <c:pt idx="9">
                  <c:v>1181.3037124829168</c:v>
                </c:pt>
                <c:pt idx="10">
                  <c:v>1710.1463410102242</c:v>
                </c:pt>
                <c:pt idx="11">
                  <c:v>2440.2438718612666</c:v>
                </c:pt>
                <c:pt idx="12">
                  <c:v>2112.1861731406452</c:v>
                </c:pt>
                <c:pt idx="13">
                  <c:v>1772.7470839815267</c:v>
                </c:pt>
                <c:pt idx="14">
                  <c:v>1415.7528971016848</c:v>
                </c:pt>
                <c:pt idx="15">
                  <c:v>1148.6104543408542</c:v>
                </c:pt>
                <c:pt idx="16">
                  <c:v>946.87640018726324</c:v>
                </c:pt>
                <c:pt idx="17">
                  <c:v>794.10919165361429</c:v>
                </c:pt>
                <c:pt idx="18">
                  <c:v>726.41791195110068</c:v>
                </c:pt>
                <c:pt idx="19">
                  <c:v>758.86321682710786</c:v>
                </c:pt>
                <c:pt idx="20">
                  <c:v>720.69132105233962</c:v>
                </c:pt>
                <c:pt idx="21">
                  <c:v>907.72537981185394</c:v>
                </c:pt>
                <c:pt idx="22">
                  <c:v>2080.3405279106382</c:v>
                </c:pt>
                <c:pt idx="23">
                  <c:v>2071.0357635072796</c:v>
                </c:pt>
                <c:pt idx="24">
                  <c:v>1645.3172901389632</c:v>
                </c:pt>
                <c:pt idx="25">
                  <c:v>1553.3510188338412</c:v>
                </c:pt>
                <c:pt idx="26">
                  <c:v>2283.0119370215161</c:v>
                </c:pt>
                <c:pt idx="27">
                  <c:v>2416.4325795814093</c:v>
                </c:pt>
                <c:pt idx="28">
                  <c:v>2090.196038220738</c:v>
                </c:pt>
                <c:pt idx="29">
                  <c:v>1670.4192927883753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6-7962-472F-AA71-0D0B241EB14C}"/>
            </c:ext>
          </c:extLst>
        </c:ser>
        <c:ser>
          <c:idx val="2"/>
          <c:order val="3"/>
          <c:tx>
            <c:v>Escoamento base</c:v>
          </c:tx>
          <c:spPr>
            <a:ln>
              <a:solidFill>
                <a:schemeClr val="accent3"/>
              </a:solidFill>
            </a:ln>
          </c:spPr>
          <c:marker>
            <c:symbol val="square"/>
            <c:size val="4"/>
            <c:spPr>
              <a:ln>
                <a:solidFill>
                  <a:schemeClr val="accent3"/>
                </a:solidFill>
              </a:ln>
            </c:spPr>
          </c:marker>
          <c:cat>
            <c:numRef>
              <c:f>Operacional_9_meses!$A$24:$A$325</c:f>
              <c:numCache>
                <c:formatCode>m/d/yyyy</c:formatCode>
                <c:ptCount val="302"/>
                <c:pt idx="0">
                  <c:v>42429</c:v>
                </c:pt>
                <c:pt idx="1">
                  <c:v>42430</c:v>
                </c:pt>
                <c:pt idx="2">
                  <c:v>42431</c:v>
                </c:pt>
                <c:pt idx="3">
                  <c:v>42432</c:v>
                </c:pt>
                <c:pt idx="4">
                  <c:v>42433</c:v>
                </c:pt>
                <c:pt idx="5">
                  <c:v>42434</c:v>
                </c:pt>
                <c:pt idx="6">
                  <c:v>42435</c:v>
                </c:pt>
                <c:pt idx="7">
                  <c:v>42436</c:v>
                </c:pt>
                <c:pt idx="8">
                  <c:v>42437</c:v>
                </c:pt>
                <c:pt idx="9">
                  <c:v>42438</c:v>
                </c:pt>
                <c:pt idx="10">
                  <c:v>42439</c:v>
                </c:pt>
                <c:pt idx="11">
                  <c:v>42440</c:v>
                </c:pt>
                <c:pt idx="12">
                  <c:v>42441</c:v>
                </c:pt>
                <c:pt idx="13">
                  <c:v>42442</c:v>
                </c:pt>
                <c:pt idx="14">
                  <c:v>42443</c:v>
                </c:pt>
                <c:pt idx="15">
                  <c:v>42444</c:v>
                </c:pt>
                <c:pt idx="16">
                  <c:v>42445</c:v>
                </c:pt>
                <c:pt idx="17">
                  <c:v>42446</c:v>
                </c:pt>
                <c:pt idx="18">
                  <c:v>42447</c:v>
                </c:pt>
                <c:pt idx="19">
                  <c:v>42448</c:v>
                </c:pt>
                <c:pt idx="20">
                  <c:v>42449</c:v>
                </c:pt>
                <c:pt idx="21">
                  <c:v>42450</c:v>
                </c:pt>
                <c:pt idx="22">
                  <c:v>42451</c:v>
                </c:pt>
                <c:pt idx="23">
                  <c:v>42452</c:v>
                </c:pt>
                <c:pt idx="24">
                  <c:v>42453</c:v>
                </c:pt>
                <c:pt idx="25">
                  <c:v>42454</c:v>
                </c:pt>
                <c:pt idx="26">
                  <c:v>42455</c:v>
                </c:pt>
                <c:pt idx="27">
                  <c:v>42456</c:v>
                </c:pt>
                <c:pt idx="28">
                  <c:v>42457</c:v>
                </c:pt>
                <c:pt idx="29">
                  <c:v>42458</c:v>
                </c:pt>
                <c:pt idx="30">
                  <c:v>42459</c:v>
                </c:pt>
                <c:pt idx="31">
                  <c:v>42460</c:v>
                </c:pt>
                <c:pt idx="32">
                  <c:v>42461</c:v>
                </c:pt>
                <c:pt idx="33">
                  <c:v>42462</c:v>
                </c:pt>
                <c:pt idx="34">
                  <c:v>42463</c:v>
                </c:pt>
                <c:pt idx="35">
                  <c:v>42464</c:v>
                </c:pt>
                <c:pt idx="36">
                  <c:v>42465</c:v>
                </c:pt>
                <c:pt idx="37">
                  <c:v>42466</c:v>
                </c:pt>
                <c:pt idx="38">
                  <c:v>42467</c:v>
                </c:pt>
                <c:pt idx="39">
                  <c:v>42468</c:v>
                </c:pt>
                <c:pt idx="40">
                  <c:v>42469</c:v>
                </c:pt>
                <c:pt idx="41">
                  <c:v>42470</c:v>
                </c:pt>
                <c:pt idx="42">
                  <c:v>42471</c:v>
                </c:pt>
                <c:pt idx="43">
                  <c:v>42472</c:v>
                </c:pt>
                <c:pt idx="44">
                  <c:v>42473</c:v>
                </c:pt>
                <c:pt idx="45">
                  <c:v>42474</c:v>
                </c:pt>
                <c:pt idx="46">
                  <c:v>42475</c:v>
                </c:pt>
                <c:pt idx="47">
                  <c:v>42476</c:v>
                </c:pt>
                <c:pt idx="48">
                  <c:v>42477</c:v>
                </c:pt>
                <c:pt idx="49">
                  <c:v>42478</c:v>
                </c:pt>
                <c:pt idx="50">
                  <c:v>42479</c:v>
                </c:pt>
                <c:pt idx="51">
                  <c:v>42480</c:v>
                </c:pt>
                <c:pt idx="52">
                  <c:v>42481</c:v>
                </c:pt>
                <c:pt idx="53">
                  <c:v>42482</c:v>
                </c:pt>
                <c:pt idx="54">
                  <c:v>42483</c:v>
                </c:pt>
                <c:pt idx="55">
                  <c:v>42484</c:v>
                </c:pt>
                <c:pt idx="56">
                  <c:v>42485</c:v>
                </c:pt>
                <c:pt idx="57">
                  <c:v>42486</c:v>
                </c:pt>
                <c:pt idx="58">
                  <c:v>42487</c:v>
                </c:pt>
                <c:pt idx="59">
                  <c:v>42488</c:v>
                </c:pt>
                <c:pt idx="60">
                  <c:v>42489</c:v>
                </c:pt>
                <c:pt idx="61">
                  <c:v>42490</c:v>
                </c:pt>
                <c:pt idx="62">
                  <c:v>42491</c:v>
                </c:pt>
                <c:pt idx="63">
                  <c:v>42492</c:v>
                </c:pt>
                <c:pt idx="64">
                  <c:v>42493</c:v>
                </c:pt>
                <c:pt idx="65">
                  <c:v>42494</c:v>
                </c:pt>
                <c:pt idx="66">
                  <c:v>42495</c:v>
                </c:pt>
                <c:pt idx="67">
                  <c:v>42496</c:v>
                </c:pt>
                <c:pt idx="68">
                  <c:v>42497</c:v>
                </c:pt>
                <c:pt idx="69">
                  <c:v>42498</c:v>
                </c:pt>
                <c:pt idx="70">
                  <c:v>42499</c:v>
                </c:pt>
                <c:pt idx="71">
                  <c:v>42500</c:v>
                </c:pt>
                <c:pt idx="72">
                  <c:v>42501</c:v>
                </c:pt>
                <c:pt idx="73">
                  <c:v>42502</c:v>
                </c:pt>
                <c:pt idx="74">
                  <c:v>42503</c:v>
                </c:pt>
                <c:pt idx="75">
                  <c:v>42504</c:v>
                </c:pt>
                <c:pt idx="76">
                  <c:v>42505</c:v>
                </c:pt>
                <c:pt idx="77">
                  <c:v>42506</c:v>
                </c:pt>
                <c:pt idx="78">
                  <c:v>42507</c:v>
                </c:pt>
                <c:pt idx="79">
                  <c:v>42508</c:v>
                </c:pt>
                <c:pt idx="80">
                  <c:v>42509</c:v>
                </c:pt>
                <c:pt idx="81">
                  <c:v>42510</c:v>
                </c:pt>
                <c:pt idx="82">
                  <c:v>42511</c:v>
                </c:pt>
                <c:pt idx="83">
                  <c:v>42512</c:v>
                </c:pt>
                <c:pt idx="84">
                  <c:v>42513</c:v>
                </c:pt>
                <c:pt idx="85">
                  <c:v>42514</c:v>
                </c:pt>
                <c:pt idx="86">
                  <c:v>42515</c:v>
                </c:pt>
                <c:pt idx="87">
                  <c:v>42516</c:v>
                </c:pt>
                <c:pt idx="88">
                  <c:v>42517</c:v>
                </c:pt>
                <c:pt idx="89">
                  <c:v>42518</c:v>
                </c:pt>
                <c:pt idx="90">
                  <c:v>42519</c:v>
                </c:pt>
                <c:pt idx="91">
                  <c:v>42520</c:v>
                </c:pt>
                <c:pt idx="92">
                  <c:v>42521</c:v>
                </c:pt>
                <c:pt idx="93">
                  <c:v>42522</c:v>
                </c:pt>
                <c:pt idx="94">
                  <c:v>42523</c:v>
                </c:pt>
                <c:pt idx="95">
                  <c:v>42524</c:v>
                </c:pt>
                <c:pt idx="96">
                  <c:v>42525</c:v>
                </c:pt>
                <c:pt idx="97">
                  <c:v>42526</c:v>
                </c:pt>
                <c:pt idx="98">
                  <c:v>42527</c:v>
                </c:pt>
                <c:pt idx="99">
                  <c:v>42528</c:v>
                </c:pt>
                <c:pt idx="100">
                  <c:v>42529</c:v>
                </c:pt>
                <c:pt idx="101">
                  <c:v>42530</c:v>
                </c:pt>
                <c:pt idx="102">
                  <c:v>42531</c:v>
                </c:pt>
                <c:pt idx="103">
                  <c:v>42532</c:v>
                </c:pt>
                <c:pt idx="104">
                  <c:v>42533</c:v>
                </c:pt>
                <c:pt idx="105">
                  <c:v>42534</c:v>
                </c:pt>
                <c:pt idx="106">
                  <c:v>42535</c:v>
                </c:pt>
                <c:pt idx="107">
                  <c:v>42536</c:v>
                </c:pt>
                <c:pt idx="108">
                  <c:v>42537</c:v>
                </c:pt>
                <c:pt idx="109">
                  <c:v>42538</c:v>
                </c:pt>
                <c:pt idx="110">
                  <c:v>42539</c:v>
                </c:pt>
                <c:pt idx="111">
                  <c:v>42540</c:v>
                </c:pt>
                <c:pt idx="112">
                  <c:v>42541</c:v>
                </c:pt>
                <c:pt idx="113">
                  <c:v>42542</c:v>
                </c:pt>
                <c:pt idx="114">
                  <c:v>42543</c:v>
                </c:pt>
                <c:pt idx="115">
                  <c:v>42544</c:v>
                </c:pt>
                <c:pt idx="116">
                  <c:v>42545</c:v>
                </c:pt>
                <c:pt idx="117">
                  <c:v>42546</c:v>
                </c:pt>
                <c:pt idx="118">
                  <c:v>42547</c:v>
                </c:pt>
                <c:pt idx="119">
                  <c:v>42548</c:v>
                </c:pt>
                <c:pt idx="120">
                  <c:v>42549</c:v>
                </c:pt>
                <c:pt idx="121">
                  <c:v>42550</c:v>
                </c:pt>
                <c:pt idx="122">
                  <c:v>42551</c:v>
                </c:pt>
                <c:pt idx="123">
                  <c:v>42552</c:v>
                </c:pt>
                <c:pt idx="124">
                  <c:v>42553</c:v>
                </c:pt>
                <c:pt idx="125">
                  <c:v>42554</c:v>
                </c:pt>
                <c:pt idx="126">
                  <c:v>42555</c:v>
                </c:pt>
                <c:pt idx="127">
                  <c:v>42556</c:v>
                </c:pt>
                <c:pt idx="128">
                  <c:v>42557</c:v>
                </c:pt>
                <c:pt idx="129">
                  <c:v>42558</c:v>
                </c:pt>
                <c:pt idx="130">
                  <c:v>42559</c:v>
                </c:pt>
                <c:pt idx="131">
                  <c:v>42560</c:v>
                </c:pt>
                <c:pt idx="132">
                  <c:v>42561</c:v>
                </c:pt>
                <c:pt idx="133">
                  <c:v>42562</c:v>
                </c:pt>
                <c:pt idx="134">
                  <c:v>42563</c:v>
                </c:pt>
                <c:pt idx="135">
                  <c:v>42564</c:v>
                </c:pt>
                <c:pt idx="136">
                  <c:v>42565</c:v>
                </c:pt>
                <c:pt idx="137">
                  <c:v>42566</c:v>
                </c:pt>
                <c:pt idx="138">
                  <c:v>42567</c:v>
                </c:pt>
                <c:pt idx="139">
                  <c:v>42568</c:v>
                </c:pt>
                <c:pt idx="140">
                  <c:v>42569</c:v>
                </c:pt>
                <c:pt idx="141">
                  <c:v>42570</c:v>
                </c:pt>
                <c:pt idx="142">
                  <c:v>42571</c:v>
                </c:pt>
                <c:pt idx="143">
                  <c:v>42572</c:v>
                </c:pt>
                <c:pt idx="144">
                  <c:v>42573</c:v>
                </c:pt>
                <c:pt idx="145">
                  <c:v>42574</c:v>
                </c:pt>
                <c:pt idx="146">
                  <c:v>42575</c:v>
                </c:pt>
                <c:pt idx="147">
                  <c:v>42576</c:v>
                </c:pt>
                <c:pt idx="148">
                  <c:v>42577</c:v>
                </c:pt>
                <c:pt idx="149">
                  <c:v>42578</c:v>
                </c:pt>
                <c:pt idx="150">
                  <c:v>42579</c:v>
                </c:pt>
                <c:pt idx="151">
                  <c:v>42580</c:v>
                </c:pt>
                <c:pt idx="152">
                  <c:v>42581</c:v>
                </c:pt>
                <c:pt idx="153">
                  <c:v>42582</c:v>
                </c:pt>
                <c:pt idx="154">
                  <c:v>42583</c:v>
                </c:pt>
                <c:pt idx="155">
                  <c:v>42584</c:v>
                </c:pt>
                <c:pt idx="156">
                  <c:v>42585</c:v>
                </c:pt>
                <c:pt idx="157">
                  <c:v>42586</c:v>
                </c:pt>
                <c:pt idx="158">
                  <c:v>42587</c:v>
                </c:pt>
                <c:pt idx="159">
                  <c:v>42588</c:v>
                </c:pt>
                <c:pt idx="160">
                  <c:v>42589</c:v>
                </c:pt>
                <c:pt idx="161">
                  <c:v>42590</c:v>
                </c:pt>
                <c:pt idx="162">
                  <c:v>42591</c:v>
                </c:pt>
                <c:pt idx="163">
                  <c:v>42592</c:v>
                </c:pt>
                <c:pt idx="164">
                  <c:v>42593</c:v>
                </c:pt>
                <c:pt idx="165">
                  <c:v>42594</c:v>
                </c:pt>
                <c:pt idx="166">
                  <c:v>42595</c:v>
                </c:pt>
                <c:pt idx="167">
                  <c:v>42596</c:v>
                </c:pt>
                <c:pt idx="168">
                  <c:v>42597</c:v>
                </c:pt>
                <c:pt idx="169">
                  <c:v>42598</c:v>
                </c:pt>
                <c:pt idx="170">
                  <c:v>42599</c:v>
                </c:pt>
                <c:pt idx="171">
                  <c:v>42600</c:v>
                </c:pt>
                <c:pt idx="172">
                  <c:v>42601</c:v>
                </c:pt>
                <c:pt idx="173">
                  <c:v>42602</c:v>
                </c:pt>
                <c:pt idx="174">
                  <c:v>42603</c:v>
                </c:pt>
                <c:pt idx="175">
                  <c:v>42604</c:v>
                </c:pt>
                <c:pt idx="176">
                  <c:v>42605</c:v>
                </c:pt>
                <c:pt idx="177">
                  <c:v>42606</c:v>
                </c:pt>
                <c:pt idx="178">
                  <c:v>42607</c:v>
                </c:pt>
                <c:pt idx="179">
                  <c:v>42608</c:v>
                </c:pt>
                <c:pt idx="180">
                  <c:v>42609</c:v>
                </c:pt>
                <c:pt idx="181">
                  <c:v>42610</c:v>
                </c:pt>
                <c:pt idx="182">
                  <c:v>42611</c:v>
                </c:pt>
                <c:pt idx="183">
                  <c:v>42612</c:v>
                </c:pt>
                <c:pt idx="184">
                  <c:v>42613</c:v>
                </c:pt>
                <c:pt idx="185">
                  <c:v>42614</c:v>
                </c:pt>
                <c:pt idx="186">
                  <c:v>42615</c:v>
                </c:pt>
                <c:pt idx="187">
                  <c:v>42616</c:v>
                </c:pt>
                <c:pt idx="188">
                  <c:v>42617</c:v>
                </c:pt>
                <c:pt idx="189">
                  <c:v>42618</c:v>
                </c:pt>
                <c:pt idx="190">
                  <c:v>42619</c:v>
                </c:pt>
                <c:pt idx="191">
                  <c:v>42620</c:v>
                </c:pt>
                <c:pt idx="192">
                  <c:v>42621</c:v>
                </c:pt>
                <c:pt idx="193">
                  <c:v>42622</c:v>
                </c:pt>
                <c:pt idx="194">
                  <c:v>42623</c:v>
                </c:pt>
                <c:pt idx="195">
                  <c:v>42624</c:v>
                </c:pt>
                <c:pt idx="196">
                  <c:v>42625</c:v>
                </c:pt>
                <c:pt idx="197">
                  <c:v>42626</c:v>
                </c:pt>
                <c:pt idx="198">
                  <c:v>42627</c:v>
                </c:pt>
                <c:pt idx="199">
                  <c:v>42628</c:v>
                </c:pt>
                <c:pt idx="200">
                  <c:v>42629</c:v>
                </c:pt>
                <c:pt idx="201">
                  <c:v>42630</c:v>
                </c:pt>
                <c:pt idx="202">
                  <c:v>42631</c:v>
                </c:pt>
                <c:pt idx="203">
                  <c:v>42632</c:v>
                </c:pt>
                <c:pt idx="204">
                  <c:v>42633</c:v>
                </c:pt>
                <c:pt idx="205">
                  <c:v>42634</c:v>
                </c:pt>
                <c:pt idx="206">
                  <c:v>42635</c:v>
                </c:pt>
                <c:pt idx="207">
                  <c:v>42636</c:v>
                </c:pt>
                <c:pt idx="208">
                  <c:v>42637</c:v>
                </c:pt>
                <c:pt idx="209">
                  <c:v>42638</c:v>
                </c:pt>
                <c:pt idx="210">
                  <c:v>42639</c:v>
                </c:pt>
                <c:pt idx="211">
                  <c:v>42640</c:v>
                </c:pt>
                <c:pt idx="212">
                  <c:v>42641</c:v>
                </c:pt>
                <c:pt idx="213">
                  <c:v>42642</c:v>
                </c:pt>
                <c:pt idx="214">
                  <c:v>42643</c:v>
                </c:pt>
                <c:pt idx="215">
                  <c:v>42644</c:v>
                </c:pt>
                <c:pt idx="216">
                  <c:v>42645</c:v>
                </c:pt>
                <c:pt idx="217">
                  <c:v>42646</c:v>
                </c:pt>
                <c:pt idx="218">
                  <c:v>42647</c:v>
                </c:pt>
                <c:pt idx="219">
                  <c:v>42648</c:v>
                </c:pt>
                <c:pt idx="220">
                  <c:v>42649</c:v>
                </c:pt>
                <c:pt idx="221">
                  <c:v>42650</c:v>
                </c:pt>
                <c:pt idx="222">
                  <c:v>42651</c:v>
                </c:pt>
                <c:pt idx="223">
                  <c:v>42652</c:v>
                </c:pt>
                <c:pt idx="224">
                  <c:v>42653</c:v>
                </c:pt>
                <c:pt idx="225">
                  <c:v>42654</c:v>
                </c:pt>
                <c:pt idx="226">
                  <c:v>42655</c:v>
                </c:pt>
                <c:pt idx="227">
                  <c:v>42656</c:v>
                </c:pt>
                <c:pt idx="228">
                  <c:v>42657</c:v>
                </c:pt>
                <c:pt idx="229">
                  <c:v>42658</c:v>
                </c:pt>
                <c:pt idx="230">
                  <c:v>42659</c:v>
                </c:pt>
                <c:pt idx="231">
                  <c:v>42660</c:v>
                </c:pt>
                <c:pt idx="232">
                  <c:v>42661</c:v>
                </c:pt>
                <c:pt idx="233">
                  <c:v>42662</c:v>
                </c:pt>
                <c:pt idx="234">
                  <c:v>42663</c:v>
                </c:pt>
                <c:pt idx="235">
                  <c:v>42664</c:v>
                </c:pt>
                <c:pt idx="236">
                  <c:v>42665</c:v>
                </c:pt>
                <c:pt idx="237">
                  <c:v>42666</c:v>
                </c:pt>
                <c:pt idx="238">
                  <c:v>42667</c:v>
                </c:pt>
                <c:pt idx="239">
                  <c:v>42668</c:v>
                </c:pt>
                <c:pt idx="240">
                  <c:v>42669</c:v>
                </c:pt>
                <c:pt idx="241">
                  <c:v>42670</c:v>
                </c:pt>
                <c:pt idx="242">
                  <c:v>42671</c:v>
                </c:pt>
                <c:pt idx="243">
                  <c:v>42672</c:v>
                </c:pt>
                <c:pt idx="244">
                  <c:v>42673</c:v>
                </c:pt>
                <c:pt idx="245">
                  <c:v>42674</c:v>
                </c:pt>
                <c:pt idx="246">
                  <c:v>42675</c:v>
                </c:pt>
                <c:pt idx="247">
                  <c:v>42676</c:v>
                </c:pt>
                <c:pt idx="248">
                  <c:v>42677</c:v>
                </c:pt>
                <c:pt idx="249">
                  <c:v>42678</c:v>
                </c:pt>
                <c:pt idx="250">
                  <c:v>42679</c:v>
                </c:pt>
                <c:pt idx="251">
                  <c:v>42680</c:v>
                </c:pt>
                <c:pt idx="252">
                  <c:v>42681</c:v>
                </c:pt>
                <c:pt idx="253">
                  <c:v>42682</c:v>
                </c:pt>
                <c:pt idx="254">
                  <c:v>42683</c:v>
                </c:pt>
                <c:pt idx="255">
                  <c:v>42684</c:v>
                </c:pt>
                <c:pt idx="256">
                  <c:v>42685</c:v>
                </c:pt>
                <c:pt idx="257">
                  <c:v>42686</c:v>
                </c:pt>
                <c:pt idx="258">
                  <c:v>42687</c:v>
                </c:pt>
                <c:pt idx="259">
                  <c:v>42688</c:v>
                </c:pt>
                <c:pt idx="260">
                  <c:v>42689</c:v>
                </c:pt>
                <c:pt idx="261">
                  <c:v>42690</c:v>
                </c:pt>
                <c:pt idx="262">
                  <c:v>42691</c:v>
                </c:pt>
                <c:pt idx="263">
                  <c:v>42692</c:v>
                </c:pt>
                <c:pt idx="264">
                  <c:v>42693</c:v>
                </c:pt>
                <c:pt idx="265">
                  <c:v>42694</c:v>
                </c:pt>
                <c:pt idx="266">
                  <c:v>42695</c:v>
                </c:pt>
                <c:pt idx="267">
                  <c:v>42696</c:v>
                </c:pt>
                <c:pt idx="268">
                  <c:v>42697</c:v>
                </c:pt>
                <c:pt idx="269">
                  <c:v>42698</c:v>
                </c:pt>
                <c:pt idx="270">
                  <c:v>42699</c:v>
                </c:pt>
                <c:pt idx="271">
                  <c:v>42700</c:v>
                </c:pt>
                <c:pt idx="272">
                  <c:v>42701</c:v>
                </c:pt>
                <c:pt idx="273">
                  <c:v>42702</c:v>
                </c:pt>
                <c:pt idx="274">
                  <c:v>42703</c:v>
                </c:pt>
                <c:pt idx="275">
                  <c:v>42704</c:v>
                </c:pt>
                <c:pt idx="276">
                  <c:v>42705</c:v>
                </c:pt>
                <c:pt idx="277">
                  <c:v>42706</c:v>
                </c:pt>
                <c:pt idx="278">
                  <c:v>42707</c:v>
                </c:pt>
                <c:pt idx="279">
                  <c:v>42708</c:v>
                </c:pt>
                <c:pt idx="280">
                  <c:v>42709</c:v>
                </c:pt>
                <c:pt idx="281">
                  <c:v>42710</c:v>
                </c:pt>
                <c:pt idx="282">
                  <c:v>42711</c:v>
                </c:pt>
                <c:pt idx="283">
                  <c:v>42712</c:v>
                </c:pt>
                <c:pt idx="284">
                  <c:v>42713</c:v>
                </c:pt>
                <c:pt idx="285">
                  <c:v>42714</c:v>
                </c:pt>
                <c:pt idx="286">
                  <c:v>42715</c:v>
                </c:pt>
                <c:pt idx="287">
                  <c:v>42716</c:v>
                </c:pt>
                <c:pt idx="288">
                  <c:v>42717</c:v>
                </c:pt>
                <c:pt idx="289">
                  <c:v>42718</c:v>
                </c:pt>
                <c:pt idx="290">
                  <c:v>42719</c:v>
                </c:pt>
                <c:pt idx="291">
                  <c:v>42720</c:v>
                </c:pt>
                <c:pt idx="292">
                  <c:v>42721</c:v>
                </c:pt>
                <c:pt idx="293">
                  <c:v>42722</c:v>
                </c:pt>
                <c:pt idx="294">
                  <c:v>42723</c:v>
                </c:pt>
                <c:pt idx="295">
                  <c:v>42724</c:v>
                </c:pt>
                <c:pt idx="296">
                  <c:v>42725</c:v>
                </c:pt>
                <c:pt idx="297">
                  <c:v>42726</c:v>
                </c:pt>
                <c:pt idx="298">
                  <c:v>42727</c:v>
                </c:pt>
                <c:pt idx="299">
                  <c:v>42728</c:v>
                </c:pt>
                <c:pt idx="300">
                  <c:v>42729</c:v>
                </c:pt>
                <c:pt idx="301">
                  <c:v>42730</c:v>
                </c:pt>
              </c:numCache>
            </c:numRef>
          </c:cat>
          <c:val>
            <c:numRef>
              <c:f>Operacional_9_meses!$F$24:$F$325</c:f>
              <c:numCache>
                <c:formatCode>0.00</c:formatCode>
                <c:ptCount val="302"/>
                <c:pt idx="0">
                  <c:v>249.8449596097982</c:v>
                </c:pt>
                <c:pt idx="1">
                  <c:v>250.00754634773659</c:v>
                </c:pt>
                <c:pt idx="2">
                  <c:v>249.21185308259496</c:v>
                </c:pt>
                <c:pt idx="3">
                  <c:v>248.143835730674</c:v>
                </c:pt>
                <c:pt idx="4">
                  <c:v>247.52851275148947</c:v>
                </c:pt>
                <c:pt idx="5">
                  <c:v>251.76213945349801</c:v>
                </c:pt>
                <c:pt idx="6">
                  <c:v>258.79078079509446</c:v>
                </c:pt>
                <c:pt idx="7">
                  <c:v>265.75039767062344</c:v>
                </c:pt>
                <c:pt idx="8">
                  <c:v>270.8291002228458</c:v>
                </c:pt>
                <c:pt idx="9">
                  <c:v>273.75061278692425</c:v>
                </c:pt>
                <c:pt idx="10">
                  <c:v>275.87593399071278</c:v>
                </c:pt>
                <c:pt idx="11">
                  <c:v>279.834878425569</c:v>
                </c:pt>
                <c:pt idx="12">
                  <c:v>286.59828962859422</c:v>
                </c:pt>
                <c:pt idx="13">
                  <c:v>296.10649094486013</c:v>
                </c:pt>
                <c:pt idx="14">
                  <c:v>305.23046549854746</c:v>
                </c:pt>
                <c:pt idx="15">
                  <c:v>313.43087380556437</c:v>
                </c:pt>
                <c:pt idx="16">
                  <c:v>318.77118421592644</c:v>
                </c:pt>
                <c:pt idx="17">
                  <c:v>321.73633732982518</c:v>
                </c:pt>
                <c:pt idx="18">
                  <c:v>322.72809361252524</c:v>
                </c:pt>
                <c:pt idx="19">
                  <c:v>322.16022813526422</c:v>
                </c:pt>
                <c:pt idx="20">
                  <c:v>321.57019299747486</c:v>
                </c:pt>
                <c:pt idx="21">
                  <c:v>321.82918876354728</c:v>
                </c:pt>
                <c:pt idx="22">
                  <c:v>322.32107607714011</c:v>
                </c:pt>
                <c:pt idx="23">
                  <c:v>324.4469187804396</c:v>
                </c:pt>
                <c:pt idx="24">
                  <c:v>330.8304488518869</c:v>
                </c:pt>
                <c:pt idx="25">
                  <c:v>338.36449651818793</c:v>
                </c:pt>
                <c:pt idx="26">
                  <c:v>343.93605125661549</c:v>
                </c:pt>
                <c:pt idx="27">
                  <c:v>349.99296704631161</c:v>
                </c:pt>
                <c:pt idx="28">
                  <c:v>358.64357013483868</c:v>
                </c:pt>
                <c:pt idx="29">
                  <c:v>368.18781792913114</c:v>
                </c:pt>
                <c:pt idx="30">
                  <c:v>376.9762816713199</c:v>
                </c:pt>
                <c:pt idx="31">
                  <c:v>383.06148024917815</c:v>
                </c:pt>
                <c:pt idx="32">
                  <c:v>386.47455705326007</c:v>
                </c:pt>
                <c:pt idx="33">
                  <c:v>387.87361425408511</c:v>
                </c:pt>
                <c:pt idx="34">
                  <c:v>388.170779097197</c:v>
                </c:pt>
                <c:pt idx="35">
                  <c:v>388.42798198626224</c:v>
                </c:pt>
                <c:pt idx="36">
                  <c:v>390.68599902970271</c:v>
                </c:pt>
                <c:pt idx="37">
                  <c:v>396.60420465863183</c:v>
                </c:pt>
                <c:pt idx="38">
                  <c:v>405.20966160926884</c:v>
                </c:pt>
                <c:pt idx="39">
                  <c:v>414.44279099773058</c:v>
                </c:pt>
                <c:pt idx="40">
                  <c:v>422.5820750314673</c:v>
                </c:pt>
                <c:pt idx="41">
                  <c:v>430.93332164802706</c:v>
                </c:pt>
                <c:pt idx="42">
                  <c:v>439.67417261399186</c:v>
                </c:pt>
                <c:pt idx="43">
                  <c:v>448.14511279129931</c:v>
                </c:pt>
                <c:pt idx="44">
                  <c:v>456.46248217336858</c:v>
                </c:pt>
                <c:pt idx="45">
                  <c:v>465.63117006625299</c:v>
                </c:pt>
                <c:pt idx="46">
                  <c:v>475.17748157805175</c:v>
                </c:pt>
                <c:pt idx="47">
                  <c:v>481.71129988433836</c:v>
                </c:pt>
                <c:pt idx="48">
                  <c:v>485.79599779313151</c:v>
                </c:pt>
                <c:pt idx="49">
                  <c:v>487.93613322475551</c:v>
                </c:pt>
                <c:pt idx="50">
                  <c:v>489.80330059964439</c:v>
                </c:pt>
                <c:pt idx="51">
                  <c:v>494.97609734788784</c:v>
                </c:pt>
                <c:pt idx="52">
                  <c:v>504.56255053552462</c:v>
                </c:pt>
                <c:pt idx="53">
                  <c:v>516.33913039632125</c:v>
                </c:pt>
                <c:pt idx="54">
                  <c:v>527.96536387475601</c:v>
                </c:pt>
                <c:pt idx="55">
                  <c:v>536.28382443545127</c:v>
                </c:pt>
                <c:pt idx="56">
                  <c:v>541.7356927373412</c:v>
                </c:pt>
                <c:pt idx="57">
                  <c:v>544.53800198704585</c:v>
                </c:pt>
                <c:pt idx="58">
                  <c:v>545.20985086307724</c:v>
                </c:pt>
                <c:pt idx="59">
                  <c:v>544.14424575413284</c:v>
                </c:pt>
                <c:pt idx="60">
                  <c:v>541.66776549567146</c:v>
                </c:pt>
                <c:pt idx="61">
                  <c:v>538.14801330830232</c:v>
                </c:pt>
                <c:pt idx="62">
                  <c:v>535.01988251381636</c:v>
                </c:pt>
                <c:pt idx="63">
                  <c:v>533.94036749014731</c:v>
                </c:pt>
                <c:pt idx="64">
                  <c:v>536.36601305802651</c:v>
                </c:pt>
                <c:pt idx="65">
                  <c:v>540.09826361991168</c:v>
                </c:pt>
                <c:pt idx="66">
                  <c:v>543.51482144644581</c:v>
                </c:pt>
                <c:pt idx="67">
                  <c:v>545.63525845291235</c:v>
                </c:pt>
                <c:pt idx="68">
                  <c:v>547.62374823465245</c:v>
                </c:pt>
                <c:pt idx="69">
                  <c:v>550.25555807226806</c:v>
                </c:pt>
                <c:pt idx="70">
                  <c:v>553.03695020983719</c:v>
                </c:pt>
                <c:pt idx="71">
                  <c:v>554.52471916092259</c:v>
                </c:pt>
                <c:pt idx="72">
                  <c:v>557.64148828578061</c:v>
                </c:pt>
                <c:pt idx="73">
                  <c:v>565.08883260310427</c:v>
                </c:pt>
                <c:pt idx="74">
                  <c:v>576.59126748470533</c:v>
                </c:pt>
                <c:pt idx="75">
                  <c:v>589.09347529123295</c:v>
                </c:pt>
                <c:pt idx="76">
                  <c:v>601.51801019061759</c:v>
                </c:pt>
                <c:pt idx="77">
                  <c:v>613.30665479612708</c:v>
                </c:pt>
                <c:pt idx="78">
                  <c:v>623.77916871071352</c:v>
                </c:pt>
                <c:pt idx="79">
                  <c:v>633.05362400306433</c:v>
                </c:pt>
                <c:pt idx="80">
                  <c:v>640.23669031751524</c:v>
                </c:pt>
                <c:pt idx="81">
                  <c:v>644.99565573166853</c:v>
                </c:pt>
                <c:pt idx="82">
                  <c:v>647.56191693273615</c:v>
                </c:pt>
                <c:pt idx="83">
                  <c:v>648.26514067591665</c:v>
                </c:pt>
                <c:pt idx="84">
                  <c:v>648.75748407199194</c:v>
                </c:pt>
                <c:pt idx="85">
                  <c:v>651.2797467818383</c:v>
                </c:pt>
                <c:pt idx="86">
                  <c:v>657.00816206771924</c:v>
                </c:pt>
                <c:pt idx="87">
                  <c:v>664.7305800398168</c:v>
                </c:pt>
                <c:pt idx="88">
                  <c:v>673.16313298808871</c:v>
                </c:pt>
                <c:pt idx="89">
                  <c:v>681.38862590260896</c:v>
                </c:pt>
                <c:pt idx="90">
                  <c:v>689.5288836313166</c:v>
                </c:pt>
                <c:pt idx="91">
                  <c:v>697.88982116665306</c:v>
                </c:pt>
                <c:pt idx="92">
                  <c:v>706.73146980282934</c:v>
                </c:pt>
                <c:pt idx="93">
                  <c:v>715.69759430818726</c:v>
                </c:pt>
                <c:pt idx="94">
                  <c:v>725.09726561125422</c:v>
                </c:pt>
                <c:pt idx="95">
                  <c:v>735.44443086015815</c:v>
                </c:pt>
                <c:pt idx="96">
                  <c:v>745.87194236960522</c:v>
                </c:pt>
                <c:pt idx="97">
                  <c:v>756.3133426088956</c:v>
                </c:pt>
                <c:pt idx="98">
                  <c:v>766.71460204368111</c:v>
                </c:pt>
                <c:pt idx="99">
                  <c:v>777.03573153054424</c:v>
                </c:pt>
                <c:pt idx="100">
                  <c:v>786.95230379944235</c:v>
                </c:pt>
                <c:pt idx="101">
                  <c:v>796.43261866269177</c:v>
                </c:pt>
                <c:pt idx="102">
                  <c:v>802.98813296791832</c:v>
                </c:pt>
                <c:pt idx="103">
                  <c:v>807.13654545394945</c:v>
                </c:pt>
                <c:pt idx="104">
                  <c:v>809.10048117250233</c:v>
                </c:pt>
                <c:pt idx="105">
                  <c:v>809.23908718336179</c:v>
                </c:pt>
                <c:pt idx="106">
                  <c:v>807.87411596103755</c:v>
                </c:pt>
                <c:pt idx="107">
                  <c:v>805.33371157486135</c:v>
                </c:pt>
                <c:pt idx="108">
                  <c:v>802.32020688131945</c:v>
                </c:pt>
                <c:pt idx="109">
                  <c:v>799.64424510219646</c:v>
                </c:pt>
                <c:pt idx="110">
                  <c:v>797.41271338358035</c:v>
                </c:pt>
                <c:pt idx="111">
                  <c:v>795.54776876543519</c:v>
                </c:pt>
                <c:pt idx="112">
                  <c:v>794.32576827097932</c:v>
                </c:pt>
                <c:pt idx="113">
                  <c:v>795.37366934492502</c:v>
                </c:pt>
                <c:pt idx="114">
                  <c:v>798.62415080471783</c:v>
                </c:pt>
                <c:pt idx="115">
                  <c:v>804.17213153374507</c:v>
                </c:pt>
                <c:pt idx="116">
                  <c:v>809.63696516701339</c:v>
                </c:pt>
                <c:pt idx="117">
                  <c:v>813.40570107305928</c:v>
                </c:pt>
                <c:pt idx="118">
                  <c:v>815.61580664290159</c:v>
                </c:pt>
                <c:pt idx="119">
                  <c:v>817.27754794057068</c:v>
                </c:pt>
                <c:pt idx="120">
                  <c:v>818.88528455726635</c:v>
                </c:pt>
                <c:pt idx="121">
                  <c:v>819.59826441514042</c:v>
                </c:pt>
                <c:pt idx="122">
                  <c:v>818.64591202844554</c:v>
                </c:pt>
                <c:pt idx="123">
                  <c:v>816.29058154393817</c:v>
                </c:pt>
                <c:pt idx="124">
                  <c:v>812.7008977082553</c:v>
                </c:pt>
                <c:pt idx="125">
                  <c:v>807.95340462402658</c:v>
                </c:pt>
                <c:pt idx="126">
                  <c:v>802.22939029063389</c:v>
                </c:pt>
                <c:pt idx="127">
                  <c:v>795.68038370582531</c:v>
                </c:pt>
                <c:pt idx="128">
                  <c:v>788.43387895801425</c:v>
                </c:pt>
                <c:pt idx="129">
                  <c:v>780.59778954369915</c:v>
                </c:pt>
                <c:pt idx="130">
                  <c:v>772.26395026355488</c:v>
                </c:pt>
                <c:pt idx="131">
                  <c:v>763.51089635253777</c:v>
                </c:pt>
                <c:pt idx="132">
                  <c:v>754.4060882090921</c:v>
                </c:pt>
                <c:pt idx="133">
                  <c:v>745.00770664005586</c:v>
                </c:pt>
                <c:pt idx="134">
                  <c:v>735.36611233077917</c:v>
                </c:pt>
                <c:pt idx="135">
                  <c:v>725.52504056196983</c:v>
                </c:pt>
                <c:pt idx="136">
                  <c:v>715.522585513835</c:v>
                </c:pt>
                <c:pt idx="137">
                  <c:v>705.39201610488976</c:v>
                </c:pt>
                <c:pt idx="138">
                  <c:v>695.35008920414964</c:v>
                </c:pt>
                <c:pt idx="139">
                  <c:v>685.45111869301627</c:v>
                </c:pt>
                <c:pt idx="140">
                  <c:v>675.69306945118547</c:v>
                </c:pt>
                <c:pt idx="141">
                  <c:v>666.07393533022798</c:v>
                </c:pt>
                <c:pt idx="142">
                  <c:v>656.59173874114754</c:v>
                </c:pt>
                <c:pt idx="143">
                  <c:v>647.24453024780939</c:v>
                </c:pt>
                <c:pt idx="144">
                  <c:v>638.0303881661589</c:v>
                </c:pt>
                <c:pt idx="145">
                  <c:v>628.94741816914279</c:v>
                </c:pt>
                <c:pt idx="146">
                  <c:v>619.99375289725708</c:v>
                </c:pt>
                <c:pt idx="147">
                  <c:v>611.1675515746382</c:v>
                </c:pt>
                <c:pt idx="148">
                  <c:v>602.46699963061928</c:v>
                </c:pt>
                <c:pt idx="149">
                  <c:v>593.89030832667459</c:v>
                </c:pt>
                <c:pt idx="150">
                  <c:v>585.435714388674</c:v>
                </c:pt>
                <c:pt idx="151">
                  <c:v>577.1014796443734</c:v>
                </c:pt>
                <c:pt idx="152">
                  <c:v>568.88589066606539</c:v>
                </c:pt>
                <c:pt idx="153">
                  <c:v>560.78725841831738</c:v>
                </c:pt>
                <c:pt idx="154">
                  <c:v>552.80391791072395</c:v>
                </c:pt>
                <c:pt idx="155">
                  <c:v>544.93422785560313</c:v>
                </c:pt>
                <c:pt idx="156">
                  <c:v>537.17657033056605</c:v>
                </c:pt>
                <c:pt idx="157">
                  <c:v>529.52935044588889</c:v>
                </c:pt>
                <c:pt idx="158">
                  <c:v>521.99099601662169</c:v>
                </c:pt>
                <c:pt idx="159">
                  <c:v>514.55995723936405</c:v>
                </c:pt>
                <c:pt idx="160">
                  <c:v>507.23470637364215</c:v>
                </c:pt>
                <c:pt idx="161">
                  <c:v>500.01373742782249</c:v>
                </c:pt>
                <c:pt idx="162">
                  <c:v>492.89556584949628</c:v>
                </c:pt>
                <c:pt idx="163">
                  <c:v>485.87872822027146</c:v>
                </c:pt>
                <c:pt idx="164">
                  <c:v>478.96178195490995</c:v>
                </c:pt>
                <c:pt idx="165">
                  <c:v>472.14330500474796</c:v>
                </c:pt>
                <c:pt idx="166">
                  <c:v>465.4218955653385</c:v>
                </c:pt>
                <c:pt idx="167">
                  <c:v>458.79617178825498</c:v>
                </c:pt>
                <c:pt idx="168">
                  <c:v>452.26477149699917</c:v>
                </c:pt>
                <c:pt idx="169">
                  <c:v>445.82635190695163</c:v>
                </c:pt>
                <c:pt idx="170">
                  <c:v>439.47958934931091</c:v>
                </c:pt>
                <c:pt idx="171">
                  <c:v>433.22317899896063</c:v>
                </c:pt>
                <c:pt idx="172">
                  <c:v>427.05583460621244</c:v>
                </c:pt>
                <c:pt idx="173">
                  <c:v>420.97628823236681</c:v>
                </c:pt>
                <c:pt idx="174">
                  <c:v>414.98328998903867</c:v>
                </c:pt>
                <c:pt idx="175">
                  <c:v>409.07560778119404</c:v>
                </c:pt>
                <c:pt idx="176">
                  <c:v>403.25202705384459</c:v>
                </c:pt>
                <c:pt idx="177">
                  <c:v>397.51135054234879</c:v>
                </c:pt>
                <c:pt idx="178">
                  <c:v>391.85239802626711</c:v>
                </c:pt>
                <c:pt idx="179">
                  <c:v>386.27400608672133</c:v>
                </c:pt>
                <c:pt idx="180">
                  <c:v>380.77502786720868</c:v>
                </c:pt>
                <c:pt idx="181">
                  <c:v>375.35433283782055</c:v>
                </c:pt>
                <c:pt idx="182">
                  <c:v>370.01080656281812</c:v>
                </c:pt>
                <c:pt idx="183">
                  <c:v>364.74335047151578</c:v>
                </c:pt>
                <c:pt idx="184">
                  <c:v>359.55088163242789</c:v>
                </c:pt>
                <c:pt idx="185">
                  <c:v>354.43233253062948</c:v>
                </c:pt>
                <c:pt idx="186">
                  <c:v>349.38665084828648</c:v>
                </c:pt>
                <c:pt idx="187">
                  <c:v>344.41279924831144</c:v>
                </c:pt>
                <c:pt idx="188">
                  <c:v>339.50975516109776</c:v>
                </c:pt>
                <c:pt idx="189">
                  <c:v>334.67651057429066</c:v>
                </c:pt>
                <c:pt idx="190">
                  <c:v>329.91207182555081</c:v>
                </c:pt>
                <c:pt idx="191">
                  <c:v>325.21545939826865</c:v>
                </c:pt>
                <c:pt idx="192">
                  <c:v>320.5857077201855</c:v>
                </c:pt>
                <c:pt idx="193">
                  <c:v>316.0218649648836</c:v>
                </c:pt>
                <c:pt idx="194">
                  <c:v>311.52299285610002</c:v>
                </c:pt>
                <c:pt idx="195">
                  <c:v>307.0881664748278</c:v>
                </c:pt>
                <c:pt idx="196">
                  <c:v>302.71647406916276</c:v>
                </c:pt>
                <c:pt idx="197">
                  <c:v>298.40701686685685</c:v>
                </c:pt>
                <c:pt idx="198">
                  <c:v>294.15890889054072</c:v>
                </c:pt>
                <c:pt idx="199">
                  <c:v>289.97127677557637</c:v>
                </c:pt>
                <c:pt idx="200">
                  <c:v>285.8432595905029</c:v>
                </c:pt>
                <c:pt idx="201">
                  <c:v>281.77400866003831</c:v>
                </c:pt>
                <c:pt idx="202">
                  <c:v>277.76268739060129</c:v>
                </c:pt>
                <c:pt idx="203">
                  <c:v>273.80847109831655</c:v>
                </c:pt>
                <c:pt idx="204">
                  <c:v>269.91054683946891</c:v>
                </c:pt>
                <c:pt idx="205">
                  <c:v>266.06811324337093</c:v>
                </c:pt>
                <c:pt idx="206">
                  <c:v>262.28038034760976</c:v>
                </c:pt>
                <c:pt idx="207">
                  <c:v>258.54656943563964</c:v>
                </c:pt>
                <c:pt idx="208">
                  <c:v>254.86591287668631</c:v>
                </c:pt>
                <c:pt idx="209">
                  <c:v>251.23765396793007</c:v>
                </c:pt>
                <c:pt idx="210">
                  <c:v>247.66104677893654</c:v>
                </c:pt>
                <c:pt idx="211">
                  <c:v>244.13535599830107</c:v>
                </c:pt>
                <c:pt idx="212">
                  <c:v>240.65985678247699</c:v>
                </c:pt>
                <c:pt idx="213">
                  <c:v>237.23383460675558</c:v>
                </c:pt>
                <c:pt idx="214">
                  <c:v>233.85658511836741</c:v>
                </c:pt>
                <c:pt idx="215">
                  <c:v>230.52741399167559</c:v>
                </c:pt>
                <c:pt idx="216">
                  <c:v>227.24563678542941</c:v>
                </c:pt>
                <c:pt idx="217">
                  <c:v>224.01057880205113</c:v>
                </c:pt>
                <c:pt idx="218">
                  <c:v>220.8215749489253</c:v>
                </c:pt>
                <c:pt idx="219">
                  <c:v>217.67796960166314</c:v>
                </c:pt>
                <c:pt idx="220">
                  <c:v>214.57911646931299</c:v>
                </c:pt>
                <c:pt idx="221">
                  <c:v>211.52437846149041</c:v>
                </c:pt>
                <c:pt idx="222">
                  <c:v>208.51312755739886</c:v>
                </c:pt>
                <c:pt idx="223">
                  <c:v>205.54474467671608</c:v>
                </c:pt>
                <c:pt idx="224">
                  <c:v>202.61861955231723</c:v>
                </c:pt>
                <c:pt idx="225">
                  <c:v>199.73415060481116</c:v>
                </c:pt>
                <c:pt idx="226">
                  <c:v>196.89074481886209</c:v>
                </c:pt>
                <c:pt idx="227">
                  <c:v>194.08781762127205</c:v>
                </c:pt>
                <c:pt idx="228">
                  <c:v>191.324792760799</c:v>
                </c:pt>
                <c:pt idx="229">
                  <c:v>188.60110218968612</c:v>
                </c:pt>
                <c:pt idx="230">
                  <c:v>185.91618594687711</c:v>
                </c:pt>
                <c:pt idx="231">
                  <c:v>183.26949204289429</c:v>
                </c:pt>
                <c:pt idx="232">
                  <c:v>180.66047634635592</c:v>
                </c:pt>
                <c:pt idx="233">
                  <c:v>178.08860247210833</c:v>
                </c:pt>
                <c:pt idx="234">
                  <c:v>175.55334167095128</c:v>
                </c:pt>
                <c:pt idx="235">
                  <c:v>173.05417272093271</c:v>
                </c:pt>
                <c:pt idx="236">
                  <c:v>170.59058182019129</c:v>
                </c:pt>
                <c:pt idx="237">
                  <c:v>168.16206248132428</c:v>
                </c:pt>
                <c:pt idx="238">
                  <c:v>165.76811542725949</c:v>
                </c:pt>
                <c:pt idx="239">
                  <c:v>163.4082484886089</c:v>
                </c:pt>
                <c:pt idx="240">
                  <c:v>161.08197650248454</c:v>
                </c:pt>
                <c:pt idx="241">
                  <c:v>158.78882121275387</c:v>
                </c:pt>
                <c:pt idx="242">
                  <c:v>156.52831117171584</c:v>
                </c:pt>
                <c:pt idx="243">
                  <c:v>154.29998164317615</c:v>
                </c:pt>
                <c:pt idx="244">
                  <c:v>152.1033745069027</c:v>
                </c:pt>
                <c:pt idx="245">
                  <c:v>149.93803816444102</c:v>
                </c:pt>
                <c:pt idx="246">
                  <c:v>147.80352744627066</c:v>
                </c:pt>
                <c:pt idx="247">
                  <c:v>145.69940352028297</c:v>
                </c:pt>
                <c:pt idx="248">
                  <c:v>143.62523380156225</c:v>
                </c:pt>
                <c:pt idx="249">
                  <c:v>141.58059186345088</c:v>
                </c:pt>
                <c:pt idx="250">
                  <c:v>139.56505734988065</c:v>
                </c:pt>
                <c:pt idx="251">
                  <c:v>137.5782158889522</c:v>
                </c:pt>
                <c:pt idx="252">
                  <c:v>135.61965900774467</c:v>
                </c:pt>
                <c:pt idx="253">
                  <c:v>133.68898404833803</c:v>
                </c:pt>
                <c:pt idx="254">
                  <c:v>131.78579408503117</c:v>
                </c:pt>
                <c:pt idx="255">
                  <c:v>129.90969784273815</c:v>
                </c:pt>
                <c:pt idx="256">
                  <c:v>128.06030961654645</c:v>
                </c:pt>
                <c:pt idx="257">
                  <c:v>126.23724919242012</c:v>
                </c:pt>
                <c:pt idx="258">
                  <c:v>124.44014176903204</c:v>
                </c:pt>
                <c:pt idx="259">
                  <c:v>122.66861788070874</c:v>
                </c:pt>
                <c:pt idx="260">
                  <c:v>120.92231332147236</c:v>
                </c:pt>
                <c:pt idx="261">
                  <c:v>119.20086907016395</c:v>
                </c:pt>
                <c:pt idx="262">
                  <c:v>117.50393121663245</c:v>
                </c:pt>
                <c:pt idx="263">
                  <c:v>115.83115088897483</c:v>
                </c:pt>
                <c:pt idx="264">
                  <c:v>114.18218418181165</c:v>
                </c:pt>
                <c:pt idx="265">
                  <c:v>112.55669208558398</c:v>
                </c:pt>
                <c:pt idx="266">
                  <c:v>110.95434041685675</c:v>
                </c:pt>
                <c:pt idx="267">
                  <c:v>109.37479974961417</c:v>
                </c:pt>
                <c:pt idx="268">
                  <c:v>107.81774534753343</c:v>
                </c:pt>
                <c:pt idx="269">
                  <c:v>106.2828570972225</c:v>
                </c:pt>
                <c:pt idx="270">
                  <c:v>104.76981944240812</c:v>
                </c:pt>
                <c:pt idx="271">
                  <c:v>103.27832131906112</c:v>
                </c:pt>
                <c:pt idx="272">
                  <c:v>101.80805609144487</c:v>
                </c:pt>
                <c:pt idx="273">
                  <c:v>100.3587214890743</c:v>
                </c:pt>
                <c:pt idx="274">
                  <c:v>98.930019544572616</c:v>
                </c:pt>
                <c:pt idx="275">
                  <c:v>97.52165653241218</c:v>
                </c:pt>
                <c:pt idx="276">
                  <c:v>96.133342908528007</c:v>
                </c:pt>
                <c:pt idx="277">
                  <c:v>94.764793250790348</c:v>
                </c:pt>
                <c:pt idx="278">
                  <c:v>93.415726200325366</c:v>
                </c:pt>
                <c:pt idx="279">
                  <c:v>92.085864403670513</c:v>
                </c:pt>
                <c:pt idx="280">
                  <c:v>90.774934455753979</c:v>
                </c:pt>
                <c:pt idx="281">
                  <c:v>89.482666843685323</c:v>
                </c:pt>
                <c:pt idx="282">
                  <c:v>88.208795891346767</c:v>
                </c:pt>
                <c:pt idx="283">
                  <c:v>86.953059704772883</c:v>
                </c:pt>
                <c:pt idx="284">
                  <c:v>85.715200118308289</c:v>
                </c:pt>
                <c:pt idx="285">
                  <c:v>84.494962641531444</c:v>
                </c:pt>
                <c:pt idx="286">
                  <c:v>83.292096406934249</c:v>
                </c:pt>
                <c:pt idx="287">
                  <c:v>82.10635411834636</c:v>
                </c:pt>
                <c:pt idx="288">
                  <c:v>80.93749200009394</c:v>
                </c:pt>
                <c:pt idx="289">
                  <c:v>79.785269746881866</c:v>
                </c:pt>
                <c:pt idx="290">
                  <c:v>78.649450474389724</c:v>
                </c:pt>
                <c:pt idx="291">
                  <c:v>77.529800670570907</c:v>
                </c:pt>
                <c:pt idx="292">
                  <c:v>76.426090147645112</c:v>
                </c:pt>
                <c:pt idx="293">
                  <c:v>75.338091994774175</c:v>
                </c:pt>
                <c:pt idx="294">
                  <c:v>74.265582531411809</c:v>
                </c:pt>
                <c:pt idx="295">
                  <c:v>73.208341261317216</c:v>
                </c:pt>
                <c:pt idx="296">
                  <c:v>72.166150827223518</c:v>
                </c:pt>
                <c:pt idx="297">
                  <c:v>71.13879696615146</c:v>
                </c:pt>
                <c:pt idx="298">
                  <c:v>70.126068465359268</c:v>
                </c:pt>
                <c:pt idx="299">
                  <c:v>69.127757118919661</c:v>
                </c:pt>
                <c:pt idx="300">
                  <c:v>68.143657684914885</c:v>
                </c:pt>
                <c:pt idx="301">
                  <c:v>67.173567843241329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7-7962-472F-AA71-0D0B241EB14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63610464"/>
        <c:axId val="663617536"/>
      </c:lineChart>
      <c:dateAx>
        <c:axId val="663610464"/>
        <c:scaling>
          <c:orientation val="minMax"/>
        </c:scaling>
        <c:delete val="0"/>
        <c:axPos val="b"/>
        <c:numFmt formatCode="m/d/yyyy" sourceLinked="0"/>
        <c:majorTickMark val="out"/>
        <c:minorTickMark val="none"/>
        <c:tickLblPos val="nextTo"/>
        <c:txPr>
          <a:bodyPr rot="0" vert="horz"/>
          <a:lstStyle/>
          <a:p>
            <a:pPr>
              <a:defRPr/>
            </a:pPr>
            <a:endParaRPr lang="pt-BR"/>
          </a:p>
        </c:txPr>
        <c:crossAx val="663617536"/>
        <c:crosses val="autoZero"/>
        <c:auto val="0"/>
        <c:lblOffset val="100"/>
        <c:baseTimeUnit val="days"/>
        <c:minorUnit val="1"/>
      </c:dateAx>
      <c:valAx>
        <c:axId val="663617536"/>
        <c:scaling>
          <c:orientation val="minMax"/>
          <c:min val="0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pt-BR"/>
                  <a:t>Vazões (m³/s)</a:t>
                </a:r>
              </a:p>
            </c:rich>
          </c:tx>
          <c:layout>
            <c:manualLayout>
              <c:xMode val="edge"/>
              <c:yMode val="edge"/>
              <c:x val="5.3936113587626873E-5"/>
              <c:y val="0.3198800936316068"/>
            </c:manualLayout>
          </c:layout>
          <c:overlay val="0"/>
        </c:title>
        <c:numFmt formatCode="0" sourceLinked="0"/>
        <c:majorTickMark val="out"/>
        <c:minorTickMark val="none"/>
        <c:tickLblPos val="nextTo"/>
        <c:txPr>
          <a:bodyPr rot="0" vert="horz"/>
          <a:lstStyle/>
          <a:p>
            <a:pPr>
              <a:defRPr/>
            </a:pPr>
            <a:endParaRPr lang="pt-BR"/>
          </a:p>
        </c:txPr>
        <c:crossAx val="663610464"/>
        <c:crosses val="autoZero"/>
        <c:crossBetween val="between"/>
      </c:valAx>
      <c:valAx>
        <c:axId val="663606656"/>
        <c:scaling>
          <c:orientation val="maxMin"/>
          <c:max val="150"/>
          <c:min val="0"/>
        </c:scaling>
        <c:delete val="0"/>
        <c:axPos val="r"/>
        <c:title>
          <c:tx>
            <c:rich>
              <a:bodyPr/>
              <a:lstStyle/>
              <a:p>
                <a:pPr>
                  <a:defRPr/>
                </a:pPr>
                <a:r>
                  <a:rPr lang="pt-BR"/>
                  <a:t>Precipitação (mm)</a:t>
                </a:r>
              </a:p>
            </c:rich>
          </c:tx>
          <c:layout>
            <c:manualLayout>
              <c:xMode val="edge"/>
              <c:yMode val="edge"/>
              <c:x val="0.96814726840855103"/>
              <c:y val="0.26795561850802646"/>
            </c:manualLayout>
          </c:layout>
          <c:overlay val="0"/>
        </c:title>
        <c:numFmt formatCode="0" sourceLinked="0"/>
        <c:majorTickMark val="out"/>
        <c:minorTickMark val="none"/>
        <c:tickLblPos val="nextTo"/>
        <c:crossAx val="663608288"/>
        <c:crosses val="max"/>
        <c:crossBetween val="between"/>
        <c:majorUnit val="10"/>
      </c:valAx>
      <c:catAx>
        <c:axId val="663608288"/>
        <c:scaling>
          <c:orientation val="minMax"/>
        </c:scaling>
        <c:delete val="1"/>
        <c:axPos val="t"/>
        <c:numFmt formatCode="mmm\-yy" sourceLinked="1"/>
        <c:majorTickMark val="out"/>
        <c:minorTickMark val="none"/>
        <c:tickLblPos val="nextTo"/>
        <c:crossAx val="663606656"/>
        <c:crosses val="autoZero"/>
        <c:auto val="0"/>
        <c:lblAlgn val="ctr"/>
        <c:lblOffset val="100"/>
        <c:noMultiLvlLbl val="1"/>
      </c:catAx>
    </c:plotArea>
    <c:legend>
      <c:legendPos val="r"/>
      <c:layout>
        <c:manualLayout>
          <c:xMode val="edge"/>
          <c:yMode val="edge"/>
          <c:x val="0"/>
          <c:y val="0.91977730563424609"/>
          <c:w val="0.98971577128808264"/>
          <c:h val="8.0222605864106553E-2"/>
        </c:manualLayout>
      </c:layout>
      <c:overlay val="0"/>
    </c:legend>
    <c:plotVisOnly val="1"/>
    <c:dispBlanksAs val="gap"/>
    <c:showDLblsOverMax val="0"/>
  </c:chart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0291270783847981"/>
          <c:y val="1.5777554121524279E-2"/>
          <c:w val="0.81509369226708894"/>
          <c:h val="0.77590966320428068"/>
        </c:manualLayout>
      </c:layout>
      <c:barChart>
        <c:barDir val="col"/>
        <c:grouping val="clustered"/>
        <c:varyColors val="0"/>
        <c:ser>
          <c:idx val="5"/>
          <c:order val="4"/>
          <c:tx>
            <c:v>Chuva prev ponderada</c:v>
          </c:tx>
          <c:spPr>
            <a:solidFill>
              <a:schemeClr val="accent4"/>
            </a:solidFill>
            <a:ln>
              <a:solidFill>
                <a:srgbClr val="7030A0"/>
              </a:solidFill>
            </a:ln>
          </c:spPr>
          <c:invertIfNegative val="0"/>
          <c:dPt>
            <c:idx val="39"/>
            <c:invertIfNegative val="0"/>
            <c:bubble3D val="0"/>
            <c:spPr>
              <a:solidFill>
                <a:schemeClr val="accent4"/>
              </a:solidFill>
              <a:ln>
                <a:noFill/>
              </a:ln>
            </c:spPr>
            <c:extLst>
              <c:ext xmlns:c16="http://schemas.microsoft.com/office/drawing/2014/chart" uri="{C3380CC4-5D6E-409C-BE32-E72D297353CC}">
                <c16:uniqueId val="{00000001-567E-444C-83EC-85B10FD3405D}"/>
              </c:ext>
            </c:extLst>
          </c:dPt>
          <c:val>
            <c:numRef>
              <c:f>Operacional_9_meses!$BL$24:$BL$325</c:f>
              <c:numCache>
                <c:formatCode>0.00</c:formatCode>
                <c:ptCount val="302"/>
                <c:pt idx="30">
                  <c:v>0.46888020443170064</c:v>
                </c:pt>
                <c:pt idx="31">
                  <c:v>0.73511848811006164</c:v>
                </c:pt>
                <c:pt idx="32">
                  <c:v>1.1831855775902631</c:v>
                </c:pt>
                <c:pt idx="33">
                  <c:v>3.8441017801190442</c:v>
                </c:pt>
                <c:pt idx="34">
                  <c:v>9.2533486083234475</c:v>
                </c:pt>
                <c:pt idx="35">
                  <c:v>15.267277305645143</c:v>
                </c:pt>
                <c:pt idx="36">
                  <c:v>13.357198013702236</c:v>
                </c:pt>
                <c:pt idx="37">
                  <c:v>7.6460209658791349</c:v>
                </c:pt>
                <c:pt idx="38">
                  <c:v>3.7061585551638769</c:v>
                </c:pt>
                <c:pt idx="39">
                  <c:v>6.3274940323261433</c:v>
                </c:pt>
                <c:pt idx="40">
                  <c:v>6.9701559408082634</c:v>
                </c:pt>
                <c:pt idx="41">
                  <c:v>5.409312572508</c:v>
                </c:pt>
                <c:pt idx="42">
                  <c:v>5.639999469504021</c:v>
                </c:pt>
                <c:pt idx="43">
                  <c:v>8.6596207902264606</c:v>
                </c:pt>
                <c:pt idx="44">
                  <c:v>7.7292108731617439</c:v>
                </c:pt>
                <c:pt idx="45">
                  <c:v>0.5612425189190936</c:v>
                </c:pt>
                <c:pt idx="46">
                  <c:v>0.56348616618781167</c:v>
                </c:pt>
                <c:pt idx="47">
                  <c:v>0.70097767200160033</c:v>
                </c:pt>
                <c:pt idx="48">
                  <c:v>3.8916058845074026</c:v>
                </c:pt>
                <c:pt idx="49">
                  <c:v>14.166278716989066</c:v>
                </c:pt>
                <c:pt idx="50">
                  <c:v>25.036906260491566</c:v>
                </c:pt>
                <c:pt idx="51">
                  <c:v>25.254136572387065</c:v>
                </c:pt>
                <c:pt idx="52">
                  <c:v>11.056633966573449</c:v>
                </c:pt>
                <c:pt idx="53">
                  <c:v>0.94673098478798012</c:v>
                </c:pt>
                <c:pt idx="54">
                  <c:v>0.67207715343132779</c:v>
                </c:pt>
                <c:pt idx="55">
                  <c:v>7.1055763481513837E-2</c:v>
                </c:pt>
                <c:pt idx="56">
                  <c:v>8.0850207545745179E-2</c:v>
                </c:pt>
                <c:pt idx="57">
                  <c:v>5.6323172220703044E-2</c:v>
                </c:pt>
                <c:pt idx="58">
                  <c:v>6.8937343176206353E-2</c:v>
                </c:pt>
                <c:pt idx="59">
                  <c:v>0.45102933378629401</c:v>
                </c:pt>
                <c:pt idx="60">
                  <c:v>4.5928874278621157</c:v>
                </c:pt>
                <c:pt idx="61">
                  <c:v>9.3094383838147117</c:v>
                </c:pt>
                <c:pt idx="62">
                  <c:v>12.041185063562413</c:v>
                </c:pt>
                <c:pt idx="63">
                  <c:v>6.1706085651300899</c:v>
                </c:pt>
                <c:pt idx="64">
                  <c:v>3.0059234169175291</c:v>
                </c:pt>
                <c:pt idx="65">
                  <c:v>1.0856936318725869</c:v>
                </c:pt>
                <c:pt idx="66">
                  <c:v>3.0879299022110205</c:v>
                </c:pt>
                <c:pt idx="67">
                  <c:v>4.625010639931058</c:v>
                </c:pt>
                <c:pt idx="68">
                  <c:v>3.7188433092756181</c:v>
                </c:pt>
                <c:pt idx="69">
                  <c:v>0.93934206968037237</c:v>
                </c:pt>
                <c:pt idx="70">
                  <c:v>6.8478253549134278</c:v>
                </c:pt>
                <c:pt idx="71">
                  <c:v>17.033535807779923</c:v>
                </c:pt>
                <c:pt idx="72">
                  <c:v>30.241182046688134</c:v>
                </c:pt>
                <c:pt idx="73">
                  <c:v>27.187720917805706</c:v>
                </c:pt>
                <c:pt idx="74">
                  <c:v>20.800889086975594</c:v>
                </c:pt>
                <c:pt idx="75">
                  <c:v>7.4122199747655255</c:v>
                </c:pt>
                <c:pt idx="76">
                  <c:v>3.2564455584143848</c:v>
                </c:pt>
                <c:pt idx="77">
                  <c:v>3.0752250159892665</c:v>
                </c:pt>
                <c:pt idx="78">
                  <c:v>1.4550871941194619</c:v>
                </c:pt>
                <c:pt idx="79">
                  <c:v>0.44442302762267588</c:v>
                </c:pt>
                <c:pt idx="80">
                  <c:v>0.14222246919326628</c:v>
                </c:pt>
                <c:pt idx="81">
                  <c:v>6.7243855815353276E-2</c:v>
                </c:pt>
                <c:pt idx="82">
                  <c:v>2.9116589962814863</c:v>
                </c:pt>
                <c:pt idx="83">
                  <c:v>7.9031110391160659</c:v>
                </c:pt>
                <c:pt idx="84">
                  <c:v>12.468424703885221</c:v>
                </c:pt>
                <c:pt idx="85">
                  <c:v>10.249502896094159</c:v>
                </c:pt>
                <c:pt idx="86">
                  <c:v>7.1667164328814152</c:v>
                </c:pt>
                <c:pt idx="87">
                  <c:v>4.8182679842593119</c:v>
                </c:pt>
                <c:pt idx="88">
                  <c:v>5.1027269805195292</c:v>
                </c:pt>
                <c:pt idx="89">
                  <c:v>6.0700190476313516</c:v>
                </c:pt>
                <c:pt idx="90">
                  <c:v>7.4567582712715179</c:v>
                </c:pt>
                <c:pt idx="91">
                  <c:v>6.6878264430508967</c:v>
                </c:pt>
                <c:pt idx="92">
                  <c:v>8.9590672462303473</c:v>
                </c:pt>
                <c:pt idx="93">
                  <c:v>13.014909557875951</c:v>
                </c:pt>
                <c:pt idx="94">
                  <c:v>9.8627934450634385</c:v>
                </c:pt>
                <c:pt idx="95">
                  <c:v>11.60211063747953</c:v>
                </c:pt>
                <c:pt idx="96">
                  <c:v>13.710524524413922</c:v>
                </c:pt>
                <c:pt idx="97">
                  <c:v>15.941093363333771</c:v>
                </c:pt>
                <c:pt idx="98">
                  <c:v>7.679809247776987</c:v>
                </c:pt>
                <c:pt idx="99">
                  <c:v>5.8363796087434654</c:v>
                </c:pt>
                <c:pt idx="100">
                  <c:v>0.30336712299471369</c:v>
                </c:pt>
                <c:pt idx="101">
                  <c:v>0.35727652869494109</c:v>
                </c:pt>
                <c:pt idx="102">
                  <c:v>9.5913040173469216E-2</c:v>
                </c:pt>
                <c:pt idx="103">
                  <c:v>0.11425873203484921</c:v>
                </c:pt>
                <c:pt idx="104">
                  <c:v>0.19397892504126635</c:v>
                </c:pt>
                <c:pt idx="105">
                  <c:v>0.42740880229683176</c:v>
                </c:pt>
                <c:pt idx="106">
                  <c:v>1.7200191888562764</c:v>
                </c:pt>
                <c:pt idx="107">
                  <c:v>3.1044336679282964</c:v>
                </c:pt>
                <c:pt idx="108">
                  <c:v>3.3512419395135078</c:v>
                </c:pt>
                <c:pt idx="109">
                  <c:v>3.2532267753532627</c:v>
                </c:pt>
                <c:pt idx="110">
                  <c:v>3.8372522376976761</c:v>
                </c:pt>
                <c:pt idx="111">
                  <c:v>7.6377362219829763</c:v>
                </c:pt>
                <c:pt idx="112">
                  <c:v>7.9922738736290011</c:v>
                </c:pt>
                <c:pt idx="113">
                  <c:v>9.4131399763961188</c:v>
                </c:pt>
                <c:pt idx="114">
                  <c:v>3.7793018872951794</c:v>
                </c:pt>
                <c:pt idx="115">
                  <c:v>1.2089531456222635</c:v>
                </c:pt>
                <c:pt idx="116">
                  <c:v>1.065645619132771</c:v>
                </c:pt>
                <c:pt idx="117">
                  <c:v>2.3636847083541328</c:v>
                </c:pt>
                <c:pt idx="118">
                  <c:v>3.0957977499461289</c:v>
                </c:pt>
                <c:pt idx="119">
                  <c:v>1.7697105132690412</c:v>
                </c:pt>
                <c:pt idx="120">
                  <c:v>8.666403948274487E-2</c:v>
                </c:pt>
                <c:pt idx="121">
                  <c:v>0.10045672481156367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  <c:pt idx="256">
                  <c:v>0</c:v>
                </c:pt>
                <c:pt idx="257">
                  <c:v>0</c:v>
                </c:pt>
                <c:pt idx="258">
                  <c:v>0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  <c:pt idx="282">
                  <c:v>0</c:v>
                </c:pt>
                <c:pt idx="283">
                  <c:v>0</c:v>
                </c:pt>
                <c:pt idx="284">
                  <c:v>0</c:v>
                </c:pt>
                <c:pt idx="285">
                  <c:v>0</c:v>
                </c:pt>
                <c:pt idx="286">
                  <c:v>0</c:v>
                </c:pt>
                <c:pt idx="287">
                  <c:v>0</c:v>
                </c:pt>
                <c:pt idx="288">
                  <c:v>0</c:v>
                </c:pt>
                <c:pt idx="289">
                  <c:v>0</c:v>
                </c:pt>
                <c:pt idx="290">
                  <c:v>0</c:v>
                </c:pt>
                <c:pt idx="291">
                  <c:v>0</c:v>
                </c:pt>
                <c:pt idx="292">
                  <c:v>0</c:v>
                </c:pt>
                <c:pt idx="293">
                  <c:v>0</c:v>
                </c:pt>
                <c:pt idx="294">
                  <c:v>0</c:v>
                </c:pt>
                <c:pt idx="295">
                  <c:v>0</c:v>
                </c:pt>
                <c:pt idx="296">
                  <c:v>0</c:v>
                </c:pt>
                <c:pt idx="297">
                  <c:v>0</c:v>
                </c:pt>
                <c:pt idx="298">
                  <c:v>0</c:v>
                </c:pt>
                <c:pt idx="299">
                  <c:v>0</c:v>
                </c:pt>
                <c:pt idx="300">
                  <c:v>0</c:v>
                </c:pt>
                <c:pt idx="30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567E-444C-83EC-85B10FD3405D}"/>
            </c:ext>
          </c:extLst>
        </c:ser>
        <c:ser>
          <c:idx val="4"/>
          <c:order val="5"/>
          <c:tx>
            <c:v>Chuva obs ponderada</c:v>
          </c:tx>
          <c:spPr>
            <a:solidFill>
              <a:schemeClr val="tx2">
                <a:lumMod val="40000"/>
                <a:lumOff val="60000"/>
                <a:alpha val="67000"/>
              </a:schemeClr>
            </a:solidFill>
            <a:ln>
              <a:noFill/>
            </a:ln>
          </c:spPr>
          <c:invertIfNegative val="0"/>
          <c:val>
            <c:numRef>
              <c:f>Operacional_9_meses!$AC$24:$AC$53</c:f>
              <c:numCache>
                <c:formatCode>0.0</c:formatCode>
                <c:ptCount val="30"/>
                <c:pt idx="0">
                  <c:v>1.8739810199400995</c:v>
                </c:pt>
                <c:pt idx="1">
                  <c:v>3.5743669305951831</c:v>
                </c:pt>
                <c:pt idx="2">
                  <c:v>6.0902894020061362</c:v>
                </c:pt>
                <c:pt idx="3">
                  <c:v>23.379420429365496</c:v>
                </c:pt>
                <c:pt idx="4">
                  <c:v>14.628482023902196</c:v>
                </c:pt>
                <c:pt idx="5">
                  <c:v>6.3365742618437073</c:v>
                </c:pt>
                <c:pt idx="6">
                  <c:v>1.9112568381984532</c:v>
                </c:pt>
                <c:pt idx="7">
                  <c:v>0.42522718957934413</c:v>
                </c:pt>
                <c:pt idx="8">
                  <c:v>3.235732341488867</c:v>
                </c:pt>
                <c:pt idx="9">
                  <c:v>10.696820386751661</c:v>
                </c:pt>
                <c:pt idx="10">
                  <c:v>14.698274516498451</c:v>
                </c:pt>
                <c:pt idx="11">
                  <c:v>16.539364215000159</c:v>
                </c:pt>
                <c:pt idx="12">
                  <c:v>6.616338004985983</c:v>
                </c:pt>
                <c:pt idx="13">
                  <c:v>5.2141017624034536</c:v>
                </c:pt>
                <c:pt idx="14">
                  <c:v>0.604633352342139</c:v>
                </c:pt>
                <c:pt idx="15">
                  <c:v>0.35864688280172424</c:v>
                </c:pt>
                <c:pt idx="16">
                  <c:v>0.10451122861875817</c:v>
                </c:pt>
                <c:pt idx="17">
                  <c:v>0.10893418164959043</c:v>
                </c:pt>
                <c:pt idx="18">
                  <c:v>5.1415960175666218</c:v>
                </c:pt>
                <c:pt idx="19">
                  <c:v>7.3898745664426038</c:v>
                </c:pt>
                <c:pt idx="20">
                  <c:v>5.7233457425335121</c:v>
                </c:pt>
                <c:pt idx="21">
                  <c:v>9.9126409843517127</c:v>
                </c:pt>
                <c:pt idx="22">
                  <c:v>20.714867868449449</c:v>
                </c:pt>
                <c:pt idx="23">
                  <c:v>10.037475437603732</c:v>
                </c:pt>
                <c:pt idx="24">
                  <c:v>2.2946317768124884</c:v>
                </c:pt>
                <c:pt idx="25">
                  <c:v>7.7064400084301132</c:v>
                </c:pt>
                <c:pt idx="26">
                  <c:v>15.943710435198005</c:v>
                </c:pt>
                <c:pt idx="27">
                  <c:v>10.996606365718334</c:v>
                </c:pt>
                <c:pt idx="28">
                  <c:v>6.0648584285925313</c:v>
                </c:pt>
                <c:pt idx="29">
                  <c:v>1.4801711811336007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567E-444C-83EC-85B10FD3405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35"/>
        <c:overlap val="100"/>
        <c:axId val="663613728"/>
        <c:axId val="663611552"/>
      </c:barChart>
      <c:lineChart>
        <c:grouping val="standard"/>
        <c:varyColors val="0"/>
        <c:ser>
          <c:idx val="0"/>
          <c:order val="0"/>
          <c:tx>
            <c:v>Q obs</c:v>
          </c:tx>
          <c:spPr>
            <a:ln>
              <a:solidFill>
                <a:schemeClr val="accent1"/>
              </a:solidFill>
            </a:ln>
          </c:spPr>
          <c:marker>
            <c:symbol val="square"/>
            <c:size val="4"/>
            <c:spPr>
              <a:ln>
                <a:solidFill>
                  <a:schemeClr val="accent1"/>
                </a:solidFill>
              </a:ln>
            </c:spPr>
          </c:marker>
          <c:cat>
            <c:numRef>
              <c:f>Operacional_9_meses!$A$24:$A$325</c:f>
              <c:numCache>
                <c:formatCode>m/d/yyyy</c:formatCode>
                <c:ptCount val="302"/>
                <c:pt idx="0">
                  <c:v>42429</c:v>
                </c:pt>
                <c:pt idx="1">
                  <c:v>42430</c:v>
                </c:pt>
                <c:pt idx="2">
                  <c:v>42431</c:v>
                </c:pt>
                <c:pt idx="3">
                  <c:v>42432</c:v>
                </c:pt>
                <c:pt idx="4">
                  <c:v>42433</c:v>
                </c:pt>
                <c:pt idx="5">
                  <c:v>42434</c:v>
                </c:pt>
                <c:pt idx="6">
                  <c:v>42435</c:v>
                </c:pt>
                <c:pt idx="7">
                  <c:v>42436</c:v>
                </c:pt>
                <c:pt idx="8">
                  <c:v>42437</c:v>
                </c:pt>
                <c:pt idx="9">
                  <c:v>42438</c:v>
                </c:pt>
                <c:pt idx="10">
                  <c:v>42439</c:v>
                </c:pt>
                <c:pt idx="11">
                  <c:v>42440</c:v>
                </c:pt>
                <c:pt idx="12">
                  <c:v>42441</c:v>
                </c:pt>
                <c:pt idx="13">
                  <c:v>42442</c:v>
                </c:pt>
                <c:pt idx="14">
                  <c:v>42443</c:v>
                </c:pt>
                <c:pt idx="15">
                  <c:v>42444</c:v>
                </c:pt>
                <c:pt idx="16">
                  <c:v>42445</c:v>
                </c:pt>
                <c:pt idx="17">
                  <c:v>42446</c:v>
                </c:pt>
                <c:pt idx="18">
                  <c:v>42447</c:v>
                </c:pt>
                <c:pt idx="19">
                  <c:v>42448</c:v>
                </c:pt>
                <c:pt idx="20">
                  <c:v>42449</c:v>
                </c:pt>
                <c:pt idx="21">
                  <c:v>42450</c:v>
                </c:pt>
                <c:pt idx="22">
                  <c:v>42451</c:v>
                </c:pt>
                <c:pt idx="23">
                  <c:v>42452</c:v>
                </c:pt>
                <c:pt idx="24">
                  <c:v>42453</c:v>
                </c:pt>
                <c:pt idx="25">
                  <c:v>42454</c:v>
                </c:pt>
                <c:pt idx="26">
                  <c:v>42455</c:v>
                </c:pt>
                <c:pt idx="27">
                  <c:v>42456</c:v>
                </c:pt>
                <c:pt idx="28">
                  <c:v>42457</c:v>
                </c:pt>
                <c:pt idx="29">
                  <c:v>42458</c:v>
                </c:pt>
                <c:pt idx="30">
                  <c:v>42459</c:v>
                </c:pt>
                <c:pt idx="31">
                  <c:v>42460</c:v>
                </c:pt>
                <c:pt idx="32">
                  <c:v>42461</c:v>
                </c:pt>
                <c:pt idx="33">
                  <c:v>42462</c:v>
                </c:pt>
                <c:pt idx="34">
                  <c:v>42463</c:v>
                </c:pt>
                <c:pt idx="35">
                  <c:v>42464</c:v>
                </c:pt>
                <c:pt idx="36">
                  <c:v>42465</c:v>
                </c:pt>
                <c:pt idx="37">
                  <c:v>42466</c:v>
                </c:pt>
                <c:pt idx="38">
                  <c:v>42467</c:v>
                </c:pt>
                <c:pt idx="39">
                  <c:v>42468</c:v>
                </c:pt>
                <c:pt idx="40">
                  <c:v>42469</c:v>
                </c:pt>
                <c:pt idx="41">
                  <c:v>42470</c:v>
                </c:pt>
                <c:pt idx="42">
                  <c:v>42471</c:v>
                </c:pt>
                <c:pt idx="43">
                  <c:v>42472</c:v>
                </c:pt>
                <c:pt idx="44">
                  <c:v>42473</c:v>
                </c:pt>
                <c:pt idx="45">
                  <c:v>42474</c:v>
                </c:pt>
                <c:pt idx="46">
                  <c:v>42475</c:v>
                </c:pt>
                <c:pt idx="47">
                  <c:v>42476</c:v>
                </c:pt>
                <c:pt idx="48">
                  <c:v>42477</c:v>
                </c:pt>
                <c:pt idx="49">
                  <c:v>42478</c:v>
                </c:pt>
                <c:pt idx="50">
                  <c:v>42479</c:v>
                </c:pt>
                <c:pt idx="51">
                  <c:v>42480</c:v>
                </c:pt>
                <c:pt idx="52">
                  <c:v>42481</c:v>
                </c:pt>
                <c:pt idx="53">
                  <c:v>42482</c:v>
                </c:pt>
                <c:pt idx="54">
                  <c:v>42483</c:v>
                </c:pt>
                <c:pt idx="55">
                  <c:v>42484</c:v>
                </c:pt>
                <c:pt idx="56">
                  <c:v>42485</c:v>
                </c:pt>
                <c:pt idx="57">
                  <c:v>42486</c:v>
                </c:pt>
                <c:pt idx="58">
                  <c:v>42487</c:v>
                </c:pt>
                <c:pt idx="59">
                  <c:v>42488</c:v>
                </c:pt>
                <c:pt idx="60">
                  <c:v>42489</c:v>
                </c:pt>
                <c:pt idx="61">
                  <c:v>42490</c:v>
                </c:pt>
                <c:pt idx="62">
                  <c:v>42491</c:v>
                </c:pt>
                <c:pt idx="63">
                  <c:v>42492</c:v>
                </c:pt>
                <c:pt idx="64">
                  <c:v>42493</c:v>
                </c:pt>
                <c:pt idx="65">
                  <c:v>42494</c:v>
                </c:pt>
                <c:pt idx="66">
                  <c:v>42495</c:v>
                </c:pt>
                <c:pt idx="67">
                  <c:v>42496</c:v>
                </c:pt>
                <c:pt idx="68">
                  <c:v>42497</c:v>
                </c:pt>
                <c:pt idx="69">
                  <c:v>42498</c:v>
                </c:pt>
                <c:pt idx="70">
                  <c:v>42499</c:v>
                </c:pt>
                <c:pt idx="71">
                  <c:v>42500</c:v>
                </c:pt>
                <c:pt idx="72">
                  <c:v>42501</c:v>
                </c:pt>
                <c:pt idx="73">
                  <c:v>42502</c:v>
                </c:pt>
                <c:pt idx="74">
                  <c:v>42503</c:v>
                </c:pt>
                <c:pt idx="75">
                  <c:v>42504</c:v>
                </c:pt>
                <c:pt idx="76">
                  <c:v>42505</c:v>
                </c:pt>
                <c:pt idx="77">
                  <c:v>42506</c:v>
                </c:pt>
                <c:pt idx="78">
                  <c:v>42507</c:v>
                </c:pt>
                <c:pt idx="79">
                  <c:v>42508</c:v>
                </c:pt>
                <c:pt idx="80">
                  <c:v>42509</c:v>
                </c:pt>
                <c:pt idx="81">
                  <c:v>42510</c:v>
                </c:pt>
                <c:pt idx="82">
                  <c:v>42511</c:v>
                </c:pt>
                <c:pt idx="83">
                  <c:v>42512</c:v>
                </c:pt>
                <c:pt idx="84">
                  <c:v>42513</c:v>
                </c:pt>
                <c:pt idx="85">
                  <c:v>42514</c:v>
                </c:pt>
                <c:pt idx="86">
                  <c:v>42515</c:v>
                </c:pt>
                <c:pt idx="87">
                  <c:v>42516</c:v>
                </c:pt>
                <c:pt idx="88">
                  <c:v>42517</c:v>
                </c:pt>
                <c:pt idx="89">
                  <c:v>42518</c:v>
                </c:pt>
                <c:pt idx="90">
                  <c:v>42519</c:v>
                </c:pt>
                <c:pt idx="91">
                  <c:v>42520</c:v>
                </c:pt>
                <c:pt idx="92">
                  <c:v>42521</c:v>
                </c:pt>
                <c:pt idx="93">
                  <c:v>42522</c:v>
                </c:pt>
                <c:pt idx="94">
                  <c:v>42523</c:v>
                </c:pt>
                <c:pt idx="95">
                  <c:v>42524</c:v>
                </c:pt>
                <c:pt idx="96">
                  <c:v>42525</c:v>
                </c:pt>
                <c:pt idx="97">
                  <c:v>42526</c:v>
                </c:pt>
                <c:pt idx="98">
                  <c:v>42527</c:v>
                </c:pt>
                <c:pt idx="99">
                  <c:v>42528</c:v>
                </c:pt>
                <c:pt idx="100">
                  <c:v>42529</c:v>
                </c:pt>
                <c:pt idx="101">
                  <c:v>42530</c:v>
                </c:pt>
                <c:pt idx="102">
                  <c:v>42531</c:v>
                </c:pt>
                <c:pt idx="103">
                  <c:v>42532</c:v>
                </c:pt>
                <c:pt idx="104">
                  <c:v>42533</c:v>
                </c:pt>
                <c:pt idx="105">
                  <c:v>42534</c:v>
                </c:pt>
                <c:pt idx="106">
                  <c:v>42535</c:v>
                </c:pt>
                <c:pt idx="107">
                  <c:v>42536</c:v>
                </c:pt>
                <c:pt idx="108">
                  <c:v>42537</c:v>
                </c:pt>
                <c:pt idx="109">
                  <c:v>42538</c:v>
                </c:pt>
                <c:pt idx="110">
                  <c:v>42539</c:v>
                </c:pt>
                <c:pt idx="111">
                  <c:v>42540</c:v>
                </c:pt>
                <c:pt idx="112">
                  <c:v>42541</c:v>
                </c:pt>
                <c:pt idx="113">
                  <c:v>42542</c:v>
                </c:pt>
                <c:pt idx="114">
                  <c:v>42543</c:v>
                </c:pt>
                <c:pt idx="115">
                  <c:v>42544</c:v>
                </c:pt>
                <c:pt idx="116">
                  <c:v>42545</c:v>
                </c:pt>
                <c:pt idx="117">
                  <c:v>42546</c:v>
                </c:pt>
                <c:pt idx="118">
                  <c:v>42547</c:v>
                </c:pt>
                <c:pt idx="119">
                  <c:v>42548</c:v>
                </c:pt>
                <c:pt idx="120">
                  <c:v>42549</c:v>
                </c:pt>
                <c:pt idx="121">
                  <c:v>42550</c:v>
                </c:pt>
                <c:pt idx="122">
                  <c:v>42551</c:v>
                </c:pt>
                <c:pt idx="123">
                  <c:v>42552</c:v>
                </c:pt>
                <c:pt idx="124">
                  <c:v>42553</c:v>
                </c:pt>
                <c:pt idx="125">
                  <c:v>42554</c:v>
                </c:pt>
                <c:pt idx="126">
                  <c:v>42555</c:v>
                </c:pt>
                <c:pt idx="127">
                  <c:v>42556</c:v>
                </c:pt>
                <c:pt idx="128">
                  <c:v>42557</c:v>
                </c:pt>
                <c:pt idx="129">
                  <c:v>42558</c:v>
                </c:pt>
                <c:pt idx="130">
                  <c:v>42559</c:v>
                </c:pt>
                <c:pt idx="131">
                  <c:v>42560</c:v>
                </c:pt>
                <c:pt idx="132">
                  <c:v>42561</c:v>
                </c:pt>
                <c:pt idx="133">
                  <c:v>42562</c:v>
                </c:pt>
                <c:pt idx="134">
                  <c:v>42563</c:v>
                </c:pt>
                <c:pt idx="135">
                  <c:v>42564</c:v>
                </c:pt>
                <c:pt idx="136">
                  <c:v>42565</c:v>
                </c:pt>
                <c:pt idx="137">
                  <c:v>42566</c:v>
                </c:pt>
                <c:pt idx="138">
                  <c:v>42567</c:v>
                </c:pt>
                <c:pt idx="139">
                  <c:v>42568</c:v>
                </c:pt>
                <c:pt idx="140">
                  <c:v>42569</c:v>
                </c:pt>
                <c:pt idx="141">
                  <c:v>42570</c:v>
                </c:pt>
                <c:pt idx="142">
                  <c:v>42571</c:v>
                </c:pt>
                <c:pt idx="143">
                  <c:v>42572</c:v>
                </c:pt>
                <c:pt idx="144">
                  <c:v>42573</c:v>
                </c:pt>
                <c:pt idx="145">
                  <c:v>42574</c:v>
                </c:pt>
                <c:pt idx="146">
                  <c:v>42575</c:v>
                </c:pt>
                <c:pt idx="147">
                  <c:v>42576</c:v>
                </c:pt>
                <c:pt idx="148">
                  <c:v>42577</c:v>
                </c:pt>
                <c:pt idx="149">
                  <c:v>42578</c:v>
                </c:pt>
                <c:pt idx="150">
                  <c:v>42579</c:v>
                </c:pt>
                <c:pt idx="151">
                  <c:v>42580</c:v>
                </c:pt>
                <c:pt idx="152">
                  <c:v>42581</c:v>
                </c:pt>
                <c:pt idx="153">
                  <c:v>42582</c:v>
                </c:pt>
                <c:pt idx="154">
                  <c:v>42583</c:v>
                </c:pt>
                <c:pt idx="155">
                  <c:v>42584</c:v>
                </c:pt>
                <c:pt idx="156">
                  <c:v>42585</c:v>
                </c:pt>
                <c:pt idx="157">
                  <c:v>42586</c:v>
                </c:pt>
                <c:pt idx="158">
                  <c:v>42587</c:v>
                </c:pt>
                <c:pt idx="159">
                  <c:v>42588</c:v>
                </c:pt>
                <c:pt idx="160">
                  <c:v>42589</c:v>
                </c:pt>
                <c:pt idx="161">
                  <c:v>42590</c:v>
                </c:pt>
                <c:pt idx="162">
                  <c:v>42591</c:v>
                </c:pt>
                <c:pt idx="163">
                  <c:v>42592</c:v>
                </c:pt>
                <c:pt idx="164">
                  <c:v>42593</c:v>
                </c:pt>
                <c:pt idx="165">
                  <c:v>42594</c:v>
                </c:pt>
                <c:pt idx="166">
                  <c:v>42595</c:v>
                </c:pt>
                <c:pt idx="167">
                  <c:v>42596</c:v>
                </c:pt>
                <c:pt idx="168">
                  <c:v>42597</c:v>
                </c:pt>
                <c:pt idx="169">
                  <c:v>42598</c:v>
                </c:pt>
                <c:pt idx="170">
                  <c:v>42599</c:v>
                </c:pt>
                <c:pt idx="171">
                  <c:v>42600</c:v>
                </c:pt>
                <c:pt idx="172">
                  <c:v>42601</c:v>
                </c:pt>
                <c:pt idx="173">
                  <c:v>42602</c:v>
                </c:pt>
                <c:pt idx="174">
                  <c:v>42603</c:v>
                </c:pt>
                <c:pt idx="175">
                  <c:v>42604</c:v>
                </c:pt>
                <c:pt idx="176">
                  <c:v>42605</c:v>
                </c:pt>
                <c:pt idx="177">
                  <c:v>42606</c:v>
                </c:pt>
                <c:pt idx="178">
                  <c:v>42607</c:v>
                </c:pt>
                <c:pt idx="179">
                  <c:v>42608</c:v>
                </c:pt>
                <c:pt idx="180">
                  <c:v>42609</c:v>
                </c:pt>
                <c:pt idx="181">
                  <c:v>42610</c:v>
                </c:pt>
                <c:pt idx="182">
                  <c:v>42611</c:v>
                </c:pt>
                <c:pt idx="183">
                  <c:v>42612</c:v>
                </c:pt>
                <c:pt idx="184">
                  <c:v>42613</c:v>
                </c:pt>
                <c:pt idx="185">
                  <c:v>42614</c:v>
                </c:pt>
                <c:pt idx="186">
                  <c:v>42615</c:v>
                </c:pt>
                <c:pt idx="187">
                  <c:v>42616</c:v>
                </c:pt>
                <c:pt idx="188">
                  <c:v>42617</c:v>
                </c:pt>
                <c:pt idx="189">
                  <c:v>42618</c:v>
                </c:pt>
                <c:pt idx="190">
                  <c:v>42619</c:v>
                </c:pt>
                <c:pt idx="191">
                  <c:v>42620</c:v>
                </c:pt>
                <c:pt idx="192">
                  <c:v>42621</c:v>
                </c:pt>
                <c:pt idx="193">
                  <c:v>42622</c:v>
                </c:pt>
                <c:pt idx="194">
                  <c:v>42623</c:v>
                </c:pt>
                <c:pt idx="195">
                  <c:v>42624</c:v>
                </c:pt>
                <c:pt idx="196">
                  <c:v>42625</c:v>
                </c:pt>
                <c:pt idx="197">
                  <c:v>42626</c:v>
                </c:pt>
                <c:pt idx="198">
                  <c:v>42627</c:v>
                </c:pt>
                <c:pt idx="199">
                  <c:v>42628</c:v>
                </c:pt>
                <c:pt idx="200">
                  <c:v>42629</c:v>
                </c:pt>
                <c:pt idx="201">
                  <c:v>42630</c:v>
                </c:pt>
                <c:pt idx="202">
                  <c:v>42631</c:v>
                </c:pt>
                <c:pt idx="203">
                  <c:v>42632</c:v>
                </c:pt>
                <c:pt idx="204">
                  <c:v>42633</c:v>
                </c:pt>
                <c:pt idx="205">
                  <c:v>42634</c:v>
                </c:pt>
                <c:pt idx="206">
                  <c:v>42635</c:v>
                </c:pt>
                <c:pt idx="207">
                  <c:v>42636</c:v>
                </c:pt>
                <c:pt idx="208">
                  <c:v>42637</c:v>
                </c:pt>
                <c:pt idx="209">
                  <c:v>42638</c:v>
                </c:pt>
                <c:pt idx="210">
                  <c:v>42639</c:v>
                </c:pt>
                <c:pt idx="211">
                  <c:v>42640</c:v>
                </c:pt>
                <c:pt idx="212">
                  <c:v>42641</c:v>
                </c:pt>
                <c:pt idx="213">
                  <c:v>42642</c:v>
                </c:pt>
                <c:pt idx="214">
                  <c:v>42643</c:v>
                </c:pt>
                <c:pt idx="215">
                  <c:v>42644</c:v>
                </c:pt>
                <c:pt idx="216">
                  <c:v>42645</c:v>
                </c:pt>
                <c:pt idx="217">
                  <c:v>42646</c:v>
                </c:pt>
                <c:pt idx="218">
                  <c:v>42647</c:v>
                </c:pt>
                <c:pt idx="219">
                  <c:v>42648</c:v>
                </c:pt>
                <c:pt idx="220">
                  <c:v>42649</c:v>
                </c:pt>
                <c:pt idx="221">
                  <c:v>42650</c:v>
                </c:pt>
                <c:pt idx="222">
                  <c:v>42651</c:v>
                </c:pt>
                <c:pt idx="223">
                  <c:v>42652</c:v>
                </c:pt>
                <c:pt idx="224">
                  <c:v>42653</c:v>
                </c:pt>
                <c:pt idx="225">
                  <c:v>42654</c:v>
                </c:pt>
                <c:pt idx="226">
                  <c:v>42655</c:v>
                </c:pt>
                <c:pt idx="227">
                  <c:v>42656</c:v>
                </c:pt>
                <c:pt idx="228">
                  <c:v>42657</c:v>
                </c:pt>
                <c:pt idx="229">
                  <c:v>42658</c:v>
                </c:pt>
                <c:pt idx="230">
                  <c:v>42659</c:v>
                </c:pt>
                <c:pt idx="231">
                  <c:v>42660</c:v>
                </c:pt>
                <c:pt idx="232">
                  <c:v>42661</c:v>
                </c:pt>
                <c:pt idx="233">
                  <c:v>42662</c:v>
                </c:pt>
                <c:pt idx="234">
                  <c:v>42663</c:v>
                </c:pt>
                <c:pt idx="235">
                  <c:v>42664</c:v>
                </c:pt>
                <c:pt idx="236">
                  <c:v>42665</c:v>
                </c:pt>
                <c:pt idx="237">
                  <c:v>42666</c:v>
                </c:pt>
                <c:pt idx="238">
                  <c:v>42667</c:v>
                </c:pt>
                <c:pt idx="239">
                  <c:v>42668</c:v>
                </c:pt>
                <c:pt idx="240">
                  <c:v>42669</c:v>
                </c:pt>
                <c:pt idx="241">
                  <c:v>42670</c:v>
                </c:pt>
                <c:pt idx="242">
                  <c:v>42671</c:v>
                </c:pt>
                <c:pt idx="243">
                  <c:v>42672</c:v>
                </c:pt>
                <c:pt idx="244">
                  <c:v>42673</c:v>
                </c:pt>
                <c:pt idx="245">
                  <c:v>42674</c:v>
                </c:pt>
                <c:pt idx="246">
                  <c:v>42675</c:v>
                </c:pt>
                <c:pt idx="247">
                  <c:v>42676</c:v>
                </c:pt>
                <c:pt idx="248">
                  <c:v>42677</c:v>
                </c:pt>
                <c:pt idx="249">
                  <c:v>42678</c:v>
                </c:pt>
                <c:pt idx="250">
                  <c:v>42679</c:v>
                </c:pt>
                <c:pt idx="251">
                  <c:v>42680</c:v>
                </c:pt>
                <c:pt idx="252">
                  <c:v>42681</c:v>
                </c:pt>
                <c:pt idx="253">
                  <c:v>42682</c:v>
                </c:pt>
                <c:pt idx="254">
                  <c:v>42683</c:v>
                </c:pt>
                <c:pt idx="255">
                  <c:v>42684</c:v>
                </c:pt>
                <c:pt idx="256">
                  <c:v>42685</c:v>
                </c:pt>
                <c:pt idx="257">
                  <c:v>42686</c:v>
                </c:pt>
                <c:pt idx="258">
                  <c:v>42687</c:v>
                </c:pt>
                <c:pt idx="259">
                  <c:v>42688</c:v>
                </c:pt>
                <c:pt idx="260">
                  <c:v>42689</c:v>
                </c:pt>
                <c:pt idx="261">
                  <c:v>42690</c:v>
                </c:pt>
                <c:pt idx="262">
                  <c:v>42691</c:v>
                </c:pt>
                <c:pt idx="263">
                  <c:v>42692</c:v>
                </c:pt>
                <c:pt idx="264">
                  <c:v>42693</c:v>
                </c:pt>
                <c:pt idx="265">
                  <c:v>42694</c:v>
                </c:pt>
                <c:pt idx="266">
                  <c:v>42695</c:v>
                </c:pt>
                <c:pt idx="267">
                  <c:v>42696</c:v>
                </c:pt>
                <c:pt idx="268">
                  <c:v>42697</c:v>
                </c:pt>
                <c:pt idx="269">
                  <c:v>42698</c:v>
                </c:pt>
                <c:pt idx="270">
                  <c:v>42699</c:v>
                </c:pt>
                <c:pt idx="271">
                  <c:v>42700</c:v>
                </c:pt>
                <c:pt idx="272">
                  <c:v>42701</c:v>
                </c:pt>
                <c:pt idx="273">
                  <c:v>42702</c:v>
                </c:pt>
                <c:pt idx="274">
                  <c:v>42703</c:v>
                </c:pt>
                <c:pt idx="275">
                  <c:v>42704</c:v>
                </c:pt>
                <c:pt idx="276">
                  <c:v>42705</c:v>
                </c:pt>
                <c:pt idx="277">
                  <c:v>42706</c:v>
                </c:pt>
                <c:pt idx="278">
                  <c:v>42707</c:v>
                </c:pt>
                <c:pt idx="279">
                  <c:v>42708</c:v>
                </c:pt>
                <c:pt idx="280">
                  <c:v>42709</c:v>
                </c:pt>
                <c:pt idx="281">
                  <c:v>42710</c:v>
                </c:pt>
                <c:pt idx="282">
                  <c:v>42711</c:v>
                </c:pt>
                <c:pt idx="283">
                  <c:v>42712</c:v>
                </c:pt>
                <c:pt idx="284">
                  <c:v>42713</c:v>
                </c:pt>
                <c:pt idx="285">
                  <c:v>42714</c:v>
                </c:pt>
                <c:pt idx="286">
                  <c:v>42715</c:v>
                </c:pt>
                <c:pt idx="287">
                  <c:v>42716</c:v>
                </c:pt>
                <c:pt idx="288">
                  <c:v>42717</c:v>
                </c:pt>
                <c:pt idx="289">
                  <c:v>42718</c:v>
                </c:pt>
                <c:pt idx="290">
                  <c:v>42719</c:v>
                </c:pt>
                <c:pt idx="291">
                  <c:v>42720</c:v>
                </c:pt>
                <c:pt idx="292">
                  <c:v>42721</c:v>
                </c:pt>
                <c:pt idx="293">
                  <c:v>42722</c:v>
                </c:pt>
                <c:pt idx="294">
                  <c:v>42723</c:v>
                </c:pt>
                <c:pt idx="295">
                  <c:v>42724</c:v>
                </c:pt>
                <c:pt idx="296">
                  <c:v>42725</c:v>
                </c:pt>
                <c:pt idx="297">
                  <c:v>42726</c:v>
                </c:pt>
                <c:pt idx="298">
                  <c:v>42727</c:v>
                </c:pt>
                <c:pt idx="299">
                  <c:v>42728</c:v>
                </c:pt>
                <c:pt idx="300">
                  <c:v>42729</c:v>
                </c:pt>
                <c:pt idx="301">
                  <c:v>42730</c:v>
                </c:pt>
              </c:numCache>
            </c:numRef>
          </c:cat>
          <c:val>
            <c:numRef>
              <c:f>Operacional_9_meses!$B$24:$B$53</c:f>
              <c:numCache>
                <c:formatCode>0</c:formatCode>
                <c:ptCount val="30"/>
                <c:pt idx="0">
                  <c:v>1035.03556978713</c:v>
                </c:pt>
                <c:pt idx="1">
                  <c:v>894.423546771171</c:v>
                </c:pt>
                <c:pt idx="2">
                  <c:v>770.51679494953601</c:v>
                </c:pt>
                <c:pt idx="3">
                  <c:v>2008.20300002503</c:v>
                </c:pt>
                <c:pt idx="4">
                  <c:v>2064.5436128544702</c:v>
                </c:pt>
                <c:pt idx="5">
                  <c:v>1933.3914916014901</c:v>
                </c:pt>
                <c:pt idx="6">
                  <c:v>1700.6263589523101</c:v>
                </c:pt>
                <c:pt idx="7">
                  <c:v>1339.08532292257</c:v>
                </c:pt>
                <c:pt idx="8">
                  <c:v>1099.2439515618901</c:v>
                </c:pt>
                <c:pt idx="9">
                  <c:v>1180.2527855814201</c:v>
                </c:pt>
                <c:pt idx="10">
                  <c:v>1709.14781201286</c:v>
                </c:pt>
                <c:pt idx="11">
                  <c:v>2064.19808210052</c:v>
                </c:pt>
                <c:pt idx="12">
                  <c:v>2041.8017553371501</c:v>
                </c:pt>
                <c:pt idx="13">
                  <c:v>1897.4468000433001</c:v>
                </c:pt>
                <c:pt idx="14">
                  <c:v>1561.3107932038799</c:v>
                </c:pt>
                <c:pt idx="15">
                  <c:v>1289.2214994701901</c:v>
                </c:pt>
                <c:pt idx="16">
                  <c:v>1090.66473545695</c:v>
                </c:pt>
                <c:pt idx="17">
                  <c:v>929.17803163181395</c:v>
                </c:pt>
                <c:pt idx="18">
                  <c:v>832.586682242763</c:v>
                </c:pt>
                <c:pt idx="19">
                  <c:v>760.89026976625405</c:v>
                </c:pt>
                <c:pt idx="20">
                  <c:v>671.57040358134805</c:v>
                </c:pt>
                <c:pt idx="21">
                  <c:v>907.67806605403598</c:v>
                </c:pt>
                <c:pt idx="22">
                  <c:v>2079.9068913917499</c:v>
                </c:pt>
                <c:pt idx="23">
                  <c:v>2114</c:v>
                </c:pt>
                <c:pt idx="24">
                  <c:v>1609</c:v>
                </c:pt>
                <c:pt idx="25">
                  <c:v>1553</c:v>
                </c:pt>
                <c:pt idx="26">
                  <c:v>2283</c:v>
                </c:pt>
                <c:pt idx="27">
                  <c:v>2411</c:v>
                </c:pt>
                <c:pt idx="28">
                  <c:v>2110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567E-444C-83EC-85B10FD3405D}"/>
            </c:ext>
          </c:extLst>
        </c:ser>
        <c:ser>
          <c:idx val="3"/>
          <c:order val="1"/>
          <c:tx>
            <c:v>Q prev</c:v>
          </c:tx>
          <c:spPr>
            <a:ln>
              <a:solidFill>
                <a:schemeClr val="accent6">
                  <a:lumMod val="75000"/>
                </a:schemeClr>
              </a:solidFill>
            </a:ln>
          </c:spPr>
          <c:marker>
            <c:symbol val="circle"/>
            <c:size val="3"/>
            <c:spPr>
              <a:solidFill>
                <a:schemeClr val="accent6">
                  <a:lumMod val="75000"/>
                </a:schemeClr>
              </a:solidFill>
              <a:ln>
                <a:solidFill>
                  <a:schemeClr val="accent6">
                    <a:lumMod val="75000"/>
                  </a:schemeClr>
                </a:solidFill>
              </a:ln>
            </c:spPr>
          </c:marker>
          <c:cat>
            <c:numRef>
              <c:f>Operacional_9_meses!$A$24:$A$325</c:f>
              <c:numCache>
                <c:formatCode>m/d/yyyy</c:formatCode>
                <c:ptCount val="302"/>
                <c:pt idx="0">
                  <c:v>42429</c:v>
                </c:pt>
                <c:pt idx="1">
                  <c:v>42430</c:v>
                </c:pt>
                <c:pt idx="2">
                  <c:v>42431</c:v>
                </c:pt>
                <c:pt idx="3">
                  <c:v>42432</c:v>
                </c:pt>
                <c:pt idx="4">
                  <c:v>42433</c:v>
                </c:pt>
                <c:pt idx="5">
                  <c:v>42434</c:v>
                </c:pt>
                <c:pt idx="6">
                  <c:v>42435</c:v>
                </c:pt>
                <c:pt idx="7">
                  <c:v>42436</c:v>
                </c:pt>
                <c:pt idx="8">
                  <c:v>42437</c:v>
                </c:pt>
                <c:pt idx="9">
                  <c:v>42438</c:v>
                </c:pt>
                <c:pt idx="10">
                  <c:v>42439</c:v>
                </c:pt>
                <c:pt idx="11">
                  <c:v>42440</c:v>
                </c:pt>
                <c:pt idx="12">
                  <c:v>42441</c:v>
                </c:pt>
                <c:pt idx="13">
                  <c:v>42442</c:v>
                </c:pt>
                <c:pt idx="14">
                  <c:v>42443</c:v>
                </c:pt>
                <c:pt idx="15">
                  <c:v>42444</c:v>
                </c:pt>
                <c:pt idx="16">
                  <c:v>42445</c:v>
                </c:pt>
                <c:pt idx="17">
                  <c:v>42446</c:v>
                </c:pt>
                <c:pt idx="18">
                  <c:v>42447</c:v>
                </c:pt>
                <c:pt idx="19">
                  <c:v>42448</c:v>
                </c:pt>
                <c:pt idx="20">
                  <c:v>42449</c:v>
                </c:pt>
                <c:pt idx="21">
                  <c:v>42450</c:v>
                </c:pt>
                <c:pt idx="22">
                  <c:v>42451</c:v>
                </c:pt>
                <c:pt idx="23">
                  <c:v>42452</c:v>
                </c:pt>
                <c:pt idx="24">
                  <c:v>42453</c:v>
                </c:pt>
                <c:pt idx="25">
                  <c:v>42454</c:v>
                </c:pt>
                <c:pt idx="26">
                  <c:v>42455</c:v>
                </c:pt>
                <c:pt idx="27">
                  <c:v>42456</c:v>
                </c:pt>
                <c:pt idx="28">
                  <c:v>42457</c:v>
                </c:pt>
                <c:pt idx="29">
                  <c:v>42458</c:v>
                </c:pt>
                <c:pt idx="30">
                  <c:v>42459</c:v>
                </c:pt>
                <c:pt idx="31">
                  <c:v>42460</c:v>
                </c:pt>
                <c:pt idx="32">
                  <c:v>42461</c:v>
                </c:pt>
                <c:pt idx="33">
                  <c:v>42462</c:v>
                </c:pt>
                <c:pt idx="34">
                  <c:v>42463</c:v>
                </c:pt>
                <c:pt idx="35">
                  <c:v>42464</c:v>
                </c:pt>
                <c:pt idx="36">
                  <c:v>42465</c:v>
                </c:pt>
                <c:pt idx="37">
                  <c:v>42466</c:v>
                </c:pt>
                <c:pt idx="38">
                  <c:v>42467</c:v>
                </c:pt>
                <c:pt idx="39">
                  <c:v>42468</c:v>
                </c:pt>
                <c:pt idx="40">
                  <c:v>42469</c:v>
                </c:pt>
                <c:pt idx="41">
                  <c:v>42470</c:v>
                </c:pt>
                <c:pt idx="42">
                  <c:v>42471</c:v>
                </c:pt>
                <c:pt idx="43">
                  <c:v>42472</c:v>
                </c:pt>
                <c:pt idx="44">
                  <c:v>42473</c:v>
                </c:pt>
                <c:pt idx="45">
                  <c:v>42474</c:v>
                </c:pt>
                <c:pt idx="46">
                  <c:v>42475</c:v>
                </c:pt>
                <c:pt idx="47">
                  <c:v>42476</c:v>
                </c:pt>
                <c:pt idx="48">
                  <c:v>42477</c:v>
                </c:pt>
                <c:pt idx="49">
                  <c:v>42478</c:v>
                </c:pt>
                <c:pt idx="50">
                  <c:v>42479</c:v>
                </c:pt>
                <c:pt idx="51">
                  <c:v>42480</c:v>
                </c:pt>
                <c:pt idx="52">
                  <c:v>42481</c:v>
                </c:pt>
                <c:pt idx="53">
                  <c:v>42482</c:v>
                </c:pt>
                <c:pt idx="54">
                  <c:v>42483</c:v>
                </c:pt>
                <c:pt idx="55">
                  <c:v>42484</c:v>
                </c:pt>
                <c:pt idx="56">
                  <c:v>42485</c:v>
                </c:pt>
                <c:pt idx="57">
                  <c:v>42486</c:v>
                </c:pt>
                <c:pt idx="58">
                  <c:v>42487</c:v>
                </c:pt>
                <c:pt idx="59">
                  <c:v>42488</c:v>
                </c:pt>
                <c:pt idx="60">
                  <c:v>42489</c:v>
                </c:pt>
                <c:pt idx="61">
                  <c:v>42490</c:v>
                </c:pt>
                <c:pt idx="62">
                  <c:v>42491</c:v>
                </c:pt>
                <c:pt idx="63">
                  <c:v>42492</c:v>
                </c:pt>
                <c:pt idx="64">
                  <c:v>42493</c:v>
                </c:pt>
                <c:pt idx="65">
                  <c:v>42494</c:v>
                </c:pt>
                <c:pt idx="66">
                  <c:v>42495</c:v>
                </c:pt>
                <c:pt idx="67">
                  <c:v>42496</c:v>
                </c:pt>
                <c:pt idx="68">
                  <c:v>42497</c:v>
                </c:pt>
                <c:pt idx="69">
                  <c:v>42498</c:v>
                </c:pt>
                <c:pt idx="70">
                  <c:v>42499</c:v>
                </c:pt>
                <c:pt idx="71">
                  <c:v>42500</c:v>
                </c:pt>
                <c:pt idx="72">
                  <c:v>42501</c:v>
                </c:pt>
                <c:pt idx="73">
                  <c:v>42502</c:v>
                </c:pt>
                <c:pt idx="74">
                  <c:v>42503</c:v>
                </c:pt>
                <c:pt idx="75">
                  <c:v>42504</c:v>
                </c:pt>
                <c:pt idx="76">
                  <c:v>42505</c:v>
                </c:pt>
                <c:pt idx="77">
                  <c:v>42506</c:v>
                </c:pt>
                <c:pt idx="78">
                  <c:v>42507</c:v>
                </c:pt>
                <c:pt idx="79">
                  <c:v>42508</c:v>
                </c:pt>
                <c:pt idx="80">
                  <c:v>42509</c:v>
                </c:pt>
                <c:pt idx="81">
                  <c:v>42510</c:v>
                </c:pt>
                <c:pt idx="82">
                  <c:v>42511</c:v>
                </c:pt>
                <c:pt idx="83">
                  <c:v>42512</c:v>
                </c:pt>
                <c:pt idx="84">
                  <c:v>42513</c:v>
                </c:pt>
                <c:pt idx="85">
                  <c:v>42514</c:v>
                </c:pt>
                <c:pt idx="86">
                  <c:v>42515</c:v>
                </c:pt>
                <c:pt idx="87">
                  <c:v>42516</c:v>
                </c:pt>
                <c:pt idx="88">
                  <c:v>42517</c:v>
                </c:pt>
                <c:pt idx="89">
                  <c:v>42518</c:v>
                </c:pt>
                <c:pt idx="90">
                  <c:v>42519</c:v>
                </c:pt>
                <c:pt idx="91">
                  <c:v>42520</c:v>
                </c:pt>
                <c:pt idx="92">
                  <c:v>42521</c:v>
                </c:pt>
                <c:pt idx="93">
                  <c:v>42522</c:v>
                </c:pt>
                <c:pt idx="94">
                  <c:v>42523</c:v>
                </c:pt>
                <c:pt idx="95">
                  <c:v>42524</c:v>
                </c:pt>
                <c:pt idx="96">
                  <c:v>42525</c:v>
                </c:pt>
                <c:pt idx="97">
                  <c:v>42526</c:v>
                </c:pt>
                <c:pt idx="98">
                  <c:v>42527</c:v>
                </c:pt>
                <c:pt idx="99">
                  <c:v>42528</c:v>
                </c:pt>
                <c:pt idx="100">
                  <c:v>42529</c:v>
                </c:pt>
                <c:pt idx="101">
                  <c:v>42530</c:v>
                </c:pt>
                <c:pt idx="102">
                  <c:v>42531</c:v>
                </c:pt>
                <c:pt idx="103">
                  <c:v>42532</c:v>
                </c:pt>
                <c:pt idx="104">
                  <c:v>42533</c:v>
                </c:pt>
                <c:pt idx="105">
                  <c:v>42534</c:v>
                </c:pt>
                <c:pt idx="106">
                  <c:v>42535</c:v>
                </c:pt>
                <c:pt idx="107">
                  <c:v>42536</c:v>
                </c:pt>
                <c:pt idx="108">
                  <c:v>42537</c:v>
                </c:pt>
                <c:pt idx="109">
                  <c:v>42538</c:v>
                </c:pt>
                <c:pt idx="110">
                  <c:v>42539</c:v>
                </c:pt>
                <c:pt idx="111">
                  <c:v>42540</c:v>
                </c:pt>
                <c:pt idx="112">
                  <c:v>42541</c:v>
                </c:pt>
                <c:pt idx="113">
                  <c:v>42542</c:v>
                </c:pt>
                <c:pt idx="114">
                  <c:v>42543</c:v>
                </c:pt>
                <c:pt idx="115">
                  <c:v>42544</c:v>
                </c:pt>
                <c:pt idx="116">
                  <c:v>42545</c:v>
                </c:pt>
                <c:pt idx="117">
                  <c:v>42546</c:v>
                </c:pt>
                <c:pt idx="118">
                  <c:v>42547</c:v>
                </c:pt>
                <c:pt idx="119">
                  <c:v>42548</c:v>
                </c:pt>
                <c:pt idx="120">
                  <c:v>42549</c:v>
                </c:pt>
                <c:pt idx="121">
                  <c:v>42550</c:v>
                </c:pt>
                <c:pt idx="122">
                  <c:v>42551</c:v>
                </c:pt>
                <c:pt idx="123">
                  <c:v>42552</c:v>
                </c:pt>
                <c:pt idx="124">
                  <c:v>42553</c:v>
                </c:pt>
                <c:pt idx="125">
                  <c:v>42554</c:v>
                </c:pt>
                <c:pt idx="126">
                  <c:v>42555</c:v>
                </c:pt>
                <c:pt idx="127">
                  <c:v>42556</c:v>
                </c:pt>
                <c:pt idx="128">
                  <c:v>42557</c:v>
                </c:pt>
                <c:pt idx="129">
                  <c:v>42558</c:v>
                </c:pt>
                <c:pt idx="130">
                  <c:v>42559</c:v>
                </c:pt>
                <c:pt idx="131">
                  <c:v>42560</c:v>
                </c:pt>
                <c:pt idx="132">
                  <c:v>42561</c:v>
                </c:pt>
                <c:pt idx="133">
                  <c:v>42562</c:v>
                </c:pt>
                <c:pt idx="134">
                  <c:v>42563</c:v>
                </c:pt>
                <c:pt idx="135">
                  <c:v>42564</c:v>
                </c:pt>
                <c:pt idx="136">
                  <c:v>42565</c:v>
                </c:pt>
                <c:pt idx="137">
                  <c:v>42566</c:v>
                </c:pt>
                <c:pt idx="138">
                  <c:v>42567</c:v>
                </c:pt>
                <c:pt idx="139">
                  <c:v>42568</c:v>
                </c:pt>
                <c:pt idx="140">
                  <c:v>42569</c:v>
                </c:pt>
                <c:pt idx="141">
                  <c:v>42570</c:v>
                </c:pt>
                <c:pt idx="142">
                  <c:v>42571</c:v>
                </c:pt>
                <c:pt idx="143">
                  <c:v>42572</c:v>
                </c:pt>
                <c:pt idx="144">
                  <c:v>42573</c:v>
                </c:pt>
                <c:pt idx="145">
                  <c:v>42574</c:v>
                </c:pt>
                <c:pt idx="146">
                  <c:v>42575</c:v>
                </c:pt>
                <c:pt idx="147">
                  <c:v>42576</c:v>
                </c:pt>
                <c:pt idx="148">
                  <c:v>42577</c:v>
                </c:pt>
                <c:pt idx="149">
                  <c:v>42578</c:v>
                </c:pt>
                <c:pt idx="150">
                  <c:v>42579</c:v>
                </c:pt>
                <c:pt idx="151">
                  <c:v>42580</c:v>
                </c:pt>
                <c:pt idx="152">
                  <c:v>42581</c:v>
                </c:pt>
                <c:pt idx="153">
                  <c:v>42582</c:v>
                </c:pt>
                <c:pt idx="154">
                  <c:v>42583</c:v>
                </c:pt>
                <c:pt idx="155">
                  <c:v>42584</c:v>
                </c:pt>
                <c:pt idx="156">
                  <c:v>42585</c:v>
                </c:pt>
                <c:pt idx="157">
                  <c:v>42586</c:v>
                </c:pt>
                <c:pt idx="158">
                  <c:v>42587</c:v>
                </c:pt>
                <c:pt idx="159">
                  <c:v>42588</c:v>
                </c:pt>
                <c:pt idx="160">
                  <c:v>42589</c:v>
                </c:pt>
                <c:pt idx="161">
                  <c:v>42590</c:v>
                </c:pt>
                <c:pt idx="162">
                  <c:v>42591</c:v>
                </c:pt>
                <c:pt idx="163">
                  <c:v>42592</c:v>
                </c:pt>
                <c:pt idx="164">
                  <c:v>42593</c:v>
                </c:pt>
                <c:pt idx="165">
                  <c:v>42594</c:v>
                </c:pt>
                <c:pt idx="166">
                  <c:v>42595</c:v>
                </c:pt>
                <c:pt idx="167">
                  <c:v>42596</c:v>
                </c:pt>
                <c:pt idx="168">
                  <c:v>42597</c:v>
                </c:pt>
                <c:pt idx="169">
                  <c:v>42598</c:v>
                </c:pt>
                <c:pt idx="170">
                  <c:v>42599</c:v>
                </c:pt>
                <c:pt idx="171">
                  <c:v>42600</c:v>
                </c:pt>
                <c:pt idx="172">
                  <c:v>42601</c:v>
                </c:pt>
                <c:pt idx="173">
                  <c:v>42602</c:v>
                </c:pt>
                <c:pt idx="174">
                  <c:v>42603</c:v>
                </c:pt>
                <c:pt idx="175">
                  <c:v>42604</c:v>
                </c:pt>
                <c:pt idx="176">
                  <c:v>42605</c:v>
                </c:pt>
                <c:pt idx="177">
                  <c:v>42606</c:v>
                </c:pt>
                <c:pt idx="178">
                  <c:v>42607</c:v>
                </c:pt>
                <c:pt idx="179">
                  <c:v>42608</c:v>
                </c:pt>
                <c:pt idx="180">
                  <c:v>42609</c:v>
                </c:pt>
                <c:pt idx="181">
                  <c:v>42610</c:v>
                </c:pt>
                <c:pt idx="182">
                  <c:v>42611</c:v>
                </c:pt>
                <c:pt idx="183">
                  <c:v>42612</c:v>
                </c:pt>
                <c:pt idx="184">
                  <c:v>42613</c:v>
                </c:pt>
                <c:pt idx="185">
                  <c:v>42614</c:v>
                </c:pt>
                <c:pt idx="186">
                  <c:v>42615</c:v>
                </c:pt>
                <c:pt idx="187">
                  <c:v>42616</c:v>
                </c:pt>
                <c:pt idx="188">
                  <c:v>42617</c:v>
                </c:pt>
                <c:pt idx="189">
                  <c:v>42618</c:v>
                </c:pt>
                <c:pt idx="190">
                  <c:v>42619</c:v>
                </c:pt>
                <c:pt idx="191">
                  <c:v>42620</c:v>
                </c:pt>
                <c:pt idx="192">
                  <c:v>42621</c:v>
                </c:pt>
                <c:pt idx="193">
                  <c:v>42622</c:v>
                </c:pt>
                <c:pt idx="194">
                  <c:v>42623</c:v>
                </c:pt>
                <c:pt idx="195">
                  <c:v>42624</c:v>
                </c:pt>
                <c:pt idx="196">
                  <c:v>42625</c:v>
                </c:pt>
                <c:pt idx="197">
                  <c:v>42626</c:v>
                </c:pt>
                <c:pt idx="198">
                  <c:v>42627</c:v>
                </c:pt>
                <c:pt idx="199">
                  <c:v>42628</c:v>
                </c:pt>
                <c:pt idx="200">
                  <c:v>42629</c:v>
                </c:pt>
                <c:pt idx="201">
                  <c:v>42630</c:v>
                </c:pt>
                <c:pt idx="202">
                  <c:v>42631</c:v>
                </c:pt>
                <c:pt idx="203">
                  <c:v>42632</c:v>
                </c:pt>
                <c:pt idx="204">
                  <c:v>42633</c:v>
                </c:pt>
                <c:pt idx="205">
                  <c:v>42634</c:v>
                </c:pt>
                <c:pt idx="206">
                  <c:v>42635</c:v>
                </c:pt>
                <c:pt idx="207">
                  <c:v>42636</c:v>
                </c:pt>
                <c:pt idx="208">
                  <c:v>42637</c:v>
                </c:pt>
                <c:pt idx="209">
                  <c:v>42638</c:v>
                </c:pt>
                <c:pt idx="210">
                  <c:v>42639</c:v>
                </c:pt>
                <c:pt idx="211">
                  <c:v>42640</c:v>
                </c:pt>
                <c:pt idx="212">
                  <c:v>42641</c:v>
                </c:pt>
                <c:pt idx="213">
                  <c:v>42642</c:v>
                </c:pt>
                <c:pt idx="214">
                  <c:v>42643</c:v>
                </c:pt>
                <c:pt idx="215">
                  <c:v>42644</c:v>
                </c:pt>
                <c:pt idx="216">
                  <c:v>42645</c:v>
                </c:pt>
                <c:pt idx="217">
                  <c:v>42646</c:v>
                </c:pt>
                <c:pt idx="218">
                  <c:v>42647</c:v>
                </c:pt>
                <c:pt idx="219">
                  <c:v>42648</c:v>
                </c:pt>
                <c:pt idx="220">
                  <c:v>42649</c:v>
                </c:pt>
                <c:pt idx="221">
                  <c:v>42650</c:v>
                </c:pt>
                <c:pt idx="222">
                  <c:v>42651</c:v>
                </c:pt>
                <c:pt idx="223">
                  <c:v>42652</c:v>
                </c:pt>
                <c:pt idx="224">
                  <c:v>42653</c:v>
                </c:pt>
                <c:pt idx="225">
                  <c:v>42654</c:v>
                </c:pt>
                <c:pt idx="226">
                  <c:v>42655</c:v>
                </c:pt>
                <c:pt idx="227">
                  <c:v>42656</c:v>
                </c:pt>
                <c:pt idx="228">
                  <c:v>42657</c:v>
                </c:pt>
                <c:pt idx="229">
                  <c:v>42658</c:v>
                </c:pt>
                <c:pt idx="230">
                  <c:v>42659</c:v>
                </c:pt>
                <c:pt idx="231">
                  <c:v>42660</c:v>
                </c:pt>
                <c:pt idx="232">
                  <c:v>42661</c:v>
                </c:pt>
                <c:pt idx="233">
                  <c:v>42662</c:v>
                </c:pt>
                <c:pt idx="234">
                  <c:v>42663</c:v>
                </c:pt>
                <c:pt idx="235">
                  <c:v>42664</c:v>
                </c:pt>
                <c:pt idx="236">
                  <c:v>42665</c:v>
                </c:pt>
                <c:pt idx="237">
                  <c:v>42666</c:v>
                </c:pt>
                <c:pt idx="238">
                  <c:v>42667</c:v>
                </c:pt>
                <c:pt idx="239">
                  <c:v>42668</c:v>
                </c:pt>
                <c:pt idx="240">
                  <c:v>42669</c:v>
                </c:pt>
                <c:pt idx="241">
                  <c:v>42670</c:v>
                </c:pt>
                <c:pt idx="242">
                  <c:v>42671</c:v>
                </c:pt>
                <c:pt idx="243">
                  <c:v>42672</c:v>
                </c:pt>
                <c:pt idx="244">
                  <c:v>42673</c:v>
                </c:pt>
                <c:pt idx="245">
                  <c:v>42674</c:v>
                </c:pt>
                <c:pt idx="246">
                  <c:v>42675</c:v>
                </c:pt>
                <c:pt idx="247">
                  <c:v>42676</c:v>
                </c:pt>
                <c:pt idx="248">
                  <c:v>42677</c:v>
                </c:pt>
                <c:pt idx="249">
                  <c:v>42678</c:v>
                </c:pt>
                <c:pt idx="250">
                  <c:v>42679</c:v>
                </c:pt>
                <c:pt idx="251">
                  <c:v>42680</c:v>
                </c:pt>
                <c:pt idx="252">
                  <c:v>42681</c:v>
                </c:pt>
                <c:pt idx="253">
                  <c:v>42682</c:v>
                </c:pt>
                <c:pt idx="254">
                  <c:v>42683</c:v>
                </c:pt>
                <c:pt idx="255">
                  <c:v>42684</c:v>
                </c:pt>
                <c:pt idx="256">
                  <c:v>42685</c:v>
                </c:pt>
                <c:pt idx="257">
                  <c:v>42686</c:v>
                </c:pt>
                <c:pt idx="258">
                  <c:v>42687</c:v>
                </c:pt>
                <c:pt idx="259">
                  <c:v>42688</c:v>
                </c:pt>
                <c:pt idx="260">
                  <c:v>42689</c:v>
                </c:pt>
                <c:pt idx="261">
                  <c:v>42690</c:v>
                </c:pt>
                <c:pt idx="262">
                  <c:v>42691</c:v>
                </c:pt>
                <c:pt idx="263">
                  <c:v>42692</c:v>
                </c:pt>
                <c:pt idx="264">
                  <c:v>42693</c:v>
                </c:pt>
                <c:pt idx="265">
                  <c:v>42694</c:v>
                </c:pt>
                <c:pt idx="266">
                  <c:v>42695</c:v>
                </c:pt>
                <c:pt idx="267">
                  <c:v>42696</c:v>
                </c:pt>
                <c:pt idx="268">
                  <c:v>42697</c:v>
                </c:pt>
                <c:pt idx="269">
                  <c:v>42698</c:v>
                </c:pt>
                <c:pt idx="270">
                  <c:v>42699</c:v>
                </c:pt>
                <c:pt idx="271">
                  <c:v>42700</c:v>
                </c:pt>
                <c:pt idx="272">
                  <c:v>42701</c:v>
                </c:pt>
                <c:pt idx="273">
                  <c:v>42702</c:v>
                </c:pt>
                <c:pt idx="274">
                  <c:v>42703</c:v>
                </c:pt>
                <c:pt idx="275">
                  <c:v>42704</c:v>
                </c:pt>
                <c:pt idx="276">
                  <c:v>42705</c:v>
                </c:pt>
                <c:pt idx="277">
                  <c:v>42706</c:v>
                </c:pt>
                <c:pt idx="278">
                  <c:v>42707</c:v>
                </c:pt>
                <c:pt idx="279">
                  <c:v>42708</c:v>
                </c:pt>
                <c:pt idx="280">
                  <c:v>42709</c:v>
                </c:pt>
                <c:pt idx="281">
                  <c:v>42710</c:v>
                </c:pt>
                <c:pt idx="282">
                  <c:v>42711</c:v>
                </c:pt>
                <c:pt idx="283">
                  <c:v>42712</c:v>
                </c:pt>
                <c:pt idx="284">
                  <c:v>42713</c:v>
                </c:pt>
                <c:pt idx="285">
                  <c:v>42714</c:v>
                </c:pt>
                <c:pt idx="286">
                  <c:v>42715</c:v>
                </c:pt>
                <c:pt idx="287">
                  <c:v>42716</c:v>
                </c:pt>
                <c:pt idx="288">
                  <c:v>42717</c:v>
                </c:pt>
                <c:pt idx="289">
                  <c:v>42718</c:v>
                </c:pt>
                <c:pt idx="290">
                  <c:v>42719</c:v>
                </c:pt>
                <c:pt idx="291">
                  <c:v>42720</c:v>
                </c:pt>
                <c:pt idx="292">
                  <c:v>42721</c:v>
                </c:pt>
                <c:pt idx="293">
                  <c:v>42722</c:v>
                </c:pt>
                <c:pt idx="294">
                  <c:v>42723</c:v>
                </c:pt>
                <c:pt idx="295">
                  <c:v>42724</c:v>
                </c:pt>
                <c:pt idx="296">
                  <c:v>42725</c:v>
                </c:pt>
                <c:pt idx="297">
                  <c:v>42726</c:v>
                </c:pt>
                <c:pt idx="298">
                  <c:v>42727</c:v>
                </c:pt>
                <c:pt idx="299">
                  <c:v>42728</c:v>
                </c:pt>
                <c:pt idx="300">
                  <c:v>42729</c:v>
                </c:pt>
                <c:pt idx="301">
                  <c:v>42730</c:v>
                </c:pt>
              </c:numCache>
            </c:numRef>
          </c:cat>
          <c:val>
            <c:numRef>
              <c:f>Operacional_9_meses!$E$24:$E$325</c:f>
              <c:numCache>
                <c:formatCode>0</c:formatCode>
                <c:ptCount val="302"/>
                <c:pt idx="0">
                  <c:v>1049.422528724215</c:v>
                </c:pt>
                <c:pt idx="1">
                  <c:v>862.97064693653431</c:v>
                </c:pt>
                <c:pt idx="2">
                  <c:v>781.87694485499287</c:v>
                </c:pt>
                <c:pt idx="3">
                  <c:v>2015.2835387628393</c:v>
                </c:pt>
                <c:pt idx="4">
                  <c:v>2316.447365852468</c:v>
                </c:pt>
                <c:pt idx="5">
                  <c:v>1949.1376615096544</c:v>
                </c:pt>
                <c:pt idx="6">
                  <c:v>1535.3191391419666</c:v>
                </c:pt>
                <c:pt idx="7">
                  <c:v>1225.7764075248226</c:v>
                </c:pt>
                <c:pt idx="8">
                  <c:v>1002.62722551921</c:v>
                </c:pt>
                <c:pt idx="9">
                  <c:v>1181.3037124829168</c:v>
                </c:pt>
                <c:pt idx="10">
                  <c:v>1710.1463410102242</c:v>
                </c:pt>
                <c:pt idx="11">
                  <c:v>2440.2438718612666</c:v>
                </c:pt>
                <c:pt idx="12">
                  <c:v>2112.1861731406452</c:v>
                </c:pt>
                <c:pt idx="13">
                  <c:v>1772.7470839815267</c:v>
                </c:pt>
                <c:pt idx="14">
                  <c:v>1415.7528971016848</c:v>
                </c:pt>
                <c:pt idx="15">
                  <c:v>1148.6104543408542</c:v>
                </c:pt>
                <c:pt idx="16">
                  <c:v>946.87640018726324</c:v>
                </c:pt>
                <c:pt idx="17">
                  <c:v>794.10919165361429</c:v>
                </c:pt>
                <c:pt idx="18">
                  <c:v>726.41791195110068</c:v>
                </c:pt>
                <c:pt idx="19">
                  <c:v>758.86321682710786</c:v>
                </c:pt>
                <c:pt idx="20">
                  <c:v>720.69132105233962</c:v>
                </c:pt>
                <c:pt idx="21">
                  <c:v>907.72537981185394</c:v>
                </c:pt>
                <c:pt idx="22">
                  <c:v>2080.3405279106382</c:v>
                </c:pt>
                <c:pt idx="23">
                  <c:v>2071.0357635072796</c:v>
                </c:pt>
                <c:pt idx="24">
                  <c:v>1645.3172901389632</c:v>
                </c:pt>
                <c:pt idx="25">
                  <c:v>1553.3510188338412</c:v>
                </c:pt>
                <c:pt idx="26">
                  <c:v>2283.0119370215161</c:v>
                </c:pt>
                <c:pt idx="27">
                  <c:v>2416.4325795814093</c:v>
                </c:pt>
                <c:pt idx="28">
                  <c:v>2090.196038220738</c:v>
                </c:pt>
                <c:pt idx="29">
                  <c:v>1670.4192927883753</c:v>
                </c:pt>
                <c:pt idx="30">
                  <c:v>1356.3325791958575</c:v>
                </c:pt>
                <c:pt idx="31">
                  <c:v>1119.5962484666663</c:v>
                </c:pt>
                <c:pt idx="32">
                  <c:v>940.39294831126585</c:v>
                </c:pt>
                <c:pt idx="33">
                  <c:v>824.28666146461865</c:v>
                </c:pt>
                <c:pt idx="34">
                  <c:v>972.08745613345798</c:v>
                </c:pt>
                <c:pt idx="35">
                  <c:v>1630.6470637300861</c:v>
                </c:pt>
                <c:pt idx="36">
                  <c:v>2091.6370123989941</c:v>
                </c:pt>
                <c:pt idx="37">
                  <c:v>1975.0174366272831</c:v>
                </c:pt>
                <c:pt idx="38">
                  <c:v>1630.9529658125257</c:v>
                </c:pt>
                <c:pt idx="39">
                  <c:v>1523.1591402149256</c:v>
                </c:pt>
                <c:pt idx="40">
                  <c:v>1500.2988392910479</c:v>
                </c:pt>
                <c:pt idx="41">
                  <c:v>1375.0238405121861</c:v>
                </c:pt>
                <c:pt idx="42">
                  <c:v>1297.3332799734665</c:v>
                </c:pt>
                <c:pt idx="43">
                  <c:v>1500.366921231793</c:v>
                </c:pt>
                <c:pt idx="44">
                  <c:v>1594.656302100771</c:v>
                </c:pt>
                <c:pt idx="45">
                  <c:v>1321.62129691363</c:v>
                </c:pt>
                <c:pt idx="46">
                  <c:v>1118.9334785197007</c:v>
                </c:pt>
                <c:pt idx="47">
                  <c:v>965.85448168090568</c:v>
                </c:pt>
                <c:pt idx="48">
                  <c:v>876.61158132788159</c:v>
                </c:pt>
                <c:pt idx="49">
                  <c:v>1518.8428578188712</c:v>
                </c:pt>
                <c:pt idx="50">
                  <c:v>3525.2346708135688</c:v>
                </c:pt>
                <c:pt idx="51">
                  <c:v>5536.6077408235496</c:v>
                </c:pt>
                <c:pt idx="52">
                  <c:v>5225.3973801534266</c:v>
                </c:pt>
                <c:pt idx="53">
                  <c:v>4066.6905150909679</c:v>
                </c:pt>
                <c:pt idx="54">
                  <c:v>3198.0428840034219</c:v>
                </c:pt>
                <c:pt idx="55">
                  <c:v>2544.3425180708177</c:v>
                </c:pt>
                <c:pt idx="56">
                  <c:v>2051.9164596576461</c:v>
                </c:pt>
                <c:pt idx="57">
                  <c:v>1680.2846591961256</c:v>
                </c:pt>
                <c:pt idx="58">
                  <c:v>1399.3595643388492</c:v>
                </c:pt>
                <c:pt idx="59">
                  <c:v>1186.5161412819186</c:v>
                </c:pt>
                <c:pt idx="60">
                  <c:v>1058.7288535044495</c:v>
                </c:pt>
                <c:pt idx="61">
                  <c:v>1166.9321409923896</c:v>
                </c:pt>
                <c:pt idx="62">
                  <c:v>1479.5368293329045</c:v>
                </c:pt>
                <c:pt idx="63">
                  <c:v>1370.3699262837938</c:v>
                </c:pt>
                <c:pt idx="64">
                  <c:v>1175.0849711097492</c:v>
                </c:pt>
                <c:pt idx="65">
                  <c:v>1020.4532895832325</c:v>
                </c:pt>
                <c:pt idx="66">
                  <c:v>914.59932058221477</c:v>
                </c:pt>
                <c:pt idx="67">
                  <c:v>877.2741321966181</c:v>
                </c:pt>
                <c:pt idx="68">
                  <c:v>821.97080779313762</c:v>
                </c:pt>
                <c:pt idx="69">
                  <c:v>756.5810276013957</c:v>
                </c:pt>
                <c:pt idx="70">
                  <c:v>865.74722446489363</c:v>
                </c:pt>
                <c:pt idx="71">
                  <c:v>1943.6187262418196</c:v>
                </c:pt>
                <c:pt idx="72">
                  <c:v>4955.7725828915236</c:v>
                </c:pt>
                <c:pt idx="73">
                  <c:v>7310.9762348492059</c:v>
                </c:pt>
                <c:pt idx="74">
                  <c:v>8256.5567909172823</c:v>
                </c:pt>
                <c:pt idx="75">
                  <c:v>6937.9218465075055</c:v>
                </c:pt>
                <c:pt idx="76">
                  <c:v>5431.3455143473811</c:v>
                </c:pt>
                <c:pt idx="77">
                  <c:v>4277.3602128907169</c:v>
                </c:pt>
                <c:pt idx="78">
                  <c:v>3379.3675536213082</c:v>
                </c:pt>
                <c:pt idx="79">
                  <c:v>2705.4216248144094</c:v>
                </c:pt>
                <c:pt idx="80">
                  <c:v>2198.7819194614367</c:v>
                </c:pt>
                <c:pt idx="81">
                  <c:v>1817.1152939118979</c:v>
                </c:pt>
                <c:pt idx="82">
                  <c:v>1536.0709414956357</c:v>
                </c:pt>
                <c:pt idx="83">
                  <c:v>1545.7835038757278</c:v>
                </c:pt>
                <c:pt idx="84">
                  <c:v>2008.8539596842038</c:v>
                </c:pt>
                <c:pt idx="85">
                  <c:v>2259.8860601760221</c:v>
                </c:pt>
                <c:pt idx="86">
                  <c:v>2203.7828387721243</c:v>
                </c:pt>
                <c:pt idx="87">
                  <c:v>1965.4269321361023</c:v>
                </c:pt>
                <c:pt idx="88">
                  <c:v>1811.0652278548298</c:v>
                </c:pt>
                <c:pt idx="89">
                  <c:v>1787.8770729763921</c:v>
                </c:pt>
                <c:pt idx="90">
                  <c:v>1935.1473697059553</c:v>
                </c:pt>
                <c:pt idx="91">
                  <c:v>1986.8383470073657</c:v>
                </c:pt>
                <c:pt idx="92">
                  <c:v>2325.1185709310826</c:v>
                </c:pt>
                <c:pt idx="93">
                  <c:v>3202.3395275728517</c:v>
                </c:pt>
                <c:pt idx="94">
                  <c:v>3510.8756411033551</c:v>
                </c:pt>
                <c:pt idx="95">
                  <c:v>4033.2046128064485</c:v>
                </c:pt>
                <c:pt idx="96">
                  <c:v>4773.5005148075325</c:v>
                </c:pt>
                <c:pt idx="97">
                  <c:v>5695.5172955738262</c:v>
                </c:pt>
                <c:pt idx="98">
                  <c:v>5132.0449433918702</c:v>
                </c:pt>
                <c:pt idx="99">
                  <c:v>4428.0445113465776</c:v>
                </c:pt>
                <c:pt idx="100">
                  <c:v>3532.7302318108168</c:v>
                </c:pt>
                <c:pt idx="101">
                  <c:v>2861.4225665461709</c:v>
                </c:pt>
                <c:pt idx="102">
                  <c:v>2355.9846230912626</c:v>
                </c:pt>
                <c:pt idx="103">
                  <c:v>1975.0831985635255</c:v>
                </c:pt>
                <c:pt idx="104">
                  <c:v>1687.4665259029182</c:v>
                </c:pt>
                <c:pt idx="105">
                  <c:v>1469.8231185526186</c:v>
                </c:pt>
                <c:pt idx="106">
                  <c:v>1304.6729905509453</c:v>
                </c:pt>
                <c:pt idx="107">
                  <c:v>1187.9482242448214</c:v>
                </c:pt>
                <c:pt idx="108">
                  <c:v>1103.7001415834798</c:v>
                </c:pt>
                <c:pt idx="109">
                  <c:v>1038.4816173892887</c:v>
                </c:pt>
                <c:pt idx="110">
                  <c:v>1003.1975341113729</c:v>
                </c:pt>
                <c:pt idx="111">
                  <c:v>1167.5275982255639</c:v>
                </c:pt>
                <c:pt idx="112">
                  <c:v>1358.5702870216721</c:v>
                </c:pt>
                <c:pt idx="113">
                  <c:v>1698.7433182638597</c:v>
                </c:pt>
                <c:pt idx="114">
                  <c:v>1531.3591094719095</c:v>
                </c:pt>
                <c:pt idx="115">
                  <c:v>1355.2328377454887</c:v>
                </c:pt>
                <c:pt idx="116">
                  <c:v>1224.0677198875781</c:v>
                </c:pt>
                <c:pt idx="117">
                  <c:v>1126.7852072573241</c:v>
                </c:pt>
                <c:pt idx="118">
                  <c:v>1065.0984885005582</c:v>
                </c:pt>
                <c:pt idx="119">
                  <c:v>1004.9035117708617</c:v>
                </c:pt>
                <c:pt idx="120">
                  <c:v>959.99128053710399</c:v>
                </c:pt>
                <c:pt idx="121">
                  <c:v>925.71844999602047</c:v>
                </c:pt>
                <c:pt idx="122">
                  <c:v>898.45466650071876</c:v>
                </c:pt>
                <c:pt idx="123">
                  <c:v>876.31155922646462</c:v>
                </c:pt>
                <c:pt idx="124">
                  <c:v>857.84027854169426</c:v>
                </c:pt>
                <c:pt idx="125">
                  <c:v>841.90093065073779</c:v>
                </c:pt>
                <c:pt idx="126">
                  <c:v>827.75996917886971</c:v>
                </c:pt>
                <c:pt idx="127">
                  <c:v>814.88091271802989</c:v>
                </c:pt>
                <c:pt idx="128">
                  <c:v>802.87383020088964</c:v>
                </c:pt>
                <c:pt idx="129">
                  <c:v>791.45750032375531</c:v>
                </c:pt>
                <c:pt idx="130">
                  <c:v>780.43110514121793</c:v>
                </c:pt>
                <c:pt idx="131">
                  <c:v>769.65308744276774</c:v>
                </c:pt>
                <c:pt idx="132">
                  <c:v>759.02538488633309</c:v>
                </c:pt>
                <c:pt idx="133">
                  <c:v>748.48169523450224</c:v>
                </c:pt>
                <c:pt idx="134">
                  <c:v>737.97876044532973</c:v>
                </c:pt>
                <c:pt idx="135">
                  <c:v>727.48990889267679</c:v>
                </c:pt>
                <c:pt idx="136">
                  <c:v>717.0002845332757</c:v>
                </c:pt>
                <c:pt idx="137">
                  <c:v>706.50333453673124</c:v>
                </c:pt>
                <c:pt idx="138">
                  <c:v>696.1858674246821</c:v>
                </c:pt>
                <c:pt idx="139">
                  <c:v>686.07967412222729</c:v>
                </c:pt>
                <c:pt idx="140">
                  <c:v>676.16578089291102</c:v>
                </c:pt>
                <c:pt idx="141">
                  <c:v>666.42944273141086</c:v>
                </c:pt>
                <c:pt idx="142">
                  <c:v>656.85910166309088</c:v>
                </c:pt>
                <c:pt idx="143">
                  <c:v>647.44560322629661</c:v>
                </c:pt>
                <c:pt idx="144">
                  <c:v>638.18160712495785</c:v>
                </c:pt>
                <c:pt idx="145">
                  <c:v>629.06114391027563</c:v>
                </c:pt>
                <c:pt idx="146">
                  <c:v>620.07928148638996</c:v>
                </c:pt>
                <c:pt idx="147">
                  <c:v>611.23187421159082</c:v>
                </c:pt>
                <c:pt idx="148">
                  <c:v>602.5153741176357</c:v>
                </c:pt>
                <c:pt idx="149">
                  <c:v>593.92668884689203</c:v>
                </c:pt>
                <c:pt idx="150">
                  <c:v>585.46307472535</c:v>
                </c:pt>
                <c:pt idx="151">
                  <c:v>577.12205626116031</c:v>
                </c:pt>
                <c:pt idx="152">
                  <c:v>568.90136551798003</c:v>
                </c:pt>
                <c:pt idx="153">
                  <c:v>560.79889643657168</c:v>
                </c:pt>
                <c:pt idx="154">
                  <c:v>552.81267039957731</c:v>
                </c:pt>
                <c:pt idx="155">
                  <c:v>544.94081025300568</c:v>
                </c:pt>
                <c:pt idx="156">
                  <c:v>537.18152068883444</c:v>
                </c:pt>
                <c:pt idx="157">
                  <c:v>529.5330734126876</c:v>
                </c:pt>
                <c:pt idx="158">
                  <c:v>521.99379591130264</c:v>
                </c:pt>
                <c:pt idx="159">
                  <c:v>514.562062928361</c:v>
                </c:pt>
                <c:pt idx="160">
                  <c:v>507.23628997826211</c:v>
                </c:pt>
                <c:pt idx="161">
                  <c:v>500.01492839362794</c:v>
                </c:pt>
                <c:pt idx="162">
                  <c:v>492.89646152732644</c:v>
                </c:pt>
                <c:pt idx="163">
                  <c:v>485.87940182380538</c:v>
                </c:pt>
                <c:pt idx="164">
                  <c:v>478.96228854523264</c:v>
                </c:pt>
                <c:pt idx="165">
                  <c:v>472.14368599110276</c:v>
                </c:pt>
                <c:pt idx="166">
                  <c:v>465.42218208996422</c:v>
                </c:pt>
                <c:pt idx="167">
                  <c:v>458.79638727198574</c:v>
                </c:pt>
                <c:pt idx="168">
                  <c:v>452.2649335537094</c:v>
                </c:pt>
                <c:pt idx="169">
                  <c:v>445.82647378333291</c:v>
                </c:pt>
                <c:pt idx="170">
                  <c:v>439.47968100767105</c:v>
                </c:pt>
                <c:pt idx="171">
                  <c:v>433.2232479315536</c:v>
                </c:pt>
                <c:pt idx="172">
                  <c:v>427.05588644766334</c:v>
                </c:pt>
                <c:pt idx="173">
                  <c:v>420.97632722025213</c:v>
                </c:pt>
                <c:pt idx="174">
                  <c:v>414.98331931027053</c:v>
                </c:pt>
                <c:pt idx="175">
                  <c:v>409.07562983252171</c:v>
                </c:pt>
                <c:pt idx="176">
                  <c:v>403.25204363776777</c:v>
                </c:pt>
                <c:pt idx="177">
                  <c:v>397.5113630144553</c:v>
                </c:pt>
                <c:pt idx="178">
                  <c:v>391.85240740604041</c:v>
                </c:pt>
                <c:pt idx="179">
                  <c:v>386.27401314087427</c:v>
                </c:pt>
                <c:pt idx="180">
                  <c:v>380.77503317235545</c:v>
                </c:pt>
                <c:pt idx="181">
                  <c:v>375.3543368276097</c:v>
                </c:pt>
                <c:pt idx="182">
                  <c:v>370.01080956337915</c:v>
                </c:pt>
                <c:pt idx="183">
                  <c:v>364.743352728118</c:v>
                </c:pt>
                <c:pt idx="184">
                  <c:v>359.55088332952835</c:v>
                </c:pt>
                <c:pt idx="185">
                  <c:v>354.43233380695091</c:v>
                </c:pt>
                <c:pt idx="186">
                  <c:v>349.38665180815684</c:v>
                </c:pt>
                <c:pt idx="187">
                  <c:v>344.41279997019171</c:v>
                </c:pt>
                <c:pt idx="188">
                  <c:v>339.5097557039951</c:v>
                </c:pt>
                <c:pt idx="189">
                  <c:v>334.67651098258204</c:v>
                </c:pt>
                <c:pt idx="190">
                  <c:v>329.91207213261043</c:v>
                </c:pt>
                <c:pt idx="191">
                  <c:v>325.21545962919595</c:v>
                </c:pt>
                <c:pt idx="192">
                  <c:v>320.58570789385669</c:v>
                </c:pt>
                <c:pt idx="193">
                  <c:v>316.02186509549477</c:v>
                </c:pt>
                <c:pt idx="194">
                  <c:v>311.52299295432744</c:v>
                </c:pt>
                <c:pt idx="195">
                  <c:v>307.08816654870071</c:v>
                </c:pt>
                <c:pt idx="196">
                  <c:v>302.71647412471964</c:v>
                </c:pt>
                <c:pt idx="197">
                  <c:v>298.40701690863892</c:v>
                </c:pt>
                <c:pt idx="198">
                  <c:v>294.1589089219633</c:v>
                </c:pt>
                <c:pt idx="199">
                  <c:v>289.97127679920806</c:v>
                </c:pt>
                <c:pt idx="200">
                  <c:v>285.84325960827533</c:v>
                </c:pt>
                <c:pt idx="201">
                  <c:v>281.7740086734043</c:v>
                </c:pt>
                <c:pt idx="202">
                  <c:v>277.76268740065331</c:v>
                </c:pt>
                <c:pt idx="203">
                  <c:v>273.80847110587627</c:v>
                </c:pt>
                <c:pt idx="204">
                  <c:v>269.91054684515433</c:v>
                </c:pt>
                <c:pt idx="205">
                  <c:v>266.06811324764664</c:v>
                </c:pt>
                <c:pt idx="206">
                  <c:v>262.2803803508254</c:v>
                </c:pt>
                <c:pt idx="207">
                  <c:v>258.54656943805799</c:v>
                </c:pt>
                <c:pt idx="208">
                  <c:v>254.86591287850504</c:v>
                </c:pt>
                <c:pt idx="209">
                  <c:v>251.23765396929784</c:v>
                </c:pt>
                <c:pt idx="210">
                  <c:v>247.6610467799652</c:v>
                </c:pt>
                <c:pt idx="211">
                  <c:v>244.1353559990747</c:v>
                </c:pt>
                <c:pt idx="212">
                  <c:v>240.65985678305881</c:v>
                </c:pt>
                <c:pt idx="213">
                  <c:v>237.2338346071931</c:v>
                </c:pt>
                <c:pt idx="214">
                  <c:v>233.85658511869653</c:v>
                </c:pt>
                <c:pt idx="215">
                  <c:v>230.52741399192308</c:v>
                </c:pt>
                <c:pt idx="216">
                  <c:v>227.24563678561552</c:v>
                </c:pt>
                <c:pt idx="217">
                  <c:v>224.01057880219111</c:v>
                </c:pt>
                <c:pt idx="218">
                  <c:v>220.82157494903058</c:v>
                </c:pt>
                <c:pt idx="219">
                  <c:v>217.67796960174229</c:v>
                </c:pt>
                <c:pt idx="220">
                  <c:v>214.57911646937254</c:v>
                </c:pt>
                <c:pt idx="221">
                  <c:v>211.52437846153515</c:v>
                </c:pt>
                <c:pt idx="222">
                  <c:v>208.51312755743257</c:v>
                </c:pt>
                <c:pt idx="223">
                  <c:v>205.5447446767414</c:v>
                </c:pt>
                <c:pt idx="224">
                  <c:v>202.61861955233627</c:v>
                </c:pt>
                <c:pt idx="225">
                  <c:v>199.73415060482549</c:v>
                </c:pt>
                <c:pt idx="226">
                  <c:v>196.89074481887286</c:v>
                </c:pt>
                <c:pt idx="227">
                  <c:v>194.08781762128012</c:v>
                </c:pt>
                <c:pt idx="228">
                  <c:v>191.32479276080511</c:v>
                </c:pt>
                <c:pt idx="229">
                  <c:v>188.60110218969069</c:v>
                </c:pt>
                <c:pt idx="230">
                  <c:v>185.91618594688052</c:v>
                </c:pt>
                <c:pt idx="231">
                  <c:v>183.26949204289687</c:v>
                </c:pt>
                <c:pt idx="232">
                  <c:v>180.66047634635783</c:v>
                </c:pt>
                <c:pt idx="233">
                  <c:v>178.08860247210978</c:v>
                </c:pt>
                <c:pt idx="234">
                  <c:v>175.55334167095239</c:v>
                </c:pt>
                <c:pt idx="235">
                  <c:v>173.05417272093354</c:v>
                </c:pt>
                <c:pt idx="236">
                  <c:v>170.59058182019189</c:v>
                </c:pt>
                <c:pt idx="237">
                  <c:v>168.16206248132477</c:v>
                </c:pt>
                <c:pt idx="238">
                  <c:v>165.76811542725986</c:v>
                </c:pt>
                <c:pt idx="239">
                  <c:v>163.40824848860913</c:v>
                </c:pt>
                <c:pt idx="240">
                  <c:v>161.08197650248474</c:v>
                </c:pt>
                <c:pt idx="241">
                  <c:v>158.78882121275402</c:v>
                </c:pt>
                <c:pt idx="242">
                  <c:v>156.52831117171596</c:v>
                </c:pt>
                <c:pt idx="243">
                  <c:v>154.29998164317624</c:v>
                </c:pt>
                <c:pt idx="244">
                  <c:v>152.10337450690278</c:v>
                </c:pt>
                <c:pt idx="245">
                  <c:v>149.93803816444108</c:v>
                </c:pt>
                <c:pt idx="246">
                  <c:v>147.80352744627069</c:v>
                </c:pt>
                <c:pt idx="247">
                  <c:v>145.69940352028303</c:v>
                </c:pt>
                <c:pt idx="248">
                  <c:v>143.62523380156227</c:v>
                </c:pt>
                <c:pt idx="249">
                  <c:v>141.58059186345091</c:v>
                </c:pt>
                <c:pt idx="250">
                  <c:v>139.56505734988068</c:v>
                </c:pt>
                <c:pt idx="251">
                  <c:v>137.5782158889522</c:v>
                </c:pt>
                <c:pt idx="252">
                  <c:v>135.61965900774467</c:v>
                </c:pt>
                <c:pt idx="253">
                  <c:v>133.68898404833803</c:v>
                </c:pt>
                <c:pt idx="254">
                  <c:v>131.78579408503117</c:v>
                </c:pt>
                <c:pt idx="255">
                  <c:v>129.90969784273815</c:v>
                </c:pt>
                <c:pt idx="256">
                  <c:v>128.06030961654645</c:v>
                </c:pt>
                <c:pt idx="257">
                  <c:v>126.23724919242012</c:v>
                </c:pt>
                <c:pt idx="258">
                  <c:v>124.44014176903204</c:v>
                </c:pt>
                <c:pt idx="259">
                  <c:v>122.66861788070874</c:v>
                </c:pt>
                <c:pt idx="260">
                  <c:v>120.92231332147236</c:v>
                </c:pt>
                <c:pt idx="261">
                  <c:v>119.20086907016395</c:v>
                </c:pt>
                <c:pt idx="262">
                  <c:v>117.50393121663245</c:v>
                </c:pt>
                <c:pt idx="263">
                  <c:v>115.83115088897483</c:v>
                </c:pt>
                <c:pt idx="264">
                  <c:v>114.18218418181165</c:v>
                </c:pt>
                <c:pt idx="265">
                  <c:v>112.55669208558398</c:v>
                </c:pt>
                <c:pt idx="266">
                  <c:v>110.95434041685675</c:v>
                </c:pt>
                <c:pt idx="267">
                  <c:v>109.37479974961417</c:v>
                </c:pt>
                <c:pt idx="268">
                  <c:v>107.81774534753343</c:v>
                </c:pt>
                <c:pt idx="269">
                  <c:v>106.2828570972225</c:v>
                </c:pt>
                <c:pt idx="270">
                  <c:v>104.76981944240812</c:v>
                </c:pt>
                <c:pt idx="271">
                  <c:v>103.27832131906112</c:v>
                </c:pt>
                <c:pt idx="272">
                  <c:v>101.80805609144487</c:v>
                </c:pt>
                <c:pt idx="273">
                  <c:v>100.3587214890743</c:v>
                </c:pt>
                <c:pt idx="274">
                  <c:v>98.930019544572616</c:v>
                </c:pt>
                <c:pt idx="275">
                  <c:v>97.52165653241218</c:v>
                </c:pt>
                <c:pt idx="276">
                  <c:v>96.133342908528007</c:v>
                </c:pt>
                <c:pt idx="277">
                  <c:v>94.764793250790348</c:v>
                </c:pt>
                <c:pt idx="278">
                  <c:v>93.415726200325366</c:v>
                </c:pt>
                <c:pt idx="279">
                  <c:v>92.085864403670513</c:v>
                </c:pt>
                <c:pt idx="280">
                  <c:v>90.774934455753979</c:v>
                </c:pt>
                <c:pt idx="281">
                  <c:v>89.482666843685323</c:v>
                </c:pt>
                <c:pt idx="282">
                  <c:v>88.208795891346767</c:v>
                </c:pt>
                <c:pt idx="283">
                  <c:v>86.953059704772883</c:v>
                </c:pt>
                <c:pt idx="284">
                  <c:v>85.715200118308289</c:v>
                </c:pt>
                <c:pt idx="285">
                  <c:v>84.494962641531444</c:v>
                </c:pt>
                <c:pt idx="286">
                  <c:v>83.292096406934249</c:v>
                </c:pt>
                <c:pt idx="287">
                  <c:v>82.10635411834636</c:v>
                </c:pt>
                <c:pt idx="288">
                  <c:v>80.93749200009394</c:v>
                </c:pt>
                <c:pt idx="289">
                  <c:v>79.785269746881866</c:v>
                </c:pt>
                <c:pt idx="290">
                  <c:v>78.649450474389724</c:v>
                </c:pt>
                <c:pt idx="291">
                  <c:v>77.529800670570907</c:v>
                </c:pt>
                <c:pt idx="292">
                  <c:v>76.426090147645112</c:v>
                </c:pt>
                <c:pt idx="293">
                  <c:v>75.338091994774175</c:v>
                </c:pt>
                <c:pt idx="294">
                  <c:v>74.265582531411809</c:v>
                </c:pt>
                <c:pt idx="295">
                  <c:v>73.208341261317216</c:v>
                </c:pt>
                <c:pt idx="296">
                  <c:v>72.166150827223518</c:v>
                </c:pt>
                <c:pt idx="297">
                  <c:v>71.13879696615146</c:v>
                </c:pt>
                <c:pt idx="298">
                  <c:v>70.126068465359268</c:v>
                </c:pt>
                <c:pt idx="299">
                  <c:v>69.127757118919661</c:v>
                </c:pt>
                <c:pt idx="300">
                  <c:v>68.143657684914885</c:v>
                </c:pt>
                <c:pt idx="301">
                  <c:v>67.173567843241329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5-567E-444C-83EC-85B10FD3405D}"/>
            </c:ext>
          </c:extLst>
        </c:ser>
        <c:ser>
          <c:idx val="1"/>
          <c:order val="2"/>
          <c:tx>
            <c:v>Q calc</c:v>
          </c:tx>
          <c:spPr>
            <a:ln>
              <a:solidFill>
                <a:schemeClr val="accent2"/>
              </a:solidFill>
            </a:ln>
          </c:spPr>
          <c:marker>
            <c:symbol val="square"/>
            <c:size val="4"/>
            <c:spPr>
              <a:ln>
                <a:solidFill>
                  <a:schemeClr val="accent2"/>
                </a:solidFill>
              </a:ln>
            </c:spPr>
          </c:marker>
          <c:cat>
            <c:numRef>
              <c:f>Operacional_9_meses!$A$24:$A$325</c:f>
              <c:numCache>
                <c:formatCode>m/d/yyyy</c:formatCode>
                <c:ptCount val="302"/>
                <c:pt idx="0">
                  <c:v>42429</c:v>
                </c:pt>
                <c:pt idx="1">
                  <c:v>42430</c:v>
                </c:pt>
                <c:pt idx="2">
                  <c:v>42431</c:v>
                </c:pt>
                <c:pt idx="3">
                  <c:v>42432</c:v>
                </c:pt>
                <c:pt idx="4">
                  <c:v>42433</c:v>
                </c:pt>
                <c:pt idx="5">
                  <c:v>42434</c:v>
                </c:pt>
                <c:pt idx="6">
                  <c:v>42435</c:v>
                </c:pt>
                <c:pt idx="7">
                  <c:v>42436</c:v>
                </c:pt>
                <c:pt idx="8">
                  <c:v>42437</c:v>
                </c:pt>
                <c:pt idx="9">
                  <c:v>42438</c:v>
                </c:pt>
                <c:pt idx="10">
                  <c:v>42439</c:v>
                </c:pt>
                <c:pt idx="11">
                  <c:v>42440</c:v>
                </c:pt>
                <c:pt idx="12">
                  <c:v>42441</c:v>
                </c:pt>
                <c:pt idx="13">
                  <c:v>42442</c:v>
                </c:pt>
                <c:pt idx="14">
                  <c:v>42443</c:v>
                </c:pt>
                <c:pt idx="15">
                  <c:v>42444</c:v>
                </c:pt>
                <c:pt idx="16">
                  <c:v>42445</c:v>
                </c:pt>
                <c:pt idx="17">
                  <c:v>42446</c:v>
                </c:pt>
                <c:pt idx="18">
                  <c:v>42447</c:v>
                </c:pt>
                <c:pt idx="19">
                  <c:v>42448</c:v>
                </c:pt>
                <c:pt idx="20">
                  <c:v>42449</c:v>
                </c:pt>
                <c:pt idx="21">
                  <c:v>42450</c:v>
                </c:pt>
                <c:pt idx="22">
                  <c:v>42451</c:v>
                </c:pt>
                <c:pt idx="23">
                  <c:v>42452</c:v>
                </c:pt>
                <c:pt idx="24">
                  <c:v>42453</c:v>
                </c:pt>
                <c:pt idx="25">
                  <c:v>42454</c:v>
                </c:pt>
                <c:pt idx="26">
                  <c:v>42455</c:v>
                </c:pt>
                <c:pt idx="27">
                  <c:v>42456</c:v>
                </c:pt>
                <c:pt idx="28">
                  <c:v>42457</c:v>
                </c:pt>
                <c:pt idx="29">
                  <c:v>42458</c:v>
                </c:pt>
                <c:pt idx="30">
                  <c:v>42459</c:v>
                </c:pt>
                <c:pt idx="31">
                  <c:v>42460</c:v>
                </c:pt>
                <c:pt idx="32">
                  <c:v>42461</c:v>
                </c:pt>
                <c:pt idx="33">
                  <c:v>42462</c:v>
                </c:pt>
                <c:pt idx="34">
                  <c:v>42463</c:v>
                </c:pt>
                <c:pt idx="35">
                  <c:v>42464</c:v>
                </c:pt>
                <c:pt idx="36">
                  <c:v>42465</c:v>
                </c:pt>
                <c:pt idx="37">
                  <c:v>42466</c:v>
                </c:pt>
                <c:pt idx="38">
                  <c:v>42467</c:v>
                </c:pt>
                <c:pt idx="39">
                  <c:v>42468</c:v>
                </c:pt>
                <c:pt idx="40">
                  <c:v>42469</c:v>
                </c:pt>
                <c:pt idx="41">
                  <c:v>42470</c:v>
                </c:pt>
                <c:pt idx="42">
                  <c:v>42471</c:v>
                </c:pt>
                <c:pt idx="43">
                  <c:v>42472</c:v>
                </c:pt>
                <c:pt idx="44">
                  <c:v>42473</c:v>
                </c:pt>
                <c:pt idx="45">
                  <c:v>42474</c:v>
                </c:pt>
                <c:pt idx="46">
                  <c:v>42475</c:v>
                </c:pt>
                <c:pt idx="47">
                  <c:v>42476</c:v>
                </c:pt>
                <c:pt idx="48">
                  <c:v>42477</c:v>
                </c:pt>
                <c:pt idx="49">
                  <c:v>42478</c:v>
                </c:pt>
                <c:pt idx="50">
                  <c:v>42479</c:v>
                </c:pt>
                <c:pt idx="51">
                  <c:v>42480</c:v>
                </c:pt>
                <c:pt idx="52">
                  <c:v>42481</c:v>
                </c:pt>
                <c:pt idx="53">
                  <c:v>42482</c:v>
                </c:pt>
                <c:pt idx="54">
                  <c:v>42483</c:v>
                </c:pt>
                <c:pt idx="55">
                  <c:v>42484</c:v>
                </c:pt>
                <c:pt idx="56">
                  <c:v>42485</c:v>
                </c:pt>
                <c:pt idx="57">
                  <c:v>42486</c:v>
                </c:pt>
                <c:pt idx="58">
                  <c:v>42487</c:v>
                </c:pt>
                <c:pt idx="59">
                  <c:v>42488</c:v>
                </c:pt>
                <c:pt idx="60">
                  <c:v>42489</c:v>
                </c:pt>
                <c:pt idx="61">
                  <c:v>42490</c:v>
                </c:pt>
                <c:pt idx="62">
                  <c:v>42491</c:v>
                </c:pt>
                <c:pt idx="63">
                  <c:v>42492</c:v>
                </c:pt>
                <c:pt idx="64">
                  <c:v>42493</c:v>
                </c:pt>
                <c:pt idx="65">
                  <c:v>42494</c:v>
                </c:pt>
                <c:pt idx="66">
                  <c:v>42495</c:v>
                </c:pt>
                <c:pt idx="67">
                  <c:v>42496</c:v>
                </c:pt>
                <c:pt idx="68">
                  <c:v>42497</c:v>
                </c:pt>
                <c:pt idx="69">
                  <c:v>42498</c:v>
                </c:pt>
                <c:pt idx="70">
                  <c:v>42499</c:v>
                </c:pt>
                <c:pt idx="71">
                  <c:v>42500</c:v>
                </c:pt>
                <c:pt idx="72">
                  <c:v>42501</c:v>
                </c:pt>
                <c:pt idx="73">
                  <c:v>42502</c:v>
                </c:pt>
                <c:pt idx="74">
                  <c:v>42503</c:v>
                </c:pt>
                <c:pt idx="75">
                  <c:v>42504</c:v>
                </c:pt>
                <c:pt idx="76">
                  <c:v>42505</c:v>
                </c:pt>
                <c:pt idx="77">
                  <c:v>42506</c:v>
                </c:pt>
                <c:pt idx="78">
                  <c:v>42507</c:v>
                </c:pt>
                <c:pt idx="79">
                  <c:v>42508</c:v>
                </c:pt>
                <c:pt idx="80">
                  <c:v>42509</c:v>
                </c:pt>
                <c:pt idx="81">
                  <c:v>42510</c:v>
                </c:pt>
                <c:pt idx="82">
                  <c:v>42511</c:v>
                </c:pt>
                <c:pt idx="83">
                  <c:v>42512</c:v>
                </c:pt>
                <c:pt idx="84">
                  <c:v>42513</c:v>
                </c:pt>
                <c:pt idx="85">
                  <c:v>42514</c:v>
                </c:pt>
                <c:pt idx="86">
                  <c:v>42515</c:v>
                </c:pt>
                <c:pt idx="87">
                  <c:v>42516</c:v>
                </c:pt>
                <c:pt idx="88">
                  <c:v>42517</c:v>
                </c:pt>
                <c:pt idx="89">
                  <c:v>42518</c:v>
                </c:pt>
                <c:pt idx="90">
                  <c:v>42519</c:v>
                </c:pt>
                <c:pt idx="91">
                  <c:v>42520</c:v>
                </c:pt>
                <c:pt idx="92">
                  <c:v>42521</c:v>
                </c:pt>
                <c:pt idx="93">
                  <c:v>42522</c:v>
                </c:pt>
                <c:pt idx="94">
                  <c:v>42523</c:v>
                </c:pt>
                <c:pt idx="95">
                  <c:v>42524</c:v>
                </c:pt>
                <c:pt idx="96">
                  <c:v>42525</c:v>
                </c:pt>
                <c:pt idx="97">
                  <c:v>42526</c:v>
                </c:pt>
                <c:pt idx="98">
                  <c:v>42527</c:v>
                </c:pt>
                <c:pt idx="99">
                  <c:v>42528</c:v>
                </c:pt>
                <c:pt idx="100">
                  <c:v>42529</c:v>
                </c:pt>
                <c:pt idx="101">
                  <c:v>42530</c:v>
                </c:pt>
                <c:pt idx="102">
                  <c:v>42531</c:v>
                </c:pt>
                <c:pt idx="103">
                  <c:v>42532</c:v>
                </c:pt>
                <c:pt idx="104">
                  <c:v>42533</c:v>
                </c:pt>
                <c:pt idx="105">
                  <c:v>42534</c:v>
                </c:pt>
                <c:pt idx="106">
                  <c:v>42535</c:v>
                </c:pt>
                <c:pt idx="107">
                  <c:v>42536</c:v>
                </c:pt>
                <c:pt idx="108">
                  <c:v>42537</c:v>
                </c:pt>
                <c:pt idx="109">
                  <c:v>42538</c:v>
                </c:pt>
                <c:pt idx="110">
                  <c:v>42539</c:v>
                </c:pt>
                <c:pt idx="111">
                  <c:v>42540</c:v>
                </c:pt>
                <c:pt idx="112">
                  <c:v>42541</c:v>
                </c:pt>
                <c:pt idx="113">
                  <c:v>42542</c:v>
                </c:pt>
                <c:pt idx="114">
                  <c:v>42543</c:v>
                </c:pt>
                <c:pt idx="115">
                  <c:v>42544</c:v>
                </c:pt>
                <c:pt idx="116">
                  <c:v>42545</c:v>
                </c:pt>
                <c:pt idx="117">
                  <c:v>42546</c:v>
                </c:pt>
                <c:pt idx="118">
                  <c:v>42547</c:v>
                </c:pt>
                <c:pt idx="119">
                  <c:v>42548</c:v>
                </c:pt>
                <c:pt idx="120">
                  <c:v>42549</c:v>
                </c:pt>
                <c:pt idx="121">
                  <c:v>42550</c:v>
                </c:pt>
                <c:pt idx="122">
                  <c:v>42551</c:v>
                </c:pt>
                <c:pt idx="123">
                  <c:v>42552</c:v>
                </c:pt>
                <c:pt idx="124">
                  <c:v>42553</c:v>
                </c:pt>
                <c:pt idx="125">
                  <c:v>42554</c:v>
                </c:pt>
                <c:pt idx="126">
                  <c:v>42555</c:v>
                </c:pt>
                <c:pt idx="127">
                  <c:v>42556</c:v>
                </c:pt>
                <c:pt idx="128">
                  <c:v>42557</c:v>
                </c:pt>
                <c:pt idx="129">
                  <c:v>42558</c:v>
                </c:pt>
                <c:pt idx="130">
                  <c:v>42559</c:v>
                </c:pt>
                <c:pt idx="131">
                  <c:v>42560</c:v>
                </c:pt>
                <c:pt idx="132">
                  <c:v>42561</c:v>
                </c:pt>
                <c:pt idx="133">
                  <c:v>42562</c:v>
                </c:pt>
                <c:pt idx="134">
                  <c:v>42563</c:v>
                </c:pt>
                <c:pt idx="135">
                  <c:v>42564</c:v>
                </c:pt>
                <c:pt idx="136">
                  <c:v>42565</c:v>
                </c:pt>
                <c:pt idx="137">
                  <c:v>42566</c:v>
                </c:pt>
                <c:pt idx="138">
                  <c:v>42567</c:v>
                </c:pt>
                <c:pt idx="139">
                  <c:v>42568</c:v>
                </c:pt>
                <c:pt idx="140">
                  <c:v>42569</c:v>
                </c:pt>
                <c:pt idx="141">
                  <c:v>42570</c:v>
                </c:pt>
                <c:pt idx="142">
                  <c:v>42571</c:v>
                </c:pt>
                <c:pt idx="143">
                  <c:v>42572</c:v>
                </c:pt>
                <c:pt idx="144">
                  <c:v>42573</c:v>
                </c:pt>
                <c:pt idx="145">
                  <c:v>42574</c:v>
                </c:pt>
                <c:pt idx="146">
                  <c:v>42575</c:v>
                </c:pt>
                <c:pt idx="147">
                  <c:v>42576</c:v>
                </c:pt>
                <c:pt idx="148">
                  <c:v>42577</c:v>
                </c:pt>
                <c:pt idx="149">
                  <c:v>42578</c:v>
                </c:pt>
                <c:pt idx="150">
                  <c:v>42579</c:v>
                </c:pt>
                <c:pt idx="151">
                  <c:v>42580</c:v>
                </c:pt>
                <c:pt idx="152">
                  <c:v>42581</c:v>
                </c:pt>
                <c:pt idx="153">
                  <c:v>42582</c:v>
                </c:pt>
                <c:pt idx="154">
                  <c:v>42583</c:v>
                </c:pt>
                <c:pt idx="155">
                  <c:v>42584</c:v>
                </c:pt>
                <c:pt idx="156">
                  <c:v>42585</c:v>
                </c:pt>
                <c:pt idx="157">
                  <c:v>42586</c:v>
                </c:pt>
                <c:pt idx="158">
                  <c:v>42587</c:v>
                </c:pt>
                <c:pt idx="159">
                  <c:v>42588</c:v>
                </c:pt>
                <c:pt idx="160">
                  <c:v>42589</c:v>
                </c:pt>
                <c:pt idx="161">
                  <c:v>42590</c:v>
                </c:pt>
                <c:pt idx="162">
                  <c:v>42591</c:v>
                </c:pt>
                <c:pt idx="163">
                  <c:v>42592</c:v>
                </c:pt>
                <c:pt idx="164">
                  <c:v>42593</c:v>
                </c:pt>
                <c:pt idx="165">
                  <c:v>42594</c:v>
                </c:pt>
                <c:pt idx="166">
                  <c:v>42595</c:v>
                </c:pt>
                <c:pt idx="167">
                  <c:v>42596</c:v>
                </c:pt>
                <c:pt idx="168">
                  <c:v>42597</c:v>
                </c:pt>
                <c:pt idx="169">
                  <c:v>42598</c:v>
                </c:pt>
                <c:pt idx="170">
                  <c:v>42599</c:v>
                </c:pt>
                <c:pt idx="171">
                  <c:v>42600</c:v>
                </c:pt>
                <c:pt idx="172">
                  <c:v>42601</c:v>
                </c:pt>
                <c:pt idx="173">
                  <c:v>42602</c:v>
                </c:pt>
                <c:pt idx="174">
                  <c:v>42603</c:v>
                </c:pt>
                <c:pt idx="175">
                  <c:v>42604</c:v>
                </c:pt>
                <c:pt idx="176">
                  <c:v>42605</c:v>
                </c:pt>
                <c:pt idx="177">
                  <c:v>42606</c:v>
                </c:pt>
                <c:pt idx="178">
                  <c:v>42607</c:v>
                </c:pt>
                <c:pt idx="179">
                  <c:v>42608</c:v>
                </c:pt>
                <c:pt idx="180">
                  <c:v>42609</c:v>
                </c:pt>
                <c:pt idx="181">
                  <c:v>42610</c:v>
                </c:pt>
                <c:pt idx="182">
                  <c:v>42611</c:v>
                </c:pt>
                <c:pt idx="183">
                  <c:v>42612</c:v>
                </c:pt>
                <c:pt idx="184">
                  <c:v>42613</c:v>
                </c:pt>
                <c:pt idx="185">
                  <c:v>42614</c:v>
                </c:pt>
                <c:pt idx="186">
                  <c:v>42615</c:v>
                </c:pt>
                <c:pt idx="187">
                  <c:v>42616</c:v>
                </c:pt>
                <c:pt idx="188">
                  <c:v>42617</c:v>
                </c:pt>
                <c:pt idx="189">
                  <c:v>42618</c:v>
                </c:pt>
                <c:pt idx="190">
                  <c:v>42619</c:v>
                </c:pt>
                <c:pt idx="191">
                  <c:v>42620</c:v>
                </c:pt>
                <c:pt idx="192">
                  <c:v>42621</c:v>
                </c:pt>
                <c:pt idx="193">
                  <c:v>42622</c:v>
                </c:pt>
                <c:pt idx="194">
                  <c:v>42623</c:v>
                </c:pt>
                <c:pt idx="195">
                  <c:v>42624</c:v>
                </c:pt>
                <c:pt idx="196">
                  <c:v>42625</c:v>
                </c:pt>
                <c:pt idx="197">
                  <c:v>42626</c:v>
                </c:pt>
                <c:pt idx="198">
                  <c:v>42627</c:v>
                </c:pt>
                <c:pt idx="199">
                  <c:v>42628</c:v>
                </c:pt>
                <c:pt idx="200">
                  <c:v>42629</c:v>
                </c:pt>
                <c:pt idx="201">
                  <c:v>42630</c:v>
                </c:pt>
                <c:pt idx="202">
                  <c:v>42631</c:v>
                </c:pt>
                <c:pt idx="203">
                  <c:v>42632</c:v>
                </c:pt>
                <c:pt idx="204">
                  <c:v>42633</c:v>
                </c:pt>
                <c:pt idx="205">
                  <c:v>42634</c:v>
                </c:pt>
                <c:pt idx="206">
                  <c:v>42635</c:v>
                </c:pt>
                <c:pt idx="207">
                  <c:v>42636</c:v>
                </c:pt>
                <c:pt idx="208">
                  <c:v>42637</c:v>
                </c:pt>
                <c:pt idx="209">
                  <c:v>42638</c:v>
                </c:pt>
                <c:pt idx="210">
                  <c:v>42639</c:v>
                </c:pt>
                <c:pt idx="211">
                  <c:v>42640</c:v>
                </c:pt>
                <c:pt idx="212">
                  <c:v>42641</c:v>
                </c:pt>
                <c:pt idx="213">
                  <c:v>42642</c:v>
                </c:pt>
                <c:pt idx="214">
                  <c:v>42643</c:v>
                </c:pt>
                <c:pt idx="215">
                  <c:v>42644</c:v>
                </c:pt>
                <c:pt idx="216">
                  <c:v>42645</c:v>
                </c:pt>
                <c:pt idx="217">
                  <c:v>42646</c:v>
                </c:pt>
                <c:pt idx="218">
                  <c:v>42647</c:v>
                </c:pt>
                <c:pt idx="219">
                  <c:v>42648</c:v>
                </c:pt>
                <c:pt idx="220">
                  <c:v>42649</c:v>
                </c:pt>
                <c:pt idx="221">
                  <c:v>42650</c:v>
                </c:pt>
                <c:pt idx="222">
                  <c:v>42651</c:v>
                </c:pt>
                <c:pt idx="223">
                  <c:v>42652</c:v>
                </c:pt>
                <c:pt idx="224">
                  <c:v>42653</c:v>
                </c:pt>
                <c:pt idx="225">
                  <c:v>42654</c:v>
                </c:pt>
                <c:pt idx="226">
                  <c:v>42655</c:v>
                </c:pt>
                <c:pt idx="227">
                  <c:v>42656</c:v>
                </c:pt>
                <c:pt idx="228">
                  <c:v>42657</c:v>
                </c:pt>
                <c:pt idx="229">
                  <c:v>42658</c:v>
                </c:pt>
                <c:pt idx="230">
                  <c:v>42659</c:v>
                </c:pt>
                <c:pt idx="231">
                  <c:v>42660</c:v>
                </c:pt>
                <c:pt idx="232">
                  <c:v>42661</c:v>
                </c:pt>
                <c:pt idx="233">
                  <c:v>42662</c:v>
                </c:pt>
                <c:pt idx="234">
                  <c:v>42663</c:v>
                </c:pt>
                <c:pt idx="235">
                  <c:v>42664</c:v>
                </c:pt>
                <c:pt idx="236">
                  <c:v>42665</c:v>
                </c:pt>
                <c:pt idx="237">
                  <c:v>42666</c:v>
                </c:pt>
                <c:pt idx="238">
                  <c:v>42667</c:v>
                </c:pt>
                <c:pt idx="239">
                  <c:v>42668</c:v>
                </c:pt>
                <c:pt idx="240">
                  <c:v>42669</c:v>
                </c:pt>
                <c:pt idx="241">
                  <c:v>42670</c:v>
                </c:pt>
                <c:pt idx="242">
                  <c:v>42671</c:v>
                </c:pt>
                <c:pt idx="243">
                  <c:v>42672</c:v>
                </c:pt>
                <c:pt idx="244">
                  <c:v>42673</c:v>
                </c:pt>
                <c:pt idx="245">
                  <c:v>42674</c:v>
                </c:pt>
                <c:pt idx="246">
                  <c:v>42675</c:v>
                </c:pt>
                <c:pt idx="247">
                  <c:v>42676</c:v>
                </c:pt>
                <c:pt idx="248">
                  <c:v>42677</c:v>
                </c:pt>
                <c:pt idx="249">
                  <c:v>42678</c:v>
                </c:pt>
                <c:pt idx="250">
                  <c:v>42679</c:v>
                </c:pt>
                <c:pt idx="251">
                  <c:v>42680</c:v>
                </c:pt>
                <c:pt idx="252">
                  <c:v>42681</c:v>
                </c:pt>
                <c:pt idx="253">
                  <c:v>42682</c:v>
                </c:pt>
                <c:pt idx="254">
                  <c:v>42683</c:v>
                </c:pt>
                <c:pt idx="255">
                  <c:v>42684</c:v>
                </c:pt>
                <c:pt idx="256">
                  <c:v>42685</c:v>
                </c:pt>
                <c:pt idx="257">
                  <c:v>42686</c:v>
                </c:pt>
                <c:pt idx="258">
                  <c:v>42687</c:v>
                </c:pt>
                <c:pt idx="259">
                  <c:v>42688</c:v>
                </c:pt>
                <c:pt idx="260">
                  <c:v>42689</c:v>
                </c:pt>
                <c:pt idx="261">
                  <c:v>42690</c:v>
                </c:pt>
                <c:pt idx="262">
                  <c:v>42691</c:v>
                </c:pt>
                <c:pt idx="263">
                  <c:v>42692</c:v>
                </c:pt>
                <c:pt idx="264">
                  <c:v>42693</c:v>
                </c:pt>
                <c:pt idx="265">
                  <c:v>42694</c:v>
                </c:pt>
                <c:pt idx="266">
                  <c:v>42695</c:v>
                </c:pt>
                <c:pt idx="267">
                  <c:v>42696</c:v>
                </c:pt>
                <c:pt idx="268">
                  <c:v>42697</c:v>
                </c:pt>
                <c:pt idx="269">
                  <c:v>42698</c:v>
                </c:pt>
                <c:pt idx="270">
                  <c:v>42699</c:v>
                </c:pt>
                <c:pt idx="271">
                  <c:v>42700</c:v>
                </c:pt>
                <c:pt idx="272">
                  <c:v>42701</c:v>
                </c:pt>
                <c:pt idx="273">
                  <c:v>42702</c:v>
                </c:pt>
                <c:pt idx="274">
                  <c:v>42703</c:v>
                </c:pt>
                <c:pt idx="275">
                  <c:v>42704</c:v>
                </c:pt>
                <c:pt idx="276">
                  <c:v>42705</c:v>
                </c:pt>
                <c:pt idx="277">
                  <c:v>42706</c:v>
                </c:pt>
                <c:pt idx="278">
                  <c:v>42707</c:v>
                </c:pt>
                <c:pt idx="279">
                  <c:v>42708</c:v>
                </c:pt>
                <c:pt idx="280">
                  <c:v>42709</c:v>
                </c:pt>
                <c:pt idx="281">
                  <c:v>42710</c:v>
                </c:pt>
                <c:pt idx="282">
                  <c:v>42711</c:v>
                </c:pt>
                <c:pt idx="283">
                  <c:v>42712</c:v>
                </c:pt>
                <c:pt idx="284">
                  <c:v>42713</c:v>
                </c:pt>
                <c:pt idx="285">
                  <c:v>42714</c:v>
                </c:pt>
                <c:pt idx="286">
                  <c:v>42715</c:v>
                </c:pt>
                <c:pt idx="287">
                  <c:v>42716</c:v>
                </c:pt>
                <c:pt idx="288">
                  <c:v>42717</c:v>
                </c:pt>
                <c:pt idx="289">
                  <c:v>42718</c:v>
                </c:pt>
                <c:pt idx="290">
                  <c:v>42719</c:v>
                </c:pt>
                <c:pt idx="291">
                  <c:v>42720</c:v>
                </c:pt>
                <c:pt idx="292">
                  <c:v>42721</c:v>
                </c:pt>
                <c:pt idx="293">
                  <c:v>42722</c:v>
                </c:pt>
                <c:pt idx="294">
                  <c:v>42723</c:v>
                </c:pt>
                <c:pt idx="295">
                  <c:v>42724</c:v>
                </c:pt>
                <c:pt idx="296">
                  <c:v>42725</c:v>
                </c:pt>
                <c:pt idx="297">
                  <c:v>42726</c:v>
                </c:pt>
                <c:pt idx="298">
                  <c:v>42727</c:v>
                </c:pt>
                <c:pt idx="299">
                  <c:v>42728</c:v>
                </c:pt>
                <c:pt idx="300">
                  <c:v>42729</c:v>
                </c:pt>
                <c:pt idx="301">
                  <c:v>42730</c:v>
                </c:pt>
              </c:numCache>
            </c:numRef>
          </c:cat>
          <c:val>
            <c:numRef>
              <c:f>Operacional_9_meses!$E$24:$E$53</c:f>
              <c:numCache>
                <c:formatCode>0</c:formatCode>
                <c:ptCount val="30"/>
                <c:pt idx="0">
                  <c:v>1049.422528724215</c:v>
                </c:pt>
                <c:pt idx="1">
                  <c:v>862.97064693653431</c:v>
                </c:pt>
                <c:pt idx="2">
                  <c:v>781.87694485499287</c:v>
                </c:pt>
                <c:pt idx="3">
                  <c:v>2015.2835387628393</c:v>
                </c:pt>
                <c:pt idx="4">
                  <c:v>2316.447365852468</c:v>
                </c:pt>
                <c:pt idx="5">
                  <c:v>1949.1376615096544</c:v>
                </c:pt>
                <c:pt idx="6">
                  <c:v>1535.3191391419666</c:v>
                </c:pt>
                <c:pt idx="7">
                  <c:v>1225.7764075248226</c:v>
                </c:pt>
                <c:pt idx="8">
                  <c:v>1002.62722551921</c:v>
                </c:pt>
                <c:pt idx="9">
                  <c:v>1181.3037124829168</c:v>
                </c:pt>
                <c:pt idx="10">
                  <c:v>1710.1463410102242</c:v>
                </c:pt>
                <c:pt idx="11">
                  <c:v>2440.2438718612666</c:v>
                </c:pt>
                <c:pt idx="12">
                  <c:v>2112.1861731406452</c:v>
                </c:pt>
                <c:pt idx="13">
                  <c:v>1772.7470839815267</c:v>
                </c:pt>
                <c:pt idx="14">
                  <c:v>1415.7528971016848</c:v>
                </c:pt>
                <c:pt idx="15">
                  <c:v>1148.6104543408542</c:v>
                </c:pt>
                <c:pt idx="16">
                  <c:v>946.87640018726324</c:v>
                </c:pt>
                <c:pt idx="17">
                  <c:v>794.10919165361429</c:v>
                </c:pt>
                <c:pt idx="18">
                  <c:v>726.41791195110068</c:v>
                </c:pt>
                <c:pt idx="19">
                  <c:v>758.86321682710786</c:v>
                </c:pt>
                <c:pt idx="20">
                  <c:v>720.69132105233962</c:v>
                </c:pt>
                <c:pt idx="21">
                  <c:v>907.72537981185394</c:v>
                </c:pt>
                <c:pt idx="22">
                  <c:v>2080.3405279106382</c:v>
                </c:pt>
                <c:pt idx="23">
                  <c:v>2071.0357635072796</c:v>
                </c:pt>
                <c:pt idx="24">
                  <c:v>1645.3172901389632</c:v>
                </c:pt>
                <c:pt idx="25">
                  <c:v>1553.3510188338412</c:v>
                </c:pt>
                <c:pt idx="26">
                  <c:v>2283.0119370215161</c:v>
                </c:pt>
                <c:pt idx="27">
                  <c:v>2416.4325795814093</c:v>
                </c:pt>
                <c:pt idx="28">
                  <c:v>2090.196038220738</c:v>
                </c:pt>
                <c:pt idx="29">
                  <c:v>1670.4192927883753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6-567E-444C-83EC-85B10FD3405D}"/>
            </c:ext>
          </c:extLst>
        </c:ser>
        <c:ser>
          <c:idx val="2"/>
          <c:order val="3"/>
          <c:tx>
            <c:v>Escoamento base</c:v>
          </c:tx>
          <c:spPr>
            <a:ln>
              <a:solidFill>
                <a:schemeClr val="accent3"/>
              </a:solidFill>
            </a:ln>
          </c:spPr>
          <c:marker>
            <c:symbol val="square"/>
            <c:size val="4"/>
            <c:spPr>
              <a:ln>
                <a:solidFill>
                  <a:schemeClr val="accent3"/>
                </a:solidFill>
              </a:ln>
            </c:spPr>
          </c:marker>
          <c:cat>
            <c:numRef>
              <c:f>Operacional_9_meses!$A$24:$A$325</c:f>
              <c:numCache>
                <c:formatCode>m/d/yyyy</c:formatCode>
                <c:ptCount val="302"/>
                <c:pt idx="0">
                  <c:v>42429</c:v>
                </c:pt>
                <c:pt idx="1">
                  <c:v>42430</c:v>
                </c:pt>
                <c:pt idx="2">
                  <c:v>42431</c:v>
                </c:pt>
                <c:pt idx="3">
                  <c:v>42432</c:v>
                </c:pt>
                <c:pt idx="4">
                  <c:v>42433</c:v>
                </c:pt>
                <c:pt idx="5">
                  <c:v>42434</c:v>
                </c:pt>
                <c:pt idx="6">
                  <c:v>42435</c:v>
                </c:pt>
                <c:pt idx="7">
                  <c:v>42436</c:v>
                </c:pt>
                <c:pt idx="8">
                  <c:v>42437</c:v>
                </c:pt>
                <c:pt idx="9">
                  <c:v>42438</c:v>
                </c:pt>
                <c:pt idx="10">
                  <c:v>42439</c:v>
                </c:pt>
                <c:pt idx="11">
                  <c:v>42440</c:v>
                </c:pt>
                <c:pt idx="12">
                  <c:v>42441</c:v>
                </c:pt>
                <c:pt idx="13">
                  <c:v>42442</c:v>
                </c:pt>
                <c:pt idx="14">
                  <c:v>42443</c:v>
                </c:pt>
                <c:pt idx="15">
                  <c:v>42444</c:v>
                </c:pt>
                <c:pt idx="16">
                  <c:v>42445</c:v>
                </c:pt>
                <c:pt idx="17">
                  <c:v>42446</c:v>
                </c:pt>
                <c:pt idx="18">
                  <c:v>42447</c:v>
                </c:pt>
                <c:pt idx="19">
                  <c:v>42448</c:v>
                </c:pt>
                <c:pt idx="20">
                  <c:v>42449</c:v>
                </c:pt>
                <c:pt idx="21">
                  <c:v>42450</c:v>
                </c:pt>
                <c:pt idx="22">
                  <c:v>42451</c:v>
                </c:pt>
                <c:pt idx="23">
                  <c:v>42452</c:v>
                </c:pt>
                <c:pt idx="24">
                  <c:v>42453</c:v>
                </c:pt>
                <c:pt idx="25">
                  <c:v>42454</c:v>
                </c:pt>
                <c:pt idx="26">
                  <c:v>42455</c:v>
                </c:pt>
                <c:pt idx="27">
                  <c:v>42456</c:v>
                </c:pt>
                <c:pt idx="28">
                  <c:v>42457</c:v>
                </c:pt>
                <c:pt idx="29">
                  <c:v>42458</c:v>
                </c:pt>
                <c:pt idx="30">
                  <c:v>42459</c:v>
                </c:pt>
                <c:pt idx="31">
                  <c:v>42460</c:v>
                </c:pt>
                <c:pt idx="32">
                  <c:v>42461</c:v>
                </c:pt>
                <c:pt idx="33">
                  <c:v>42462</c:v>
                </c:pt>
                <c:pt idx="34">
                  <c:v>42463</c:v>
                </c:pt>
                <c:pt idx="35">
                  <c:v>42464</c:v>
                </c:pt>
                <c:pt idx="36">
                  <c:v>42465</c:v>
                </c:pt>
                <c:pt idx="37">
                  <c:v>42466</c:v>
                </c:pt>
                <c:pt idx="38">
                  <c:v>42467</c:v>
                </c:pt>
                <c:pt idx="39">
                  <c:v>42468</c:v>
                </c:pt>
                <c:pt idx="40">
                  <c:v>42469</c:v>
                </c:pt>
                <c:pt idx="41">
                  <c:v>42470</c:v>
                </c:pt>
                <c:pt idx="42">
                  <c:v>42471</c:v>
                </c:pt>
                <c:pt idx="43">
                  <c:v>42472</c:v>
                </c:pt>
                <c:pt idx="44">
                  <c:v>42473</c:v>
                </c:pt>
                <c:pt idx="45">
                  <c:v>42474</c:v>
                </c:pt>
                <c:pt idx="46">
                  <c:v>42475</c:v>
                </c:pt>
                <c:pt idx="47">
                  <c:v>42476</c:v>
                </c:pt>
                <c:pt idx="48">
                  <c:v>42477</c:v>
                </c:pt>
                <c:pt idx="49">
                  <c:v>42478</c:v>
                </c:pt>
                <c:pt idx="50">
                  <c:v>42479</c:v>
                </c:pt>
                <c:pt idx="51">
                  <c:v>42480</c:v>
                </c:pt>
                <c:pt idx="52">
                  <c:v>42481</c:v>
                </c:pt>
                <c:pt idx="53">
                  <c:v>42482</c:v>
                </c:pt>
                <c:pt idx="54">
                  <c:v>42483</c:v>
                </c:pt>
                <c:pt idx="55">
                  <c:v>42484</c:v>
                </c:pt>
                <c:pt idx="56">
                  <c:v>42485</c:v>
                </c:pt>
                <c:pt idx="57">
                  <c:v>42486</c:v>
                </c:pt>
                <c:pt idx="58">
                  <c:v>42487</c:v>
                </c:pt>
                <c:pt idx="59">
                  <c:v>42488</c:v>
                </c:pt>
                <c:pt idx="60">
                  <c:v>42489</c:v>
                </c:pt>
                <c:pt idx="61">
                  <c:v>42490</c:v>
                </c:pt>
                <c:pt idx="62">
                  <c:v>42491</c:v>
                </c:pt>
                <c:pt idx="63">
                  <c:v>42492</c:v>
                </c:pt>
                <c:pt idx="64">
                  <c:v>42493</c:v>
                </c:pt>
                <c:pt idx="65">
                  <c:v>42494</c:v>
                </c:pt>
                <c:pt idx="66">
                  <c:v>42495</c:v>
                </c:pt>
                <c:pt idx="67">
                  <c:v>42496</c:v>
                </c:pt>
                <c:pt idx="68">
                  <c:v>42497</c:v>
                </c:pt>
                <c:pt idx="69">
                  <c:v>42498</c:v>
                </c:pt>
                <c:pt idx="70">
                  <c:v>42499</c:v>
                </c:pt>
                <c:pt idx="71">
                  <c:v>42500</c:v>
                </c:pt>
                <c:pt idx="72">
                  <c:v>42501</c:v>
                </c:pt>
                <c:pt idx="73">
                  <c:v>42502</c:v>
                </c:pt>
                <c:pt idx="74">
                  <c:v>42503</c:v>
                </c:pt>
                <c:pt idx="75">
                  <c:v>42504</c:v>
                </c:pt>
                <c:pt idx="76">
                  <c:v>42505</c:v>
                </c:pt>
                <c:pt idx="77">
                  <c:v>42506</c:v>
                </c:pt>
                <c:pt idx="78">
                  <c:v>42507</c:v>
                </c:pt>
                <c:pt idx="79">
                  <c:v>42508</c:v>
                </c:pt>
                <c:pt idx="80">
                  <c:v>42509</c:v>
                </c:pt>
                <c:pt idx="81">
                  <c:v>42510</c:v>
                </c:pt>
                <c:pt idx="82">
                  <c:v>42511</c:v>
                </c:pt>
                <c:pt idx="83">
                  <c:v>42512</c:v>
                </c:pt>
                <c:pt idx="84">
                  <c:v>42513</c:v>
                </c:pt>
                <c:pt idx="85">
                  <c:v>42514</c:v>
                </c:pt>
                <c:pt idx="86">
                  <c:v>42515</c:v>
                </c:pt>
                <c:pt idx="87">
                  <c:v>42516</c:v>
                </c:pt>
                <c:pt idx="88">
                  <c:v>42517</c:v>
                </c:pt>
                <c:pt idx="89">
                  <c:v>42518</c:v>
                </c:pt>
                <c:pt idx="90">
                  <c:v>42519</c:v>
                </c:pt>
                <c:pt idx="91">
                  <c:v>42520</c:v>
                </c:pt>
                <c:pt idx="92">
                  <c:v>42521</c:v>
                </c:pt>
                <c:pt idx="93">
                  <c:v>42522</c:v>
                </c:pt>
                <c:pt idx="94">
                  <c:v>42523</c:v>
                </c:pt>
                <c:pt idx="95">
                  <c:v>42524</c:v>
                </c:pt>
                <c:pt idx="96">
                  <c:v>42525</c:v>
                </c:pt>
                <c:pt idx="97">
                  <c:v>42526</c:v>
                </c:pt>
                <c:pt idx="98">
                  <c:v>42527</c:v>
                </c:pt>
                <c:pt idx="99">
                  <c:v>42528</c:v>
                </c:pt>
                <c:pt idx="100">
                  <c:v>42529</c:v>
                </c:pt>
                <c:pt idx="101">
                  <c:v>42530</c:v>
                </c:pt>
                <c:pt idx="102">
                  <c:v>42531</c:v>
                </c:pt>
                <c:pt idx="103">
                  <c:v>42532</c:v>
                </c:pt>
                <c:pt idx="104">
                  <c:v>42533</c:v>
                </c:pt>
                <c:pt idx="105">
                  <c:v>42534</c:v>
                </c:pt>
                <c:pt idx="106">
                  <c:v>42535</c:v>
                </c:pt>
                <c:pt idx="107">
                  <c:v>42536</c:v>
                </c:pt>
                <c:pt idx="108">
                  <c:v>42537</c:v>
                </c:pt>
                <c:pt idx="109">
                  <c:v>42538</c:v>
                </c:pt>
                <c:pt idx="110">
                  <c:v>42539</c:v>
                </c:pt>
                <c:pt idx="111">
                  <c:v>42540</c:v>
                </c:pt>
                <c:pt idx="112">
                  <c:v>42541</c:v>
                </c:pt>
                <c:pt idx="113">
                  <c:v>42542</c:v>
                </c:pt>
                <c:pt idx="114">
                  <c:v>42543</c:v>
                </c:pt>
                <c:pt idx="115">
                  <c:v>42544</c:v>
                </c:pt>
                <c:pt idx="116">
                  <c:v>42545</c:v>
                </c:pt>
                <c:pt idx="117">
                  <c:v>42546</c:v>
                </c:pt>
                <c:pt idx="118">
                  <c:v>42547</c:v>
                </c:pt>
                <c:pt idx="119">
                  <c:v>42548</c:v>
                </c:pt>
                <c:pt idx="120">
                  <c:v>42549</c:v>
                </c:pt>
                <c:pt idx="121">
                  <c:v>42550</c:v>
                </c:pt>
                <c:pt idx="122">
                  <c:v>42551</c:v>
                </c:pt>
                <c:pt idx="123">
                  <c:v>42552</c:v>
                </c:pt>
                <c:pt idx="124">
                  <c:v>42553</c:v>
                </c:pt>
                <c:pt idx="125">
                  <c:v>42554</c:v>
                </c:pt>
                <c:pt idx="126">
                  <c:v>42555</c:v>
                </c:pt>
                <c:pt idx="127">
                  <c:v>42556</c:v>
                </c:pt>
                <c:pt idx="128">
                  <c:v>42557</c:v>
                </c:pt>
                <c:pt idx="129">
                  <c:v>42558</c:v>
                </c:pt>
                <c:pt idx="130">
                  <c:v>42559</c:v>
                </c:pt>
                <c:pt idx="131">
                  <c:v>42560</c:v>
                </c:pt>
                <c:pt idx="132">
                  <c:v>42561</c:v>
                </c:pt>
                <c:pt idx="133">
                  <c:v>42562</c:v>
                </c:pt>
                <c:pt idx="134">
                  <c:v>42563</c:v>
                </c:pt>
                <c:pt idx="135">
                  <c:v>42564</c:v>
                </c:pt>
                <c:pt idx="136">
                  <c:v>42565</c:v>
                </c:pt>
                <c:pt idx="137">
                  <c:v>42566</c:v>
                </c:pt>
                <c:pt idx="138">
                  <c:v>42567</c:v>
                </c:pt>
                <c:pt idx="139">
                  <c:v>42568</c:v>
                </c:pt>
                <c:pt idx="140">
                  <c:v>42569</c:v>
                </c:pt>
                <c:pt idx="141">
                  <c:v>42570</c:v>
                </c:pt>
                <c:pt idx="142">
                  <c:v>42571</c:v>
                </c:pt>
                <c:pt idx="143">
                  <c:v>42572</c:v>
                </c:pt>
                <c:pt idx="144">
                  <c:v>42573</c:v>
                </c:pt>
                <c:pt idx="145">
                  <c:v>42574</c:v>
                </c:pt>
                <c:pt idx="146">
                  <c:v>42575</c:v>
                </c:pt>
                <c:pt idx="147">
                  <c:v>42576</c:v>
                </c:pt>
                <c:pt idx="148">
                  <c:v>42577</c:v>
                </c:pt>
                <c:pt idx="149">
                  <c:v>42578</c:v>
                </c:pt>
                <c:pt idx="150">
                  <c:v>42579</c:v>
                </c:pt>
                <c:pt idx="151">
                  <c:v>42580</c:v>
                </c:pt>
                <c:pt idx="152">
                  <c:v>42581</c:v>
                </c:pt>
                <c:pt idx="153">
                  <c:v>42582</c:v>
                </c:pt>
                <c:pt idx="154">
                  <c:v>42583</c:v>
                </c:pt>
                <c:pt idx="155">
                  <c:v>42584</c:v>
                </c:pt>
                <c:pt idx="156">
                  <c:v>42585</c:v>
                </c:pt>
                <c:pt idx="157">
                  <c:v>42586</c:v>
                </c:pt>
                <c:pt idx="158">
                  <c:v>42587</c:v>
                </c:pt>
                <c:pt idx="159">
                  <c:v>42588</c:v>
                </c:pt>
                <c:pt idx="160">
                  <c:v>42589</c:v>
                </c:pt>
                <c:pt idx="161">
                  <c:v>42590</c:v>
                </c:pt>
                <c:pt idx="162">
                  <c:v>42591</c:v>
                </c:pt>
                <c:pt idx="163">
                  <c:v>42592</c:v>
                </c:pt>
                <c:pt idx="164">
                  <c:v>42593</c:v>
                </c:pt>
                <c:pt idx="165">
                  <c:v>42594</c:v>
                </c:pt>
                <c:pt idx="166">
                  <c:v>42595</c:v>
                </c:pt>
                <c:pt idx="167">
                  <c:v>42596</c:v>
                </c:pt>
                <c:pt idx="168">
                  <c:v>42597</c:v>
                </c:pt>
                <c:pt idx="169">
                  <c:v>42598</c:v>
                </c:pt>
                <c:pt idx="170">
                  <c:v>42599</c:v>
                </c:pt>
                <c:pt idx="171">
                  <c:v>42600</c:v>
                </c:pt>
                <c:pt idx="172">
                  <c:v>42601</c:v>
                </c:pt>
                <c:pt idx="173">
                  <c:v>42602</c:v>
                </c:pt>
                <c:pt idx="174">
                  <c:v>42603</c:v>
                </c:pt>
                <c:pt idx="175">
                  <c:v>42604</c:v>
                </c:pt>
                <c:pt idx="176">
                  <c:v>42605</c:v>
                </c:pt>
                <c:pt idx="177">
                  <c:v>42606</c:v>
                </c:pt>
                <c:pt idx="178">
                  <c:v>42607</c:v>
                </c:pt>
                <c:pt idx="179">
                  <c:v>42608</c:v>
                </c:pt>
                <c:pt idx="180">
                  <c:v>42609</c:v>
                </c:pt>
                <c:pt idx="181">
                  <c:v>42610</c:v>
                </c:pt>
                <c:pt idx="182">
                  <c:v>42611</c:v>
                </c:pt>
                <c:pt idx="183">
                  <c:v>42612</c:v>
                </c:pt>
                <c:pt idx="184">
                  <c:v>42613</c:v>
                </c:pt>
                <c:pt idx="185">
                  <c:v>42614</c:v>
                </c:pt>
                <c:pt idx="186">
                  <c:v>42615</c:v>
                </c:pt>
                <c:pt idx="187">
                  <c:v>42616</c:v>
                </c:pt>
                <c:pt idx="188">
                  <c:v>42617</c:v>
                </c:pt>
                <c:pt idx="189">
                  <c:v>42618</c:v>
                </c:pt>
                <c:pt idx="190">
                  <c:v>42619</c:v>
                </c:pt>
                <c:pt idx="191">
                  <c:v>42620</c:v>
                </c:pt>
                <c:pt idx="192">
                  <c:v>42621</c:v>
                </c:pt>
                <c:pt idx="193">
                  <c:v>42622</c:v>
                </c:pt>
                <c:pt idx="194">
                  <c:v>42623</c:v>
                </c:pt>
                <c:pt idx="195">
                  <c:v>42624</c:v>
                </c:pt>
                <c:pt idx="196">
                  <c:v>42625</c:v>
                </c:pt>
                <c:pt idx="197">
                  <c:v>42626</c:v>
                </c:pt>
                <c:pt idx="198">
                  <c:v>42627</c:v>
                </c:pt>
                <c:pt idx="199">
                  <c:v>42628</c:v>
                </c:pt>
                <c:pt idx="200">
                  <c:v>42629</c:v>
                </c:pt>
                <c:pt idx="201">
                  <c:v>42630</c:v>
                </c:pt>
                <c:pt idx="202">
                  <c:v>42631</c:v>
                </c:pt>
                <c:pt idx="203">
                  <c:v>42632</c:v>
                </c:pt>
                <c:pt idx="204">
                  <c:v>42633</c:v>
                </c:pt>
                <c:pt idx="205">
                  <c:v>42634</c:v>
                </c:pt>
                <c:pt idx="206">
                  <c:v>42635</c:v>
                </c:pt>
                <c:pt idx="207">
                  <c:v>42636</c:v>
                </c:pt>
                <c:pt idx="208">
                  <c:v>42637</c:v>
                </c:pt>
                <c:pt idx="209">
                  <c:v>42638</c:v>
                </c:pt>
                <c:pt idx="210">
                  <c:v>42639</c:v>
                </c:pt>
                <c:pt idx="211">
                  <c:v>42640</c:v>
                </c:pt>
                <c:pt idx="212">
                  <c:v>42641</c:v>
                </c:pt>
                <c:pt idx="213">
                  <c:v>42642</c:v>
                </c:pt>
                <c:pt idx="214">
                  <c:v>42643</c:v>
                </c:pt>
                <c:pt idx="215">
                  <c:v>42644</c:v>
                </c:pt>
                <c:pt idx="216">
                  <c:v>42645</c:v>
                </c:pt>
                <c:pt idx="217">
                  <c:v>42646</c:v>
                </c:pt>
                <c:pt idx="218">
                  <c:v>42647</c:v>
                </c:pt>
                <c:pt idx="219">
                  <c:v>42648</c:v>
                </c:pt>
                <c:pt idx="220">
                  <c:v>42649</c:v>
                </c:pt>
                <c:pt idx="221">
                  <c:v>42650</c:v>
                </c:pt>
                <c:pt idx="222">
                  <c:v>42651</c:v>
                </c:pt>
                <c:pt idx="223">
                  <c:v>42652</c:v>
                </c:pt>
                <c:pt idx="224">
                  <c:v>42653</c:v>
                </c:pt>
                <c:pt idx="225">
                  <c:v>42654</c:v>
                </c:pt>
                <c:pt idx="226">
                  <c:v>42655</c:v>
                </c:pt>
                <c:pt idx="227">
                  <c:v>42656</c:v>
                </c:pt>
                <c:pt idx="228">
                  <c:v>42657</c:v>
                </c:pt>
                <c:pt idx="229">
                  <c:v>42658</c:v>
                </c:pt>
                <c:pt idx="230">
                  <c:v>42659</c:v>
                </c:pt>
                <c:pt idx="231">
                  <c:v>42660</c:v>
                </c:pt>
                <c:pt idx="232">
                  <c:v>42661</c:v>
                </c:pt>
                <c:pt idx="233">
                  <c:v>42662</c:v>
                </c:pt>
                <c:pt idx="234">
                  <c:v>42663</c:v>
                </c:pt>
                <c:pt idx="235">
                  <c:v>42664</c:v>
                </c:pt>
                <c:pt idx="236">
                  <c:v>42665</c:v>
                </c:pt>
                <c:pt idx="237">
                  <c:v>42666</c:v>
                </c:pt>
                <c:pt idx="238">
                  <c:v>42667</c:v>
                </c:pt>
                <c:pt idx="239">
                  <c:v>42668</c:v>
                </c:pt>
                <c:pt idx="240">
                  <c:v>42669</c:v>
                </c:pt>
                <c:pt idx="241">
                  <c:v>42670</c:v>
                </c:pt>
                <c:pt idx="242">
                  <c:v>42671</c:v>
                </c:pt>
                <c:pt idx="243">
                  <c:v>42672</c:v>
                </c:pt>
                <c:pt idx="244">
                  <c:v>42673</c:v>
                </c:pt>
                <c:pt idx="245">
                  <c:v>42674</c:v>
                </c:pt>
                <c:pt idx="246">
                  <c:v>42675</c:v>
                </c:pt>
                <c:pt idx="247">
                  <c:v>42676</c:v>
                </c:pt>
                <c:pt idx="248">
                  <c:v>42677</c:v>
                </c:pt>
                <c:pt idx="249">
                  <c:v>42678</c:v>
                </c:pt>
                <c:pt idx="250">
                  <c:v>42679</c:v>
                </c:pt>
                <c:pt idx="251">
                  <c:v>42680</c:v>
                </c:pt>
                <c:pt idx="252">
                  <c:v>42681</c:v>
                </c:pt>
                <c:pt idx="253">
                  <c:v>42682</c:v>
                </c:pt>
                <c:pt idx="254">
                  <c:v>42683</c:v>
                </c:pt>
                <c:pt idx="255">
                  <c:v>42684</c:v>
                </c:pt>
                <c:pt idx="256">
                  <c:v>42685</c:v>
                </c:pt>
                <c:pt idx="257">
                  <c:v>42686</c:v>
                </c:pt>
                <c:pt idx="258">
                  <c:v>42687</c:v>
                </c:pt>
                <c:pt idx="259">
                  <c:v>42688</c:v>
                </c:pt>
                <c:pt idx="260">
                  <c:v>42689</c:v>
                </c:pt>
                <c:pt idx="261">
                  <c:v>42690</c:v>
                </c:pt>
                <c:pt idx="262">
                  <c:v>42691</c:v>
                </c:pt>
                <c:pt idx="263">
                  <c:v>42692</c:v>
                </c:pt>
                <c:pt idx="264">
                  <c:v>42693</c:v>
                </c:pt>
                <c:pt idx="265">
                  <c:v>42694</c:v>
                </c:pt>
                <c:pt idx="266">
                  <c:v>42695</c:v>
                </c:pt>
                <c:pt idx="267">
                  <c:v>42696</c:v>
                </c:pt>
                <c:pt idx="268">
                  <c:v>42697</c:v>
                </c:pt>
                <c:pt idx="269">
                  <c:v>42698</c:v>
                </c:pt>
                <c:pt idx="270">
                  <c:v>42699</c:v>
                </c:pt>
                <c:pt idx="271">
                  <c:v>42700</c:v>
                </c:pt>
                <c:pt idx="272">
                  <c:v>42701</c:v>
                </c:pt>
                <c:pt idx="273">
                  <c:v>42702</c:v>
                </c:pt>
                <c:pt idx="274">
                  <c:v>42703</c:v>
                </c:pt>
                <c:pt idx="275">
                  <c:v>42704</c:v>
                </c:pt>
                <c:pt idx="276">
                  <c:v>42705</c:v>
                </c:pt>
                <c:pt idx="277">
                  <c:v>42706</c:v>
                </c:pt>
                <c:pt idx="278">
                  <c:v>42707</c:v>
                </c:pt>
                <c:pt idx="279">
                  <c:v>42708</c:v>
                </c:pt>
                <c:pt idx="280">
                  <c:v>42709</c:v>
                </c:pt>
                <c:pt idx="281">
                  <c:v>42710</c:v>
                </c:pt>
                <c:pt idx="282">
                  <c:v>42711</c:v>
                </c:pt>
                <c:pt idx="283">
                  <c:v>42712</c:v>
                </c:pt>
                <c:pt idx="284">
                  <c:v>42713</c:v>
                </c:pt>
                <c:pt idx="285">
                  <c:v>42714</c:v>
                </c:pt>
                <c:pt idx="286">
                  <c:v>42715</c:v>
                </c:pt>
                <c:pt idx="287">
                  <c:v>42716</c:v>
                </c:pt>
                <c:pt idx="288">
                  <c:v>42717</c:v>
                </c:pt>
                <c:pt idx="289">
                  <c:v>42718</c:v>
                </c:pt>
                <c:pt idx="290">
                  <c:v>42719</c:v>
                </c:pt>
                <c:pt idx="291">
                  <c:v>42720</c:v>
                </c:pt>
                <c:pt idx="292">
                  <c:v>42721</c:v>
                </c:pt>
                <c:pt idx="293">
                  <c:v>42722</c:v>
                </c:pt>
                <c:pt idx="294">
                  <c:v>42723</c:v>
                </c:pt>
                <c:pt idx="295">
                  <c:v>42724</c:v>
                </c:pt>
                <c:pt idx="296">
                  <c:v>42725</c:v>
                </c:pt>
                <c:pt idx="297">
                  <c:v>42726</c:v>
                </c:pt>
                <c:pt idx="298">
                  <c:v>42727</c:v>
                </c:pt>
                <c:pt idx="299">
                  <c:v>42728</c:v>
                </c:pt>
                <c:pt idx="300">
                  <c:v>42729</c:v>
                </c:pt>
                <c:pt idx="301">
                  <c:v>42730</c:v>
                </c:pt>
              </c:numCache>
            </c:numRef>
          </c:cat>
          <c:val>
            <c:numRef>
              <c:f>Operacional_9_meses!$F$24:$F$325</c:f>
              <c:numCache>
                <c:formatCode>0.00</c:formatCode>
                <c:ptCount val="302"/>
                <c:pt idx="0">
                  <c:v>249.8449596097982</c:v>
                </c:pt>
                <c:pt idx="1">
                  <c:v>250.00754634773659</c:v>
                </c:pt>
                <c:pt idx="2">
                  <c:v>249.21185308259496</c:v>
                </c:pt>
                <c:pt idx="3">
                  <c:v>248.143835730674</c:v>
                </c:pt>
                <c:pt idx="4">
                  <c:v>247.52851275148947</c:v>
                </c:pt>
                <c:pt idx="5">
                  <c:v>251.76213945349801</c:v>
                </c:pt>
                <c:pt idx="6">
                  <c:v>258.79078079509446</c:v>
                </c:pt>
                <c:pt idx="7">
                  <c:v>265.75039767062344</c:v>
                </c:pt>
                <c:pt idx="8">
                  <c:v>270.8291002228458</c:v>
                </c:pt>
                <c:pt idx="9">
                  <c:v>273.75061278692425</c:v>
                </c:pt>
                <c:pt idx="10">
                  <c:v>275.87593399071278</c:v>
                </c:pt>
                <c:pt idx="11">
                  <c:v>279.834878425569</c:v>
                </c:pt>
                <c:pt idx="12">
                  <c:v>286.59828962859422</c:v>
                </c:pt>
                <c:pt idx="13">
                  <c:v>296.10649094486013</c:v>
                </c:pt>
                <c:pt idx="14">
                  <c:v>305.23046549854746</c:v>
                </c:pt>
                <c:pt idx="15">
                  <c:v>313.43087380556437</c:v>
                </c:pt>
                <c:pt idx="16">
                  <c:v>318.77118421592644</c:v>
                </c:pt>
                <c:pt idx="17">
                  <c:v>321.73633732982518</c:v>
                </c:pt>
                <c:pt idx="18">
                  <c:v>322.72809361252524</c:v>
                </c:pt>
                <c:pt idx="19">
                  <c:v>322.16022813526422</c:v>
                </c:pt>
                <c:pt idx="20">
                  <c:v>321.57019299747486</c:v>
                </c:pt>
                <c:pt idx="21">
                  <c:v>321.82918876354728</c:v>
                </c:pt>
                <c:pt idx="22">
                  <c:v>322.32107607714011</c:v>
                </c:pt>
                <c:pt idx="23">
                  <c:v>324.4469187804396</c:v>
                </c:pt>
                <c:pt idx="24">
                  <c:v>330.8304488518869</c:v>
                </c:pt>
                <c:pt idx="25">
                  <c:v>338.36449651818793</c:v>
                </c:pt>
                <c:pt idx="26">
                  <c:v>343.93605125661549</c:v>
                </c:pt>
                <c:pt idx="27">
                  <c:v>349.99296704631161</c:v>
                </c:pt>
                <c:pt idx="28">
                  <c:v>358.64357013483868</c:v>
                </c:pt>
                <c:pt idx="29">
                  <c:v>368.18781792913114</c:v>
                </c:pt>
                <c:pt idx="30">
                  <c:v>376.9762816713199</c:v>
                </c:pt>
                <c:pt idx="31">
                  <c:v>383.06148024917815</c:v>
                </c:pt>
                <c:pt idx="32">
                  <c:v>386.47455705326007</c:v>
                </c:pt>
                <c:pt idx="33">
                  <c:v>387.87361425408511</c:v>
                </c:pt>
                <c:pt idx="34">
                  <c:v>388.170779097197</c:v>
                </c:pt>
                <c:pt idx="35">
                  <c:v>388.42798198626224</c:v>
                </c:pt>
                <c:pt idx="36">
                  <c:v>390.68599902970271</c:v>
                </c:pt>
                <c:pt idx="37">
                  <c:v>396.60420465863183</c:v>
                </c:pt>
                <c:pt idx="38">
                  <c:v>405.20966160926884</c:v>
                </c:pt>
                <c:pt idx="39">
                  <c:v>414.44279099773058</c:v>
                </c:pt>
                <c:pt idx="40">
                  <c:v>422.5820750314673</c:v>
                </c:pt>
                <c:pt idx="41">
                  <c:v>430.93332164802706</c:v>
                </c:pt>
                <c:pt idx="42">
                  <c:v>439.67417261399186</c:v>
                </c:pt>
                <c:pt idx="43">
                  <c:v>448.14511279129931</c:v>
                </c:pt>
                <c:pt idx="44">
                  <c:v>456.46248217336858</c:v>
                </c:pt>
                <c:pt idx="45">
                  <c:v>465.63117006625299</c:v>
                </c:pt>
                <c:pt idx="46">
                  <c:v>475.17748157805175</c:v>
                </c:pt>
                <c:pt idx="47">
                  <c:v>481.71129988433836</c:v>
                </c:pt>
                <c:pt idx="48">
                  <c:v>485.79599779313151</c:v>
                </c:pt>
                <c:pt idx="49">
                  <c:v>487.93613322475551</c:v>
                </c:pt>
                <c:pt idx="50">
                  <c:v>489.80330059964439</c:v>
                </c:pt>
                <c:pt idx="51">
                  <c:v>494.97609734788784</c:v>
                </c:pt>
                <c:pt idx="52">
                  <c:v>504.56255053552462</c:v>
                </c:pt>
                <c:pt idx="53">
                  <c:v>516.33913039632125</c:v>
                </c:pt>
                <c:pt idx="54">
                  <c:v>527.96536387475601</c:v>
                </c:pt>
                <c:pt idx="55">
                  <c:v>536.28382443545127</c:v>
                </c:pt>
                <c:pt idx="56">
                  <c:v>541.7356927373412</c:v>
                </c:pt>
                <c:pt idx="57">
                  <c:v>544.53800198704585</c:v>
                </c:pt>
                <c:pt idx="58">
                  <c:v>545.20985086307724</c:v>
                </c:pt>
                <c:pt idx="59">
                  <c:v>544.14424575413284</c:v>
                </c:pt>
                <c:pt idx="60">
                  <c:v>541.66776549567146</c:v>
                </c:pt>
                <c:pt idx="61">
                  <c:v>538.14801330830232</c:v>
                </c:pt>
                <c:pt idx="62">
                  <c:v>535.01988251381636</c:v>
                </c:pt>
                <c:pt idx="63">
                  <c:v>533.94036749014731</c:v>
                </c:pt>
                <c:pt idx="64">
                  <c:v>536.36601305802651</c:v>
                </c:pt>
                <c:pt idx="65">
                  <c:v>540.09826361991168</c:v>
                </c:pt>
                <c:pt idx="66">
                  <c:v>543.51482144644581</c:v>
                </c:pt>
                <c:pt idx="67">
                  <c:v>545.63525845291235</c:v>
                </c:pt>
                <c:pt idx="68">
                  <c:v>547.62374823465245</c:v>
                </c:pt>
                <c:pt idx="69">
                  <c:v>550.25555807226806</c:v>
                </c:pt>
                <c:pt idx="70">
                  <c:v>553.03695020983719</c:v>
                </c:pt>
                <c:pt idx="71">
                  <c:v>554.52471916092259</c:v>
                </c:pt>
                <c:pt idx="72">
                  <c:v>557.64148828578061</c:v>
                </c:pt>
                <c:pt idx="73">
                  <c:v>565.08883260310427</c:v>
                </c:pt>
                <c:pt idx="74">
                  <c:v>576.59126748470533</c:v>
                </c:pt>
                <c:pt idx="75">
                  <c:v>589.09347529123295</c:v>
                </c:pt>
                <c:pt idx="76">
                  <c:v>601.51801019061759</c:v>
                </c:pt>
                <c:pt idx="77">
                  <c:v>613.30665479612708</c:v>
                </c:pt>
                <c:pt idx="78">
                  <c:v>623.77916871071352</c:v>
                </c:pt>
                <c:pt idx="79">
                  <c:v>633.05362400306433</c:v>
                </c:pt>
                <c:pt idx="80">
                  <c:v>640.23669031751524</c:v>
                </c:pt>
                <c:pt idx="81">
                  <c:v>644.99565573166853</c:v>
                </c:pt>
                <c:pt idx="82">
                  <c:v>647.56191693273615</c:v>
                </c:pt>
                <c:pt idx="83">
                  <c:v>648.26514067591665</c:v>
                </c:pt>
                <c:pt idx="84">
                  <c:v>648.75748407199194</c:v>
                </c:pt>
                <c:pt idx="85">
                  <c:v>651.2797467818383</c:v>
                </c:pt>
                <c:pt idx="86">
                  <c:v>657.00816206771924</c:v>
                </c:pt>
                <c:pt idx="87">
                  <c:v>664.7305800398168</c:v>
                </c:pt>
                <c:pt idx="88">
                  <c:v>673.16313298808871</c:v>
                </c:pt>
                <c:pt idx="89">
                  <c:v>681.38862590260896</c:v>
                </c:pt>
                <c:pt idx="90">
                  <c:v>689.5288836313166</c:v>
                </c:pt>
                <c:pt idx="91">
                  <c:v>697.88982116665306</c:v>
                </c:pt>
                <c:pt idx="92">
                  <c:v>706.73146980282934</c:v>
                </c:pt>
                <c:pt idx="93">
                  <c:v>715.69759430818726</c:v>
                </c:pt>
                <c:pt idx="94">
                  <c:v>725.09726561125422</c:v>
                </c:pt>
                <c:pt idx="95">
                  <c:v>735.44443086015815</c:v>
                </c:pt>
                <c:pt idx="96">
                  <c:v>745.87194236960522</c:v>
                </c:pt>
                <c:pt idx="97">
                  <c:v>756.3133426088956</c:v>
                </c:pt>
                <c:pt idx="98">
                  <c:v>766.71460204368111</c:v>
                </c:pt>
                <c:pt idx="99">
                  <c:v>777.03573153054424</c:v>
                </c:pt>
                <c:pt idx="100">
                  <c:v>786.95230379944235</c:v>
                </c:pt>
                <c:pt idx="101">
                  <c:v>796.43261866269177</c:v>
                </c:pt>
                <c:pt idx="102">
                  <c:v>802.98813296791832</c:v>
                </c:pt>
                <c:pt idx="103">
                  <c:v>807.13654545394945</c:v>
                </c:pt>
                <c:pt idx="104">
                  <c:v>809.10048117250233</c:v>
                </c:pt>
                <c:pt idx="105">
                  <c:v>809.23908718336179</c:v>
                </c:pt>
                <c:pt idx="106">
                  <c:v>807.87411596103755</c:v>
                </c:pt>
                <c:pt idx="107">
                  <c:v>805.33371157486135</c:v>
                </c:pt>
                <c:pt idx="108">
                  <c:v>802.32020688131945</c:v>
                </c:pt>
                <c:pt idx="109">
                  <c:v>799.64424510219646</c:v>
                </c:pt>
                <c:pt idx="110">
                  <c:v>797.41271338358035</c:v>
                </c:pt>
                <c:pt idx="111">
                  <c:v>795.54776876543519</c:v>
                </c:pt>
                <c:pt idx="112">
                  <c:v>794.32576827097932</c:v>
                </c:pt>
                <c:pt idx="113">
                  <c:v>795.37366934492502</c:v>
                </c:pt>
                <c:pt idx="114">
                  <c:v>798.62415080471783</c:v>
                </c:pt>
                <c:pt idx="115">
                  <c:v>804.17213153374507</c:v>
                </c:pt>
                <c:pt idx="116">
                  <c:v>809.63696516701339</c:v>
                </c:pt>
                <c:pt idx="117">
                  <c:v>813.40570107305928</c:v>
                </c:pt>
                <c:pt idx="118">
                  <c:v>815.61580664290159</c:v>
                </c:pt>
                <c:pt idx="119">
                  <c:v>817.27754794057068</c:v>
                </c:pt>
                <c:pt idx="120">
                  <c:v>818.88528455726635</c:v>
                </c:pt>
                <c:pt idx="121">
                  <c:v>819.59826441514042</c:v>
                </c:pt>
                <c:pt idx="122">
                  <c:v>818.64591202844554</c:v>
                </c:pt>
                <c:pt idx="123">
                  <c:v>816.29058154393817</c:v>
                </c:pt>
                <c:pt idx="124">
                  <c:v>812.7008977082553</c:v>
                </c:pt>
                <c:pt idx="125">
                  <c:v>807.95340462402658</c:v>
                </c:pt>
                <c:pt idx="126">
                  <c:v>802.22939029063389</c:v>
                </c:pt>
                <c:pt idx="127">
                  <c:v>795.68038370582531</c:v>
                </c:pt>
                <c:pt idx="128">
                  <c:v>788.43387895801425</c:v>
                </c:pt>
                <c:pt idx="129">
                  <c:v>780.59778954369915</c:v>
                </c:pt>
                <c:pt idx="130">
                  <c:v>772.26395026355488</c:v>
                </c:pt>
                <c:pt idx="131">
                  <c:v>763.51089635253777</c:v>
                </c:pt>
                <c:pt idx="132">
                  <c:v>754.4060882090921</c:v>
                </c:pt>
                <c:pt idx="133">
                  <c:v>745.00770664005586</c:v>
                </c:pt>
                <c:pt idx="134">
                  <c:v>735.36611233077917</c:v>
                </c:pt>
                <c:pt idx="135">
                  <c:v>725.52504056196983</c:v>
                </c:pt>
                <c:pt idx="136">
                  <c:v>715.522585513835</c:v>
                </c:pt>
                <c:pt idx="137">
                  <c:v>705.39201610488976</c:v>
                </c:pt>
                <c:pt idx="138">
                  <c:v>695.35008920414964</c:v>
                </c:pt>
                <c:pt idx="139">
                  <c:v>685.45111869301627</c:v>
                </c:pt>
                <c:pt idx="140">
                  <c:v>675.69306945118547</c:v>
                </c:pt>
                <c:pt idx="141">
                  <c:v>666.07393533022798</c:v>
                </c:pt>
                <c:pt idx="142">
                  <c:v>656.59173874114754</c:v>
                </c:pt>
                <c:pt idx="143">
                  <c:v>647.24453024780939</c:v>
                </c:pt>
                <c:pt idx="144">
                  <c:v>638.0303881661589</c:v>
                </c:pt>
                <c:pt idx="145">
                  <c:v>628.94741816914279</c:v>
                </c:pt>
                <c:pt idx="146">
                  <c:v>619.99375289725708</c:v>
                </c:pt>
                <c:pt idx="147">
                  <c:v>611.1675515746382</c:v>
                </c:pt>
                <c:pt idx="148">
                  <c:v>602.46699963061928</c:v>
                </c:pt>
                <c:pt idx="149">
                  <c:v>593.89030832667459</c:v>
                </c:pt>
                <c:pt idx="150">
                  <c:v>585.435714388674</c:v>
                </c:pt>
                <c:pt idx="151">
                  <c:v>577.1014796443734</c:v>
                </c:pt>
                <c:pt idx="152">
                  <c:v>568.88589066606539</c:v>
                </c:pt>
                <c:pt idx="153">
                  <c:v>560.78725841831738</c:v>
                </c:pt>
                <c:pt idx="154">
                  <c:v>552.80391791072395</c:v>
                </c:pt>
                <c:pt idx="155">
                  <c:v>544.93422785560313</c:v>
                </c:pt>
                <c:pt idx="156">
                  <c:v>537.17657033056605</c:v>
                </c:pt>
                <c:pt idx="157">
                  <c:v>529.52935044588889</c:v>
                </c:pt>
                <c:pt idx="158">
                  <c:v>521.99099601662169</c:v>
                </c:pt>
                <c:pt idx="159">
                  <c:v>514.55995723936405</c:v>
                </c:pt>
                <c:pt idx="160">
                  <c:v>507.23470637364215</c:v>
                </c:pt>
                <c:pt idx="161">
                  <c:v>500.01373742782249</c:v>
                </c:pt>
                <c:pt idx="162">
                  <c:v>492.89556584949628</c:v>
                </c:pt>
                <c:pt idx="163">
                  <c:v>485.87872822027146</c:v>
                </c:pt>
                <c:pt idx="164">
                  <c:v>478.96178195490995</c:v>
                </c:pt>
                <c:pt idx="165">
                  <c:v>472.14330500474796</c:v>
                </c:pt>
                <c:pt idx="166">
                  <c:v>465.4218955653385</c:v>
                </c:pt>
                <c:pt idx="167">
                  <c:v>458.79617178825498</c:v>
                </c:pt>
                <c:pt idx="168">
                  <c:v>452.26477149699917</c:v>
                </c:pt>
                <c:pt idx="169">
                  <c:v>445.82635190695163</c:v>
                </c:pt>
                <c:pt idx="170">
                  <c:v>439.47958934931091</c:v>
                </c:pt>
                <c:pt idx="171">
                  <c:v>433.22317899896063</c:v>
                </c:pt>
                <c:pt idx="172">
                  <c:v>427.05583460621244</c:v>
                </c:pt>
                <c:pt idx="173">
                  <c:v>420.97628823236681</c:v>
                </c:pt>
                <c:pt idx="174">
                  <c:v>414.98328998903867</c:v>
                </c:pt>
                <c:pt idx="175">
                  <c:v>409.07560778119404</c:v>
                </c:pt>
                <c:pt idx="176">
                  <c:v>403.25202705384459</c:v>
                </c:pt>
                <c:pt idx="177">
                  <c:v>397.51135054234879</c:v>
                </c:pt>
                <c:pt idx="178">
                  <c:v>391.85239802626711</c:v>
                </c:pt>
                <c:pt idx="179">
                  <c:v>386.27400608672133</c:v>
                </c:pt>
                <c:pt idx="180">
                  <c:v>380.77502786720868</c:v>
                </c:pt>
                <c:pt idx="181">
                  <c:v>375.35433283782055</c:v>
                </c:pt>
                <c:pt idx="182">
                  <c:v>370.01080656281812</c:v>
                </c:pt>
                <c:pt idx="183">
                  <c:v>364.74335047151578</c:v>
                </c:pt>
                <c:pt idx="184">
                  <c:v>359.55088163242789</c:v>
                </c:pt>
                <c:pt idx="185">
                  <c:v>354.43233253062948</c:v>
                </c:pt>
                <c:pt idx="186">
                  <c:v>349.38665084828648</c:v>
                </c:pt>
                <c:pt idx="187">
                  <c:v>344.41279924831144</c:v>
                </c:pt>
                <c:pt idx="188">
                  <c:v>339.50975516109776</c:v>
                </c:pt>
                <c:pt idx="189">
                  <c:v>334.67651057429066</c:v>
                </c:pt>
                <c:pt idx="190">
                  <c:v>329.91207182555081</c:v>
                </c:pt>
                <c:pt idx="191">
                  <c:v>325.21545939826865</c:v>
                </c:pt>
                <c:pt idx="192">
                  <c:v>320.5857077201855</c:v>
                </c:pt>
                <c:pt idx="193">
                  <c:v>316.0218649648836</c:v>
                </c:pt>
                <c:pt idx="194">
                  <c:v>311.52299285610002</c:v>
                </c:pt>
                <c:pt idx="195">
                  <c:v>307.0881664748278</c:v>
                </c:pt>
                <c:pt idx="196">
                  <c:v>302.71647406916276</c:v>
                </c:pt>
                <c:pt idx="197">
                  <c:v>298.40701686685685</c:v>
                </c:pt>
                <c:pt idx="198">
                  <c:v>294.15890889054072</c:v>
                </c:pt>
                <c:pt idx="199">
                  <c:v>289.97127677557637</c:v>
                </c:pt>
                <c:pt idx="200">
                  <c:v>285.8432595905029</c:v>
                </c:pt>
                <c:pt idx="201">
                  <c:v>281.77400866003831</c:v>
                </c:pt>
                <c:pt idx="202">
                  <c:v>277.76268739060129</c:v>
                </c:pt>
                <c:pt idx="203">
                  <c:v>273.80847109831655</c:v>
                </c:pt>
                <c:pt idx="204">
                  <c:v>269.91054683946891</c:v>
                </c:pt>
                <c:pt idx="205">
                  <c:v>266.06811324337093</c:v>
                </c:pt>
                <c:pt idx="206">
                  <c:v>262.28038034760976</c:v>
                </c:pt>
                <c:pt idx="207">
                  <c:v>258.54656943563964</c:v>
                </c:pt>
                <c:pt idx="208">
                  <c:v>254.86591287668631</c:v>
                </c:pt>
                <c:pt idx="209">
                  <c:v>251.23765396793007</c:v>
                </c:pt>
                <c:pt idx="210">
                  <c:v>247.66104677893654</c:v>
                </c:pt>
                <c:pt idx="211">
                  <c:v>244.13535599830107</c:v>
                </c:pt>
                <c:pt idx="212">
                  <c:v>240.65985678247699</c:v>
                </c:pt>
                <c:pt idx="213">
                  <c:v>237.23383460675558</c:v>
                </c:pt>
                <c:pt idx="214">
                  <c:v>233.85658511836741</c:v>
                </c:pt>
                <c:pt idx="215">
                  <c:v>230.52741399167559</c:v>
                </c:pt>
                <c:pt idx="216">
                  <c:v>227.24563678542941</c:v>
                </c:pt>
                <c:pt idx="217">
                  <c:v>224.01057880205113</c:v>
                </c:pt>
                <c:pt idx="218">
                  <c:v>220.8215749489253</c:v>
                </c:pt>
                <c:pt idx="219">
                  <c:v>217.67796960166314</c:v>
                </c:pt>
                <c:pt idx="220">
                  <c:v>214.57911646931299</c:v>
                </c:pt>
                <c:pt idx="221">
                  <c:v>211.52437846149041</c:v>
                </c:pt>
                <c:pt idx="222">
                  <c:v>208.51312755739886</c:v>
                </c:pt>
                <c:pt idx="223">
                  <c:v>205.54474467671608</c:v>
                </c:pt>
                <c:pt idx="224">
                  <c:v>202.61861955231723</c:v>
                </c:pt>
                <c:pt idx="225">
                  <c:v>199.73415060481116</c:v>
                </c:pt>
                <c:pt idx="226">
                  <c:v>196.89074481886209</c:v>
                </c:pt>
                <c:pt idx="227">
                  <c:v>194.08781762127205</c:v>
                </c:pt>
                <c:pt idx="228">
                  <c:v>191.324792760799</c:v>
                </c:pt>
                <c:pt idx="229">
                  <c:v>188.60110218968612</c:v>
                </c:pt>
                <c:pt idx="230">
                  <c:v>185.91618594687711</c:v>
                </c:pt>
                <c:pt idx="231">
                  <c:v>183.26949204289429</c:v>
                </c:pt>
                <c:pt idx="232">
                  <c:v>180.66047634635592</c:v>
                </c:pt>
                <c:pt idx="233">
                  <c:v>178.08860247210833</c:v>
                </c:pt>
                <c:pt idx="234">
                  <c:v>175.55334167095128</c:v>
                </c:pt>
                <c:pt idx="235">
                  <c:v>173.05417272093271</c:v>
                </c:pt>
                <c:pt idx="236">
                  <c:v>170.59058182019129</c:v>
                </c:pt>
                <c:pt idx="237">
                  <c:v>168.16206248132428</c:v>
                </c:pt>
                <c:pt idx="238">
                  <c:v>165.76811542725949</c:v>
                </c:pt>
                <c:pt idx="239">
                  <c:v>163.4082484886089</c:v>
                </c:pt>
                <c:pt idx="240">
                  <c:v>161.08197650248454</c:v>
                </c:pt>
                <c:pt idx="241">
                  <c:v>158.78882121275387</c:v>
                </c:pt>
                <c:pt idx="242">
                  <c:v>156.52831117171584</c:v>
                </c:pt>
                <c:pt idx="243">
                  <c:v>154.29998164317615</c:v>
                </c:pt>
                <c:pt idx="244">
                  <c:v>152.1033745069027</c:v>
                </c:pt>
                <c:pt idx="245">
                  <c:v>149.93803816444102</c:v>
                </c:pt>
                <c:pt idx="246">
                  <c:v>147.80352744627066</c:v>
                </c:pt>
                <c:pt idx="247">
                  <c:v>145.69940352028297</c:v>
                </c:pt>
                <c:pt idx="248">
                  <c:v>143.62523380156225</c:v>
                </c:pt>
                <c:pt idx="249">
                  <c:v>141.58059186345088</c:v>
                </c:pt>
                <c:pt idx="250">
                  <c:v>139.56505734988065</c:v>
                </c:pt>
                <c:pt idx="251">
                  <c:v>137.5782158889522</c:v>
                </c:pt>
                <c:pt idx="252">
                  <c:v>135.61965900774467</c:v>
                </c:pt>
                <c:pt idx="253">
                  <c:v>133.68898404833803</c:v>
                </c:pt>
                <c:pt idx="254">
                  <c:v>131.78579408503117</c:v>
                </c:pt>
                <c:pt idx="255">
                  <c:v>129.90969784273815</c:v>
                </c:pt>
                <c:pt idx="256">
                  <c:v>128.06030961654645</c:v>
                </c:pt>
                <c:pt idx="257">
                  <c:v>126.23724919242012</c:v>
                </c:pt>
                <c:pt idx="258">
                  <c:v>124.44014176903204</c:v>
                </c:pt>
                <c:pt idx="259">
                  <c:v>122.66861788070874</c:v>
                </c:pt>
                <c:pt idx="260">
                  <c:v>120.92231332147236</c:v>
                </c:pt>
                <c:pt idx="261">
                  <c:v>119.20086907016395</c:v>
                </c:pt>
                <c:pt idx="262">
                  <c:v>117.50393121663245</c:v>
                </c:pt>
                <c:pt idx="263">
                  <c:v>115.83115088897483</c:v>
                </c:pt>
                <c:pt idx="264">
                  <c:v>114.18218418181165</c:v>
                </c:pt>
                <c:pt idx="265">
                  <c:v>112.55669208558398</c:v>
                </c:pt>
                <c:pt idx="266">
                  <c:v>110.95434041685675</c:v>
                </c:pt>
                <c:pt idx="267">
                  <c:v>109.37479974961417</c:v>
                </c:pt>
                <c:pt idx="268">
                  <c:v>107.81774534753343</c:v>
                </c:pt>
                <c:pt idx="269">
                  <c:v>106.2828570972225</c:v>
                </c:pt>
                <c:pt idx="270">
                  <c:v>104.76981944240812</c:v>
                </c:pt>
                <c:pt idx="271">
                  <c:v>103.27832131906112</c:v>
                </c:pt>
                <c:pt idx="272">
                  <c:v>101.80805609144487</c:v>
                </c:pt>
                <c:pt idx="273">
                  <c:v>100.3587214890743</c:v>
                </c:pt>
                <c:pt idx="274">
                  <c:v>98.930019544572616</c:v>
                </c:pt>
                <c:pt idx="275">
                  <c:v>97.52165653241218</c:v>
                </c:pt>
                <c:pt idx="276">
                  <c:v>96.133342908528007</c:v>
                </c:pt>
                <c:pt idx="277">
                  <c:v>94.764793250790348</c:v>
                </c:pt>
                <c:pt idx="278">
                  <c:v>93.415726200325366</c:v>
                </c:pt>
                <c:pt idx="279">
                  <c:v>92.085864403670513</c:v>
                </c:pt>
                <c:pt idx="280">
                  <c:v>90.774934455753979</c:v>
                </c:pt>
                <c:pt idx="281">
                  <c:v>89.482666843685323</c:v>
                </c:pt>
                <c:pt idx="282">
                  <c:v>88.208795891346767</c:v>
                </c:pt>
                <c:pt idx="283">
                  <c:v>86.953059704772883</c:v>
                </c:pt>
                <c:pt idx="284">
                  <c:v>85.715200118308289</c:v>
                </c:pt>
                <c:pt idx="285">
                  <c:v>84.494962641531444</c:v>
                </c:pt>
                <c:pt idx="286">
                  <c:v>83.292096406934249</c:v>
                </c:pt>
                <c:pt idx="287">
                  <c:v>82.10635411834636</c:v>
                </c:pt>
                <c:pt idx="288">
                  <c:v>80.93749200009394</c:v>
                </c:pt>
                <c:pt idx="289">
                  <c:v>79.785269746881866</c:v>
                </c:pt>
                <c:pt idx="290">
                  <c:v>78.649450474389724</c:v>
                </c:pt>
                <c:pt idx="291">
                  <c:v>77.529800670570907</c:v>
                </c:pt>
                <c:pt idx="292">
                  <c:v>76.426090147645112</c:v>
                </c:pt>
                <c:pt idx="293">
                  <c:v>75.338091994774175</c:v>
                </c:pt>
                <c:pt idx="294">
                  <c:v>74.265582531411809</c:v>
                </c:pt>
                <c:pt idx="295">
                  <c:v>73.208341261317216</c:v>
                </c:pt>
                <c:pt idx="296">
                  <c:v>72.166150827223518</c:v>
                </c:pt>
                <c:pt idx="297">
                  <c:v>71.13879696615146</c:v>
                </c:pt>
                <c:pt idx="298">
                  <c:v>70.126068465359268</c:v>
                </c:pt>
                <c:pt idx="299">
                  <c:v>69.127757118919661</c:v>
                </c:pt>
                <c:pt idx="300">
                  <c:v>68.143657684914885</c:v>
                </c:pt>
                <c:pt idx="301">
                  <c:v>67.173567843241329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7-567E-444C-83EC-85B10FD3405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63613184"/>
        <c:axId val="663611008"/>
      </c:lineChart>
      <c:dateAx>
        <c:axId val="663613184"/>
        <c:scaling>
          <c:orientation val="minMax"/>
        </c:scaling>
        <c:delete val="0"/>
        <c:axPos val="b"/>
        <c:numFmt formatCode="m/d/yyyy" sourceLinked="0"/>
        <c:majorTickMark val="out"/>
        <c:minorTickMark val="none"/>
        <c:tickLblPos val="nextTo"/>
        <c:txPr>
          <a:bodyPr rot="0" vert="horz"/>
          <a:lstStyle/>
          <a:p>
            <a:pPr>
              <a:defRPr/>
            </a:pPr>
            <a:endParaRPr lang="pt-BR"/>
          </a:p>
        </c:txPr>
        <c:crossAx val="663611008"/>
        <c:crosses val="autoZero"/>
        <c:auto val="0"/>
        <c:lblOffset val="100"/>
        <c:baseTimeUnit val="days"/>
        <c:minorUnit val="1"/>
      </c:dateAx>
      <c:valAx>
        <c:axId val="663611008"/>
        <c:scaling>
          <c:orientation val="minMax"/>
          <c:min val="0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pt-BR"/>
                  <a:t>Vazões (m³/s)</a:t>
                </a:r>
              </a:p>
            </c:rich>
          </c:tx>
          <c:layout>
            <c:manualLayout>
              <c:xMode val="edge"/>
              <c:yMode val="edge"/>
              <c:x val="5.3936113587626873E-5"/>
              <c:y val="0.3198800936316068"/>
            </c:manualLayout>
          </c:layout>
          <c:overlay val="0"/>
        </c:title>
        <c:numFmt formatCode="0" sourceLinked="0"/>
        <c:majorTickMark val="out"/>
        <c:minorTickMark val="none"/>
        <c:tickLblPos val="nextTo"/>
        <c:txPr>
          <a:bodyPr rot="0" vert="horz"/>
          <a:lstStyle/>
          <a:p>
            <a:pPr>
              <a:defRPr/>
            </a:pPr>
            <a:endParaRPr lang="pt-BR"/>
          </a:p>
        </c:txPr>
        <c:crossAx val="663613184"/>
        <c:crosses val="autoZero"/>
        <c:crossBetween val="between"/>
      </c:valAx>
      <c:valAx>
        <c:axId val="663611552"/>
        <c:scaling>
          <c:orientation val="maxMin"/>
          <c:max val="150"/>
          <c:min val="0"/>
        </c:scaling>
        <c:delete val="0"/>
        <c:axPos val="r"/>
        <c:title>
          <c:tx>
            <c:rich>
              <a:bodyPr/>
              <a:lstStyle/>
              <a:p>
                <a:pPr>
                  <a:defRPr/>
                </a:pPr>
                <a:r>
                  <a:rPr lang="pt-BR"/>
                  <a:t>Precipitação (mm)</a:t>
                </a:r>
              </a:p>
            </c:rich>
          </c:tx>
          <c:layout>
            <c:manualLayout>
              <c:xMode val="edge"/>
              <c:yMode val="edge"/>
              <c:x val="0.96814726840855103"/>
              <c:y val="0.26795561850802646"/>
            </c:manualLayout>
          </c:layout>
          <c:overlay val="0"/>
        </c:title>
        <c:numFmt formatCode="0" sourceLinked="0"/>
        <c:majorTickMark val="out"/>
        <c:minorTickMark val="none"/>
        <c:tickLblPos val="nextTo"/>
        <c:crossAx val="663613728"/>
        <c:crosses val="max"/>
        <c:crossBetween val="between"/>
        <c:majorUnit val="10"/>
      </c:valAx>
      <c:catAx>
        <c:axId val="663613728"/>
        <c:scaling>
          <c:orientation val="minMax"/>
        </c:scaling>
        <c:delete val="1"/>
        <c:axPos val="t"/>
        <c:numFmt formatCode="mmm\-yy" sourceLinked="1"/>
        <c:majorTickMark val="out"/>
        <c:minorTickMark val="none"/>
        <c:tickLblPos val="nextTo"/>
        <c:crossAx val="663611552"/>
        <c:crosses val="autoZero"/>
        <c:auto val="0"/>
        <c:lblAlgn val="ctr"/>
        <c:lblOffset val="100"/>
        <c:noMultiLvlLbl val="1"/>
      </c:catAx>
    </c:plotArea>
    <c:legend>
      <c:legendPos val="r"/>
      <c:layout>
        <c:manualLayout>
          <c:xMode val="edge"/>
          <c:yMode val="edge"/>
          <c:x val="0"/>
          <c:y val="0.91977730563424609"/>
          <c:w val="0.98971577128808264"/>
          <c:h val="8.0222605864106553E-2"/>
        </c:manualLayout>
      </c:layout>
      <c:overlay val="0"/>
    </c:legend>
    <c:plotVisOnly val="1"/>
    <c:dispBlanksAs val="gap"/>
    <c:showDLblsOverMax val="0"/>
  </c:chart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3.8686054527631776E-2"/>
          <c:y val="1.8441611207267821E-2"/>
          <c:w val="0.93929695249120826"/>
          <c:h val="0.91855878696277515"/>
        </c:manualLayout>
      </c:layout>
      <c:scatterChart>
        <c:scatterStyle val="lineMarker"/>
        <c:varyColors val="0"/>
        <c:ser>
          <c:idx val="0"/>
          <c:order val="0"/>
          <c:spPr>
            <a:ln w="28575">
              <a:noFill/>
            </a:ln>
          </c:spPr>
          <c:marker>
            <c:symbol val="diamond"/>
            <c:size val="5"/>
            <c:spPr>
              <a:solidFill>
                <a:srgbClr val="000080"/>
              </a:solidFill>
              <a:ln>
                <a:solidFill>
                  <a:srgbClr val="000080"/>
                </a:solidFill>
                <a:prstDash val="solid"/>
              </a:ln>
            </c:spPr>
          </c:marker>
          <c:trendline>
            <c:spPr>
              <a:ln w="12700">
                <a:solidFill>
                  <a:srgbClr val="FF0000"/>
                </a:solidFill>
                <a:prstDash val="solid"/>
              </a:ln>
            </c:spPr>
            <c:trendlineType val="linear"/>
            <c:dispRSqr val="1"/>
            <c:dispEq val="1"/>
            <c:trendlineLbl>
              <c:layout>
                <c:manualLayout>
                  <c:x val="-0.14035741661870191"/>
                  <c:y val="-0.2573605261689062"/>
                </c:manualLayout>
              </c:layout>
              <c:numFmt formatCode="General" sourceLinked="0"/>
              <c:spPr>
                <a:noFill/>
                <a:ln w="25400">
                  <a:noFill/>
                </a:ln>
              </c:spPr>
              <c:txPr>
                <a:bodyPr/>
                <a:lstStyle/>
                <a:p>
                  <a:pPr algn="ctr" rtl="1">
                    <a:defRPr/>
                  </a:pPr>
                  <a:endParaRPr lang="pt-BR"/>
                </a:p>
              </c:txPr>
            </c:trendlineLbl>
          </c:trendline>
          <c:xVal>
            <c:numRef>
              <c:f>Operacional_10_dias!$E$22:$E$47</c:f>
              <c:numCache>
                <c:formatCode>0</c:formatCode>
                <c:ptCount val="26"/>
                <c:pt idx="2">
                  <c:v>1049.422528724215</c:v>
                </c:pt>
                <c:pt idx="3">
                  <c:v>862.97064693653431</c:v>
                </c:pt>
                <c:pt idx="4">
                  <c:v>781.87694485499287</c:v>
                </c:pt>
                <c:pt idx="5">
                  <c:v>2015.2835387628393</c:v>
                </c:pt>
                <c:pt idx="6">
                  <c:v>2316.447365852468</c:v>
                </c:pt>
                <c:pt idx="7">
                  <c:v>1949.1376615096544</c:v>
                </c:pt>
                <c:pt idx="8">
                  <c:v>1535.3191391419666</c:v>
                </c:pt>
                <c:pt idx="9">
                  <c:v>1225.7764075248226</c:v>
                </c:pt>
                <c:pt idx="10">
                  <c:v>1002.62722551921</c:v>
                </c:pt>
                <c:pt idx="11">
                  <c:v>1181.3037124829168</c:v>
                </c:pt>
                <c:pt idx="12">
                  <c:v>1710.1463410102242</c:v>
                </c:pt>
                <c:pt idx="13">
                  <c:v>2440.2438718612666</c:v>
                </c:pt>
                <c:pt idx="14">
                  <c:v>2112.1861731406452</c:v>
                </c:pt>
                <c:pt idx="15">
                  <c:v>1772.7470839815267</c:v>
                </c:pt>
                <c:pt idx="16">
                  <c:v>1415.7528971016848</c:v>
                </c:pt>
                <c:pt idx="17">
                  <c:v>1148.6104543408542</c:v>
                </c:pt>
                <c:pt idx="18">
                  <c:v>946.87640018726324</c:v>
                </c:pt>
                <c:pt idx="19">
                  <c:v>794.10919165361429</c:v>
                </c:pt>
                <c:pt idx="20">
                  <c:v>726.41791195110068</c:v>
                </c:pt>
                <c:pt idx="21">
                  <c:v>758.86321682710786</c:v>
                </c:pt>
                <c:pt idx="22">
                  <c:v>720.69132105233962</c:v>
                </c:pt>
                <c:pt idx="23">
                  <c:v>907.72537981185394</c:v>
                </c:pt>
                <c:pt idx="24">
                  <c:v>2080.3405279106382</c:v>
                </c:pt>
                <c:pt idx="25">
                  <c:v>2071.0357635072796</c:v>
                </c:pt>
              </c:numCache>
            </c:numRef>
          </c:xVal>
          <c:yVal>
            <c:numRef>
              <c:f>Operacional_10_dias!$B$22:$B$47</c:f>
              <c:numCache>
                <c:formatCode>0</c:formatCode>
                <c:ptCount val="26"/>
                <c:pt idx="0">
                  <c:v>1041.38518966268</c:v>
                </c:pt>
                <c:pt idx="1">
                  <c:v>1128.6026205929199</c:v>
                </c:pt>
                <c:pt idx="2">
                  <c:v>1035.03556978713</c:v>
                </c:pt>
                <c:pt idx="3">
                  <c:v>894.423546771171</c:v>
                </c:pt>
                <c:pt idx="4">
                  <c:v>770.51679494953601</c:v>
                </c:pt>
                <c:pt idx="5">
                  <c:v>2008.20300002503</c:v>
                </c:pt>
                <c:pt idx="6">
                  <c:v>2064.5436128544702</c:v>
                </c:pt>
                <c:pt idx="7">
                  <c:v>1933.3914916014901</c:v>
                </c:pt>
                <c:pt idx="8">
                  <c:v>1700.6263589523101</c:v>
                </c:pt>
                <c:pt idx="9">
                  <c:v>1339.08532292257</c:v>
                </c:pt>
                <c:pt idx="10">
                  <c:v>1099.2439515618901</c:v>
                </c:pt>
                <c:pt idx="11">
                  <c:v>1180.2527855814201</c:v>
                </c:pt>
                <c:pt idx="12">
                  <c:v>1709.14781201286</c:v>
                </c:pt>
                <c:pt idx="13">
                  <c:v>2064.19808210052</c:v>
                </c:pt>
                <c:pt idx="14">
                  <c:v>2041.8017553371501</c:v>
                </c:pt>
                <c:pt idx="15">
                  <c:v>1897.4468000433001</c:v>
                </c:pt>
                <c:pt idx="16">
                  <c:v>1561.3107932038799</c:v>
                </c:pt>
                <c:pt idx="17">
                  <c:v>1289.2214994701901</c:v>
                </c:pt>
                <c:pt idx="18">
                  <c:v>1090.66473545695</c:v>
                </c:pt>
                <c:pt idx="19">
                  <c:v>929.17803163181395</c:v>
                </c:pt>
                <c:pt idx="20">
                  <c:v>832.586682242763</c:v>
                </c:pt>
                <c:pt idx="21">
                  <c:v>760.89026976625405</c:v>
                </c:pt>
                <c:pt idx="22">
                  <c:v>671.57040358134805</c:v>
                </c:pt>
                <c:pt idx="23">
                  <c:v>907.67806605403598</c:v>
                </c:pt>
                <c:pt idx="24">
                  <c:v>2079.9068913917499</c:v>
                </c:pt>
                <c:pt idx="25">
                  <c:v>2114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62AD-45AA-84CB-AF983900BF1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63612640"/>
        <c:axId val="663616448"/>
      </c:scatterChart>
      <c:valAx>
        <c:axId val="663612640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/>
            </a:pPr>
            <a:endParaRPr lang="pt-BR"/>
          </a:p>
        </c:txPr>
        <c:crossAx val="663616448"/>
        <c:crosses val="autoZero"/>
        <c:crossBetween val="midCat"/>
      </c:valAx>
      <c:valAx>
        <c:axId val="663616448"/>
        <c:scaling>
          <c:orientation val="minMax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/>
            </a:pPr>
            <a:endParaRPr lang="pt-BR"/>
          </a:p>
        </c:txPr>
        <c:crossAx val="663612640"/>
        <c:crosses val="autoZero"/>
        <c:crossBetween val="midCat"/>
      </c:valAx>
      <c:spPr>
        <a:solidFill>
          <a:srgbClr val="FFFFFF"/>
        </a:solidFill>
        <a:ln w="12700">
          <a:solidFill>
            <a:srgbClr val="808080"/>
          </a:solidFill>
          <a:prstDash val="solid"/>
        </a:ln>
      </c:spPr>
    </c:plotArea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9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pt-BR"/>
    </a:p>
  </c:txPr>
  <c:printSettings>
    <c:headerFooter alignWithMargins="0"/>
    <c:pageMargins b="0.98425196899999956" l="0.78740157499999996" r="0.78740157499999996" t="0.98425196899999956" header="0.49212598500000138" footer="0.49212598500000138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pt-BR"/>
              <a:t>Diferenças em relação a média acumuladas</a:t>
            </a:r>
          </a:p>
        </c:rich>
      </c:tx>
      <c:layout>
        <c:manualLayout>
          <c:xMode val="edge"/>
          <c:yMode val="edge"/>
          <c:x val="0.2219770432887509"/>
          <c:y val="2.3781540581763735E-2"/>
        </c:manualLayout>
      </c:layout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0.13001291009204399"/>
          <c:y val="9.4845844121725947E-2"/>
          <c:w val="0.81855903124945095"/>
          <c:h val="0.83653144381896405"/>
        </c:manualLayout>
      </c:layout>
      <c:scatterChart>
        <c:scatterStyle val="lineMarker"/>
        <c:varyColors val="0"/>
        <c:ser>
          <c:idx val="0"/>
          <c:order val="0"/>
          <c:spPr>
            <a:ln w="12700">
              <a:solidFill>
                <a:srgbClr val="FF0000"/>
              </a:solidFill>
              <a:prstDash val="solid"/>
            </a:ln>
          </c:spPr>
          <c:marker>
            <c:symbol val="none"/>
          </c:marker>
          <c:yVal>
            <c:numRef>
              <c:f>Operacional_10_dias!$AV$24:$AV$68</c:f>
              <c:numCache>
                <c:formatCode>0</c:formatCode>
                <c:ptCount val="45"/>
                <c:pt idx="0">
                  <c:v>1</c:v>
                </c:pt>
                <c:pt idx="1">
                  <c:v>0</c:v>
                </c:pt>
                <c:pt idx="2">
                  <c:v>1</c:v>
                </c:pt>
                <c:pt idx="3">
                  <c:v>2</c:v>
                </c:pt>
                <c:pt idx="4">
                  <c:v>3</c:v>
                </c:pt>
                <c:pt idx="5">
                  <c:v>4</c:v>
                </c:pt>
                <c:pt idx="6">
                  <c:v>3</c:v>
                </c:pt>
                <c:pt idx="7">
                  <c:v>2</c:v>
                </c:pt>
                <c:pt idx="8">
                  <c:v>1</c:v>
                </c:pt>
                <c:pt idx="9">
                  <c:v>2</c:v>
                </c:pt>
                <c:pt idx="10">
                  <c:v>3</c:v>
                </c:pt>
                <c:pt idx="11">
                  <c:v>4</c:v>
                </c:pt>
                <c:pt idx="12">
                  <c:v>5</c:v>
                </c:pt>
                <c:pt idx="13">
                  <c:v>4</c:v>
                </c:pt>
                <c:pt idx="14">
                  <c:v>3</c:v>
                </c:pt>
                <c:pt idx="15">
                  <c:v>2</c:v>
                </c:pt>
                <c:pt idx="16">
                  <c:v>1</c:v>
                </c:pt>
                <c:pt idx="17">
                  <c:v>0</c:v>
                </c:pt>
                <c:pt idx="18">
                  <c:v>-1</c:v>
                </c:pt>
                <c:pt idx="19">
                  <c:v>-2</c:v>
                </c:pt>
                <c:pt idx="20">
                  <c:v>-1</c:v>
                </c:pt>
                <c:pt idx="21">
                  <c:v>0</c:v>
                </c:pt>
                <c:pt idx="22">
                  <c:v>1</c:v>
                </c:pt>
                <c:pt idx="23">
                  <c:v>0</c:v>
                </c:pt>
                <c:pt idx="24">
                  <c:v>1</c:v>
                </c:pt>
                <c:pt idx="25">
                  <c:v>2</c:v>
                </c:pt>
                <c:pt idx="26">
                  <c:v>3</c:v>
                </c:pt>
                <c:pt idx="27">
                  <c:v>4</c:v>
                </c:pt>
                <c:pt idx="28">
                  <c:v>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B186-4391-8740-9822DC2204FB}"/>
            </c:ext>
          </c:extLst>
        </c:ser>
        <c:ser>
          <c:idx val="1"/>
          <c:order val="1"/>
          <c:spPr>
            <a:ln w="12700">
              <a:solidFill>
                <a:srgbClr val="0000FF"/>
              </a:solidFill>
              <a:prstDash val="solid"/>
            </a:ln>
          </c:spPr>
          <c:marker>
            <c:symbol val="none"/>
          </c:marker>
          <c:yVal>
            <c:numRef>
              <c:f>Operacional_10_dias!$AW$24:$AW$68</c:f>
              <c:numCache>
                <c:formatCode>0</c:formatCode>
                <c:ptCount val="45"/>
                <c:pt idx="0">
                  <c:v>-345.93124435390632</c:v>
                </c:pt>
                <c:pt idx="1">
                  <c:v>-532.38312614158701</c:v>
                </c:pt>
                <c:pt idx="2">
                  <c:v>-613.47682822312845</c:v>
                </c:pt>
                <c:pt idx="3">
                  <c:v>619.92976568471795</c:v>
                </c:pt>
                <c:pt idx="4">
                  <c:v>921.09359277434669</c:v>
                </c:pt>
                <c:pt idx="5">
                  <c:v>553.78388843153311</c:v>
                </c:pt>
                <c:pt idx="6">
                  <c:v>139.96536606384529</c:v>
                </c:pt>
                <c:pt idx="7">
                  <c:v>-169.5773655532987</c:v>
                </c:pt>
                <c:pt idx="8">
                  <c:v>-392.72654755891131</c:v>
                </c:pt>
                <c:pt idx="9">
                  <c:v>-214.05006059520451</c:v>
                </c:pt>
                <c:pt idx="10">
                  <c:v>314.79256793210288</c:v>
                </c:pt>
                <c:pt idx="11">
                  <c:v>1044.8900987831453</c:v>
                </c:pt>
                <c:pt idx="12">
                  <c:v>716.8324000625239</c:v>
                </c:pt>
                <c:pt idx="13">
                  <c:v>377.39331090340534</c:v>
                </c:pt>
                <c:pt idx="14">
                  <c:v>20.399124023563445</c:v>
                </c:pt>
                <c:pt idx="15">
                  <c:v>-246.74331873726715</c:v>
                </c:pt>
                <c:pt idx="16">
                  <c:v>-448.47737289085808</c:v>
                </c:pt>
                <c:pt idx="17">
                  <c:v>-601.24458142450703</c:v>
                </c:pt>
                <c:pt idx="18">
                  <c:v>-668.93586112702064</c:v>
                </c:pt>
                <c:pt idx="19">
                  <c:v>-636.49055625101346</c:v>
                </c:pt>
                <c:pt idx="20">
                  <c:v>-674.6624520257817</c:v>
                </c:pt>
                <c:pt idx="21">
                  <c:v>-487.62839326626738</c:v>
                </c:pt>
                <c:pt idx="22">
                  <c:v>684.98675483251691</c:v>
                </c:pt>
                <c:pt idx="23">
                  <c:v>675.6819904291583</c:v>
                </c:pt>
                <c:pt idx="24">
                  <c:v>249.96351706084192</c:v>
                </c:pt>
                <c:pt idx="25">
                  <c:v>157.99724575571986</c:v>
                </c:pt>
                <c:pt idx="26">
                  <c:v>887.65816394339481</c:v>
                </c:pt>
                <c:pt idx="27">
                  <c:v>1021.078806503288</c:v>
                </c:pt>
                <c:pt idx="28">
                  <c:v>694.84226514261672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B186-4391-8740-9822DC2204F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63619168"/>
        <c:axId val="663614816"/>
      </c:scatterChart>
      <c:valAx>
        <c:axId val="663619168"/>
        <c:scaling>
          <c:orientation val="minMax"/>
          <c:max val="700"/>
        </c:scaling>
        <c:delete val="0"/>
        <c:axPos val="b"/>
        <c:numFmt formatCode="m/d/yyyy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/>
            </a:pPr>
            <a:endParaRPr lang="pt-BR"/>
          </a:p>
        </c:txPr>
        <c:crossAx val="663614816"/>
        <c:crosses val="autoZero"/>
        <c:crossBetween val="midCat"/>
        <c:minorUnit val="12"/>
      </c:valAx>
      <c:valAx>
        <c:axId val="663614816"/>
        <c:scaling>
          <c:orientation val="minMax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/>
            </a:pPr>
            <a:endParaRPr lang="pt-BR"/>
          </a:p>
        </c:txPr>
        <c:crossAx val="663619168"/>
        <c:crosses val="autoZero"/>
        <c:crossBetween val="midCat"/>
      </c:valAx>
      <c:spPr>
        <a:solidFill>
          <a:srgbClr val="FFFFFF"/>
        </a:solidFill>
        <a:ln w="12700">
          <a:solidFill>
            <a:srgbClr val="808080"/>
          </a:solidFill>
          <a:prstDash val="solid"/>
        </a:ln>
      </c:spPr>
    </c:plotArea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9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pt-BR"/>
    </a:p>
  </c:txPr>
  <c:printSettings>
    <c:headerFooter alignWithMargins="0"/>
    <c:pageMargins b="0.98425196899999956" l="0.78740157499999996" r="0.78740157499999996" t="0.98425196899999956" header="0.49212598500000138" footer="0.49212598500000138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pt-BR"/>
              <a:t>Teste de Sinal</a:t>
            </a:r>
          </a:p>
        </c:rich>
      </c:tx>
      <c:layout>
        <c:manualLayout>
          <c:xMode val="edge"/>
          <c:yMode val="edge"/>
          <c:x val="0.37292082501663437"/>
          <c:y val="4.2463377198957424E-2"/>
        </c:manualLayout>
      </c:layout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0.10669644740660811"/>
          <c:y val="0.16133321003079937"/>
          <c:w val="0.87500578525393113"/>
          <c:h val="0.7158674188121239"/>
        </c:manualLayout>
      </c:layout>
      <c:scatterChart>
        <c:scatterStyle val="smoothMarker"/>
        <c:varyColors val="0"/>
        <c:ser>
          <c:idx val="0"/>
          <c:order val="0"/>
          <c:spPr>
            <a:ln w="12700">
              <a:solidFill>
                <a:srgbClr val="000080"/>
              </a:solidFill>
              <a:prstDash val="solid"/>
            </a:ln>
          </c:spPr>
          <c:marker>
            <c:symbol val="none"/>
          </c:marker>
          <c:xVal>
            <c:numRef>
              <c:f>Operacional_10_dias!$A$24:$A$68</c:f>
              <c:numCache>
                <c:formatCode>m/d/yyyy</c:formatCode>
                <c:ptCount val="45"/>
                <c:pt idx="0">
                  <c:v>42429</c:v>
                </c:pt>
                <c:pt idx="1">
                  <c:v>42430</c:v>
                </c:pt>
                <c:pt idx="2">
                  <c:v>42431</c:v>
                </c:pt>
                <c:pt idx="3">
                  <c:v>42432</c:v>
                </c:pt>
                <c:pt idx="4">
                  <c:v>42433</c:v>
                </c:pt>
                <c:pt idx="5">
                  <c:v>42434</c:v>
                </c:pt>
                <c:pt idx="6">
                  <c:v>42435</c:v>
                </c:pt>
                <c:pt idx="7">
                  <c:v>42436</c:v>
                </c:pt>
                <c:pt idx="8">
                  <c:v>42437</c:v>
                </c:pt>
                <c:pt idx="9">
                  <c:v>42438</c:v>
                </c:pt>
                <c:pt idx="10">
                  <c:v>42439</c:v>
                </c:pt>
                <c:pt idx="11">
                  <c:v>42440</c:v>
                </c:pt>
                <c:pt idx="12">
                  <c:v>42441</c:v>
                </c:pt>
                <c:pt idx="13">
                  <c:v>42442</c:v>
                </c:pt>
                <c:pt idx="14">
                  <c:v>42443</c:v>
                </c:pt>
                <c:pt idx="15">
                  <c:v>42444</c:v>
                </c:pt>
                <c:pt idx="16">
                  <c:v>42445</c:v>
                </c:pt>
                <c:pt idx="17">
                  <c:v>42446</c:v>
                </c:pt>
                <c:pt idx="18">
                  <c:v>42447</c:v>
                </c:pt>
                <c:pt idx="19">
                  <c:v>42448</c:v>
                </c:pt>
                <c:pt idx="20">
                  <c:v>42449</c:v>
                </c:pt>
                <c:pt idx="21">
                  <c:v>42450</c:v>
                </c:pt>
                <c:pt idx="22">
                  <c:v>42451</c:v>
                </c:pt>
                <c:pt idx="23">
                  <c:v>42452</c:v>
                </c:pt>
                <c:pt idx="24">
                  <c:v>42453</c:v>
                </c:pt>
                <c:pt idx="25">
                  <c:v>42454</c:v>
                </c:pt>
                <c:pt idx="26">
                  <c:v>42455</c:v>
                </c:pt>
                <c:pt idx="27">
                  <c:v>42456</c:v>
                </c:pt>
                <c:pt idx="28">
                  <c:v>42457</c:v>
                </c:pt>
                <c:pt idx="29">
                  <c:v>42458</c:v>
                </c:pt>
                <c:pt idx="30">
                  <c:v>42459</c:v>
                </c:pt>
                <c:pt idx="31">
                  <c:v>42460</c:v>
                </c:pt>
                <c:pt idx="32">
                  <c:v>42461</c:v>
                </c:pt>
                <c:pt idx="33">
                  <c:v>42462</c:v>
                </c:pt>
                <c:pt idx="34">
                  <c:v>42463</c:v>
                </c:pt>
                <c:pt idx="35">
                  <c:v>42464</c:v>
                </c:pt>
                <c:pt idx="36">
                  <c:v>42465</c:v>
                </c:pt>
                <c:pt idx="37">
                  <c:v>42466</c:v>
                </c:pt>
                <c:pt idx="38">
                  <c:v>42467</c:v>
                </c:pt>
                <c:pt idx="39">
                  <c:v>42468</c:v>
                </c:pt>
              </c:numCache>
            </c:numRef>
          </c:xVal>
          <c:yVal>
            <c:numRef>
              <c:f>Operacional_10_dias!$AV$24:$AV$68</c:f>
              <c:numCache>
                <c:formatCode>0</c:formatCode>
                <c:ptCount val="45"/>
                <c:pt idx="0">
                  <c:v>1</c:v>
                </c:pt>
                <c:pt idx="1">
                  <c:v>0</c:v>
                </c:pt>
                <c:pt idx="2">
                  <c:v>1</c:v>
                </c:pt>
                <c:pt idx="3">
                  <c:v>2</c:v>
                </c:pt>
                <c:pt idx="4">
                  <c:v>3</c:v>
                </c:pt>
                <c:pt idx="5">
                  <c:v>4</c:v>
                </c:pt>
                <c:pt idx="6">
                  <c:v>3</c:v>
                </c:pt>
                <c:pt idx="7">
                  <c:v>2</c:v>
                </c:pt>
                <c:pt idx="8">
                  <c:v>1</c:v>
                </c:pt>
                <c:pt idx="9">
                  <c:v>2</c:v>
                </c:pt>
                <c:pt idx="10">
                  <c:v>3</c:v>
                </c:pt>
                <c:pt idx="11">
                  <c:v>4</c:v>
                </c:pt>
                <c:pt idx="12">
                  <c:v>5</c:v>
                </c:pt>
                <c:pt idx="13">
                  <c:v>4</c:v>
                </c:pt>
                <c:pt idx="14">
                  <c:v>3</c:v>
                </c:pt>
                <c:pt idx="15">
                  <c:v>2</c:v>
                </c:pt>
                <c:pt idx="16">
                  <c:v>1</c:v>
                </c:pt>
                <c:pt idx="17">
                  <c:v>0</c:v>
                </c:pt>
                <c:pt idx="18">
                  <c:v>-1</c:v>
                </c:pt>
                <c:pt idx="19">
                  <c:v>-2</c:v>
                </c:pt>
                <c:pt idx="20">
                  <c:v>-1</c:v>
                </c:pt>
                <c:pt idx="21">
                  <c:v>0</c:v>
                </c:pt>
                <c:pt idx="22">
                  <c:v>1</c:v>
                </c:pt>
                <c:pt idx="23">
                  <c:v>0</c:v>
                </c:pt>
                <c:pt idx="24">
                  <c:v>1</c:v>
                </c:pt>
                <c:pt idx="25">
                  <c:v>2</c:v>
                </c:pt>
                <c:pt idx="26">
                  <c:v>3</c:v>
                </c:pt>
                <c:pt idx="27">
                  <c:v>4</c:v>
                </c:pt>
                <c:pt idx="28">
                  <c:v>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8AA3-42A8-A5F1-17266C46D0B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64268928"/>
        <c:axId val="664272192"/>
      </c:scatterChart>
      <c:valAx>
        <c:axId val="664268928"/>
        <c:scaling>
          <c:orientation val="minMax"/>
        </c:scaling>
        <c:delete val="0"/>
        <c:axPos val="b"/>
        <c:numFmt formatCode="m/d/yyyy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/>
            </a:pPr>
            <a:endParaRPr lang="pt-BR"/>
          </a:p>
        </c:txPr>
        <c:crossAx val="664272192"/>
        <c:crosses val="autoZero"/>
        <c:crossBetween val="midCat"/>
      </c:valAx>
      <c:valAx>
        <c:axId val="664272192"/>
        <c:scaling>
          <c:orientation val="minMax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/>
            </a:pPr>
            <a:endParaRPr lang="pt-BR"/>
          </a:p>
        </c:txPr>
        <c:crossAx val="664268928"/>
        <c:crosses val="autoZero"/>
        <c:crossBetween val="midCat"/>
      </c:valAx>
      <c:spPr>
        <a:solidFill>
          <a:srgbClr val="FFFFFF"/>
        </a:solidFill>
        <a:ln w="12700">
          <a:solidFill>
            <a:srgbClr val="808080"/>
          </a:solidFill>
          <a:prstDash val="solid"/>
        </a:ln>
      </c:spPr>
    </c:plotArea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9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pt-BR"/>
    </a:p>
  </c:txPr>
  <c:printSettings>
    <c:headerFooter alignWithMargins="0"/>
    <c:pageMargins b="0.98425196899999956" l="0.78740157499999996" r="0.78740157499999996" t="0.98425196899999956" header="0.49212598500000138" footer="0.49212598500000138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0198300283286116"/>
          <c:y val="0.19607968290238781"/>
          <c:w val="0.81303116147308785"/>
          <c:h val="0.60131102756732269"/>
        </c:manualLayout>
      </c:layout>
      <c:barChart>
        <c:barDir val="col"/>
        <c:grouping val="clustered"/>
        <c:varyColors val="0"/>
        <c:ser>
          <c:idx val="0"/>
          <c:order val="0"/>
          <c:spPr>
            <a:solidFill>
              <a:srgbClr val="0000FF"/>
            </a:solidFill>
            <a:ln w="38100">
              <a:solidFill>
                <a:srgbClr val="0000FF"/>
              </a:solidFill>
              <a:prstDash val="solid"/>
            </a:ln>
          </c:spPr>
          <c:invertIfNegative val="0"/>
          <c:val>
            <c:numLit>
              <c:formatCode>General</c:formatCode>
              <c:ptCount val="90"/>
              <c:pt idx="0">
                <c:v>3.7360432014153684</c:v>
              </c:pt>
              <c:pt idx="1">
                <c:v>5.6774090992457849</c:v>
              </c:pt>
              <c:pt idx="2">
                <c:v>4.8419428874544916</c:v>
              </c:pt>
              <c:pt idx="3">
                <c:v>0.44343759349781242</c:v>
              </c:pt>
              <c:pt idx="4">
                <c:v>4.0110380011536915</c:v>
              </c:pt>
              <c:pt idx="5">
                <c:v>2.7322396412197478</c:v>
              </c:pt>
              <c:pt idx="6">
                <c:v>0.31752232013759335</c:v>
              </c:pt>
              <c:pt idx="7">
                <c:v>0</c:v>
              </c:pt>
              <c:pt idx="8">
                <c:v>0.15623272350187273</c:v>
              </c:pt>
              <c:pt idx="9">
                <c:v>0</c:v>
              </c:pt>
              <c:pt idx="10">
                <c:v>1.0066666666666666</c:v>
              </c:pt>
              <c:pt idx="11">
                <c:v>0.10514879444941501</c:v>
              </c:pt>
              <c:pt idx="12">
                <c:v>0.27904053575859683</c:v>
              </c:pt>
              <c:pt idx="13">
                <c:v>0</c:v>
              </c:pt>
              <c:pt idx="14">
                <c:v>0.19925617334165827</c:v>
              </c:pt>
              <c:pt idx="15">
                <c:v>0.52405078090432777</c:v>
              </c:pt>
              <c:pt idx="16">
                <c:v>0</c:v>
              </c:pt>
              <c:pt idx="17">
                <c:v>0</c:v>
              </c:pt>
              <c:pt idx="18">
                <c:v>0</c:v>
              </c:pt>
              <c:pt idx="19">
                <c:v>0</c:v>
              </c:pt>
              <c:pt idx="20">
                <c:v>0.26666666666666666</c:v>
              </c:pt>
              <c:pt idx="21">
                <c:v>0</c:v>
              </c:pt>
              <c:pt idx="22">
                <c:v>0</c:v>
              </c:pt>
              <c:pt idx="23">
                <c:v>3.2621131761872331</c:v>
              </c:pt>
              <c:pt idx="24">
                <c:v>1.0372015456603549</c:v>
              </c:pt>
              <c:pt idx="25">
                <c:v>0.29287235582716203</c:v>
              </c:pt>
              <c:pt idx="26">
                <c:v>2.6970212526139674</c:v>
              </c:pt>
              <c:pt idx="27">
                <c:v>5.2896321349967169E-2</c:v>
              </c:pt>
              <c:pt idx="28">
                <c:v>0</c:v>
              </c:pt>
              <c:pt idx="29">
                <c:v>0</c:v>
              </c:pt>
              <c:pt idx="30">
                <c:v>0</c:v>
              </c:pt>
              <c:pt idx="31">
                <c:v>0</c:v>
              </c:pt>
              <c:pt idx="32">
                <c:v>0</c:v>
              </c:pt>
              <c:pt idx="33">
                <c:v>0</c:v>
              </c:pt>
              <c:pt idx="34">
                <c:v>0</c:v>
              </c:pt>
              <c:pt idx="35">
                <c:v>0</c:v>
              </c:pt>
              <c:pt idx="36">
                <c:v>0</c:v>
              </c:pt>
              <c:pt idx="37">
                <c:v>0</c:v>
              </c:pt>
              <c:pt idx="38">
                <c:v>0</c:v>
              </c:pt>
              <c:pt idx="39">
                <c:v>0</c:v>
              </c:pt>
              <c:pt idx="40">
                <c:v>0</c:v>
              </c:pt>
              <c:pt idx="41">
                <c:v>0</c:v>
              </c:pt>
              <c:pt idx="42">
                <c:v>1.6533791532870961</c:v>
              </c:pt>
              <c:pt idx="43">
                <c:v>1.2749889694152097</c:v>
              </c:pt>
              <c:pt idx="44">
                <c:v>0</c:v>
              </c:pt>
              <c:pt idx="45">
                <c:v>0.60525534277739057</c:v>
              </c:pt>
              <c:pt idx="46">
                <c:v>0.35351418249860578</c:v>
              </c:pt>
              <c:pt idx="47">
                <c:v>0.25884958771347588</c:v>
              </c:pt>
              <c:pt idx="48">
                <c:v>0.1011494382210491</c:v>
              </c:pt>
              <c:pt idx="49">
                <c:v>0</c:v>
              </c:pt>
              <c:pt idx="50">
                <c:v>7.3274381570213834E-2</c:v>
              </c:pt>
              <c:pt idx="51">
                <c:v>0</c:v>
              </c:pt>
              <c:pt idx="52">
                <c:v>0</c:v>
              </c:pt>
              <c:pt idx="53">
                <c:v>0</c:v>
              </c:pt>
              <c:pt idx="54">
                <c:v>0</c:v>
              </c:pt>
              <c:pt idx="55">
                <c:v>3.7758127190071281E-2</c:v>
              </c:pt>
              <c:pt idx="56">
                <c:v>2.8005565077273262</c:v>
              </c:pt>
              <c:pt idx="57">
                <c:v>12.27337617451615</c:v>
              </c:pt>
              <c:pt idx="58">
                <c:v>4.3849161404619226</c:v>
              </c:pt>
              <c:pt idx="59">
                <c:v>2.9220034188418786</c:v>
              </c:pt>
              <c:pt idx="60">
                <c:v>4.0860666631020743</c:v>
              </c:pt>
              <c:pt idx="61">
                <c:v>0.18123744563267158</c:v>
              </c:pt>
              <c:pt idx="62">
                <c:v>0</c:v>
              </c:pt>
              <c:pt idx="63">
                <c:v>0.32333333333333331</c:v>
              </c:pt>
              <c:pt idx="64">
                <c:v>6.6666666666666666E-2</c:v>
              </c:pt>
              <c:pt idx="65">
                <c:v>0</c:v>
              </c:pt>
              <c:pt idx="66">
                <c:v>0.1</c:v>
              </c:pt>
              <c:pt idx="67">
                <c:v>0</c:v>
              </c:pt>
              <c:pt idx="68">
                <c:v>0</c:v>
              </c:pt>
              <c:pt idx="69">
                <c:v>0</c:v>
              </c:pt>
              <c:pt idx="70">
                <c:v>0</c:v>
              </c:pt>
              <c:pt idx="71">
                <c:v>0</c:v>
              </c:pt>
              <c:pt idx="72">
                <c:v>3.403061992542955</c:v>
              </c:pt>
              <c:pt idx="73">
                <c:v>0.78345782230964245</c:v>
              </c:pt>
              <c:pt idx="74">
                <c:v>0.33811541339710638</c:v>
              </c:pt>
              <c:pt idx="75">
                <c:v>1.0415835277172167</c:v>
              </c:pt>
              <c:pt idx="76">
                <c:v>0.57053600469884902</c:v>
              </c:pt>
              <c:pt idx="77">
                <c:v>1.3244681310448843</c:v>
              </c:pt>
              <c:pt idx="78">
                <c:v>0.64358716206365119</c:v>
              </c:pt>
              <c:pt idx="79">
                <c:v>1.0472980354174881</c:v>
              </c:pt>
              <c:pt idx="80">
                <c:v>5.0694469377194434E-2</c:v>
              </c:pt>
              <c:pt idx="81">
                <c:v>0</c:v>
              </c:pt>
              <c:pt idx="82">
                <c:v>6.3368086721493043E-3</c:v>
              </c:pt>
              <c:pt idx="83">
                <c:v>1.5068793455949038E-2</c:v>
              </c:pt>
              <c:pt idx="84">
                <c:v>1.8440899317734041</c:v>
              </c:pt>
              <c:pt idx="85">
                <c:v>2.8013112735727859</c:v>
              </c:pt>
              <c:pt idx="86">
                <c:v>1.7760996079640219</c:v>
              </c:pt>
              <c:pt idx="87">
                <c:v>1.3360477229787748</c:v>
              </c:pt>
              <c:pt idx="88">
                <c:v>1.5059211355440676</c:v>
              </c:pt>
              <c:pt idx="89">
                <c:v>11.495532250246992</c:v>
              </c:pt>
            </c:numLit>
          </c:val>
          <c:extLst>
            <c:ext xmlns:c16="http://schemas.microsoft.com/office/drawing/2014/chart" uri="{C3380CC4-5D6E-409C-BE32-E72D297353CC}">
              <c16:uniqueId val="{00000000-E083-4AB9-A261-14F2001B07C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664270016"/>
        <c:axId val="664279808"/>
      </c:barChart>
      <c:catAx>
        <c:axId val="664270016"/>
        <c:scaling>
          <c:orientation val="minMax"/>
        </c:scaling>
        <c:delete val="0"/>
        <c:axPos val="b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pt-BR"/>
          </a:p>
        </c:txPr>
        <c:crossAx val="664279808"/>
        <c:crosses val="autoZero"/>
        <c:auto val="1"/>
        <c:lblAlgn val="ctr"/>
        <c:lblOffset val="100"/>
        <c:tickLblSkip val="31"/>
        <c:tickMarkSkip val="31"/>
        <c:noMultiLvlLbl val="0"/>
      </c:catAx>
      <c:valAx>
        <c:axId val="664279808"/>
        <c:scaling>
          <c:orientation val="minMax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pt-BR"/>
          </a:p>
        </c:txPr>
        <c:crossAx val="664270016"/>
        <c:crosses val="autoZero"/>
        <c:crossBetween val="between"/>
        <c:majorUnit val="20"/>
      </c:valAx>
      <c:spPr>
        <a:solidFill>
          <a:srgbClr val="C0C0C0"/>
        </a:solidFill>
        <a:ln w="12700">
          <a:solidFill>
            <a:srgbClr val="808080"/>
          </a:solidFill>
          <a:prstDash val="solid"/>
        </a:ln>
      </c:spPr>
    </c:plotArea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8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pt-BR"/>
    </a:p>
  </c:txPr>
  <c:printSettings>
    <c:headerFooter alignWithMargins="0"/>
    <c:pageMargins b="0.98425196899999978" l="0.78740157499999996" r="0.78740157499999996" t="0.98425196899999978" header="0.49212598500000021" footer="0.49212598500000021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8.1725442142593543E-2"/>
          <c:y val="1.5241983189025065E-2"/>
          <c:w val="0.90792869306877488"/>
          <c:h val="0.83043908627502994"/>
        </c:manualLayout>
      </c:layout>
      <c:lineChart>
        <c:grouping val="standard"/>
        <c:varyColors val="0"/>
        <c:ser>
          <c:idx val="0"/>
          <c:order val="0"/>
          <c:spPr>
            <a:ln w="12700">
              <a:solidFill>
                <a:srgbClr val="FF0000"/>
              </a:solidFill>
              <a:prstDash val="solid"/>
            </a:ln>
          </c:spPr>
          <c:marker>
            <c:symbol val="none"/>
          </c:marker>
          <c:cat>
            <c:numRef>
              <c:f>Operacional_10_dias!$A$24:$A$68</c:f>
              <c:numCache>
                <c:formatCode>m/d/yyyy</c:formatCode>
                <c:ptCount val="45"/>
                <c:pt idx="0">
                  <c:v>42429</c:v>
                </c:pt>
                <c:pt idx="1">
                  <c:v>42430</c:v>
                </c:pt>
                <c:pt idx="2">
                  <c:v>42431</c:v>
                </c:pt>
                <c:pt idx="3">
                  <c:v>42432</c:v>
                </c:pt>
                <c:pt idx="4">
                  <c:v>42433</c:v>
                </c:pt>
                <c:pt idx="5">
                  <c:v>42434</c:v>
                </c:pt>
                <c:pt idx="6">
                  <c:v>42435</c:v>
                </c:pt>
                <c:pt idx="7">
                  <c:v>42436</c:v>
                </c:pt>
                <c:pt idx="8">
                  <c:v>42437</c:v>
                </c:pt>
                <c:pt idx="9">
                  <c:v>42438</c:v>
                </c:pt>
                <c:pt idx="10">
                  <c:v>42439</c:v>
                </c:pt>
                <c:pt idx="11">
                  <c:v>42440</c:v>
                </c:pt>
                <c:pt idx="12">
                  <c:v>42441</c:v>
                </c:pt>
                <c:pt idx="13">
                  <c:v>42442</c:v>
                </c:pt>
                <c:pt idx="14">
                  <c:v>42443</c:v>
                </c:pt>
                <c:pt idx="15">
                  <c:v>42444</c:v>
                </c:pt>
                <c:pt idx="16">
                  <c:v>42445</c:v>
                </c:pt>
                <c:pt idx="17">
                  <c:v>42446</c:v>
                </c:pt>
                <c:pt idx="18">
                  <c:v>42447</c:v>
                </c:pt>
                <c:pt idx="19">
                  <c:v>42448</c:v>
                </c:pt>
                <c:pt idx="20">
                  <c:v>42449</c:v>
                </c:pt>
                <c:pt idx="21">
                  <c:v>42450</c:v>
                </c:pt>
                <c:pt idx="22">
                  <c:v>42451</c:v>
                </c:pt>
                <c:pt idx="23">
                  <c:v>42452</c:v>
                </c:pt>
                <c:pt idx="24">
                  <c:v>42453</c:v>
                </c:pt>
                <c:pt idx="25">
                  <c:v>42454</c:v>
                </c:pt>
                <c:pt idx="26">
                  <c:v>42455</c:v>
                </c:pt>
                <c:pt idx="27">
                  <c:v>42456</c:v>
                </c:pt>
                <c:pt idx="28">
                  <c:v>42457</c:v>
                </c:pt>
                <c:pt idx="29">
                  <c:v>42458</c:v>
                </c:pt>
                <c:pt idx="30">
                  <c:v>42459</c:v>
                </c:pt>
                <c:pt idx="31">
                  <c:v>42460</c:v>
                </c:pt>
                <c:pt idx="32">
                  <c:v>42461</c:v>
                </c:pt>
                <c:pt idx="33">
                  <c:v>42462</c:v>
                </c:pt>
                <c:pt idx="34">
                  <c:v>42463</c:v>
                </c:pt>
                <c:pt idx="35">
                  <c:v>42464</c:v>
                </c:pt>
                <c:pt idx="36">
                  <c:v>42465</c:v>
                </c:pt>
                <c:pt idx="37">
                  <c:v>42466</c:v>
                </c:pt>
                <c:pt idx="38">
                  <c:v>42467</c:v>
                </c:pt>
                <c:pt idx="39">
                  <c:v>42468</c:v>
                </c:pt>
              </c:numCache>
            </c:numRef>
          </c:cat>
          <c:val>
            <c:numRef>
              <c:f>Operacional_10_dias!$F$24:$F$68</c:f>
              <c:numCache>
                <c:formatCode>0.00</c:formatCode>
                <c:ptCount val="45"/>
                <c:pt idx="0">
                  <c:v>249.8449596097982</c:v>
                </c:pt>
                <c:pt idx="1">
                  <c:v>250.00754634773659</c:v>
                </c:pt>
                <c:pt idx="2">
                  <c:v>249.21185308259496</c:v>
                </c:pt>
                <c:pt idx="3">
                  <c:v>248.143835730674</c:v>
                </c:pt>
                <c:pt idx="4">
                  <c:v>247.52851275148947</c:v>
                </c:pt>
                <c:pt idx="5">
                  <c:v>251.76213945349801</c:v>
                </c:pt>
                <c:pt idx="6">
                  <c:v>258.79078079509446</c:v>
                </c:pt>
                <c:pt idx="7">
                  <c:v>265.75039767062344</c:v>
                </c:pt>
                <c:pt idx="8">
                  <c:v>270.8291002228458</c:v>
                </c:pt>
                <c:pt idx="9">
                  <c:v>273.75061278692425</c:v>
                </c:pt>
                <c:pt idx="10">
                  <c:v>275.87593399071278</c:v>
                </c:pt>
                <c:pt idx="11">
                  <c:v>279.834878425569</c:v>
                </c:pt>
                <c:pt idx="12">
                  <c:v>286.59828962859422</c:v>
                </c:pt>
                <c:pt idx="13">
                  <c:v>296.10649094486013</c:v>
                </c:pt>
                <c:pt idx="14">
                  <c:v>305.23046549854746</c:v>
                </c:pt>
                <c:pt idx="15">
                  <c:v>313.43087380556437</c:v>
                </c:pt>
                <c:pt idx="16">
                  <c:v>318.77118421592644</c:v>
                </c:pt>
                <c:pt idx="17">
                  <c:v>321.73633732982518</c:v>
                </c:pt>
                <c:pt idx="18">
                  <c:v>322.72809361252524</c:v>
                </c:pt>
                <c:pt idx="19">
                  <c:v>322.16022813526422</c:v>
                </c:pt>
                <c:pt idx="20">
                  <c:v>321.57019299747486</c:v>
                </c:pt>
                <c:pt idx="21">
                  <c:v>321.82918876354728</c:v>
                </c:pt>
                <c:pt idx="22">
                  <c:v>322.32107607714011</c:v>
                </c:pt>
                <c:pt idx="23">
                  <c:v>324.4469187804396</c:v>
                </c:pt>
                <c:pt idx="24">
                  <c:v>330.8304488518869</c:v>
                </c:pt>
                <c:pt idx="25">
                  <c:v>338.36449651818793</c:v>
                </c:pt>
                <c:pt idx="26">
                  <c:v>343.93605125661549</c:v>
                </c:pt>
                <c:pt idx="27">
                  <c:v>349.99296704631161</c:v>
                </c:pt>
                <c:pt idx="28">
                  <c:v>358.64357013483868</c:v>
                </c:pt>
                <c:pt idx="29">
                  <c:v>368.18781792913114</c:v>
                </c:pt>
                <c:pt idx="30">
                  <c:v>376.9762816713199</c:v>
                </c:pt>
                <c:pt idx="31">
                  <c:v>383.05338360716195</c:v>
                </c:pt>
                <c:pt idx="32">
                  <c:v>386.35939583785557</c:v>
                </c:pt>
                <c:pt idx="33">
                  <c:v>387.4448584922784</c:v>
                </c:pt>
                <c:pt idx="34">
                  <c:v>387.16628489664004</c:v>
                </c:pt>
                <c:pt idx="35">
                  <c:v>386.49150635962826</c:v>
                </c:pt>
                <c:pt idx="36">
                  <c:v>387.04589202032423</c:v>
                </c:pt>
                <c:pt idx="37">
                  <c:v>389.7104507746821</c:v>
                </c:pt>
                <c:pt idx="38">
                  <c:v>393.98252055265652</c:v>
                </c:pt>
              </c:numCache>
            </c:numRef>
          </c:val>
          <c:smooth val="1"/>
          <c:extLst>
            <c:ext xmlns:c16="http://schemas.microsoft.com/office/drawing/2014/chart" uri="{C3380CC4-5D6E-409C-BE32-E72D297353CC}">
              <c16:uniqueId val="{00000000-156A-44FE-8D03-DAD87BAB3471}"/>
            </c:ext>
          </c:extLst>
        </c:ser>
        <c:ser>
          <c:idx val="1"/>
          <c:order val="1"/>
          <c:tx>
            <c:v>Q obs</c:v>
          </c:tx>
          <c:spPr>
            <a:ln w="12700">
              <a:solidFill>
                <a:srgbClr val="0000FF"/>
              </a:solidFill>
              <a:prstDash val="solid"/>
            </a:ln>
          </c:spPr>
          <c:marker>
            <c:symbol val="none"/>
          </c:marker>
          <c:cat>
            <c:numRef>
              <c:f>Operacional_10_dias!$A$24:$A$68</c:f>
              <c:numCache>
                <c:formatCode>m/d/yyyy</c:formatCode>
                <c:ptCount val="45"/>
                <c:pt idx="0">
                  <c:v>42429</c:v>
                </c:pt>
                <c:pt idx="1">
                  <c:v>42430</c:v>
                </c:pt>
                <c:pt idx="2">
                  <c:v>42431</c:v>
                </c:pt>
                <c:pt idx="3">
                  <c:v>42432</c:v>
                </c:pt>
                <c:pt idx="4">
                  <c:v>42433</c:v>
                </c:pt>
                <c:pt idx="5">
                  <c:v>42434</c:v>
                </c:pt>
                <c:pt idx="6">
                  <c:v>42435</c:v>
                </c:pt>
                <c:pt idx="7">
                  <c:v>42436</c:v>
                </c:pt>
                <c:pt idx="8">
                  <c:v>42437</c:v>
                </c:pt>
                <c:pt idx="9">
                  <c:v>42438</c:v>
                </c:pt>
                <c:pt idx="10">
                  <c:v>42439</c:v>
                </c:pt>
                <c:pt idx="11">
                  <c:v>42440</c:v>
                </c:pt>
                <c:pt idx="12">
                  <c:v>42441</c:v>
                </c:pt>
                <c:pt idx="13">
                  <c:v>42442</c:v>
                </c:pt>
                <c:pt idx="14">
                  <c:v>42443</c:v>
                </c:pt>
                <c:pt idx="15">
                  <c:v>42444</c:v>
                </c:pt>
                <c:pt idx="16">
                  <c:v>42445</c:v>
                </c:pt>
                <c:pt idx="17">
                  <c:v>42446</c:v>
                </c:pt>
                <c:pt idx="18">
                  <c:v>42447</c:v>
                </c:pt>
                <c:pt idx="19">
                  <c:v>42448</c:v>
                </c:pt>
                <c:pt idx="20">
                  <c:v>42449</c:v>
                </c:pt>
                <c:pt idx="21">
                  <c:v>42450</c:v>
                </c:pt>
                <c:pt idx="22">
                  <c:v>42451</c:v>
                </c:pt>
                <c:pt idx="23">
                  <c:v>42452</c:v>
                </c:pt>
                <c:pt idx="24">
                  <c:v>42453</c:v>
                </c:pt>
                <c:pt idx="25">
                  <c:v>42454</c:v>
                </c:pt>
                <c:pt idx="26">
                  <c:v>42455</c:v>
                </c:pt>
                <c:pt idx="27">
                  <c:v>42456</c:v>
                </c:pt>
                <c:pt idx="28">
                  <c:v>42457</c:v>
                </c:pt>
                <c:pt idx="29">
                  <c:v>42458</c:v>
                </c:pt>
                <c:pt idx="30">
                  <c:v>42459</c:v>
                </c:pt>
                <c:pt idx="31">
                  <c:v>42460</c:v>
                </c:pt>
                <c:pt idx="32">
                  <c:v>42461</c:v>
                </c:pt>
                <c:pt idx="33">
                  <c:v>42462</c:v>
                </c:pt>
                <c:pt idx="34">
                  <c:v>42463</c:v>
                </c:pt>
                <c:pt idx="35">
                  <c:v>42464</c:v>
                </c:pt>
                <c:pt idx="36">
                  <c:v>42465</c:v>
                </c:pt>
                <c:pt idx="37">
                  <c:v>42466</c:v>
                </c:pt>
                <c:pt idx="38">
                  <c:v>42467</c:v>
                </c:pt>
                <c:pt idx="39">
                  <c:v>42468</c:v>
                </c:pt>
              </c:numCache>
            </c:numRef>
          </c:cat>
          <c:val>
            <c:numRef>
              <c:f>Operacional_10_dias!$B$24:$B$68</c:f>
              <c:numCache>
                <c:formatCode>0</c:formatCode>
                <c:ptCount val="45"/>
                <c:pt idx="0">
                  <c:v>1035.03556978713</c:v>
                </c:pt>
                <c:pt idx="1">
                  <c:v>894.423546771171</c:v>
                </c:pt>
                <c:pt idx="2">
                  <c:v>770.51679494953601</c:v>
                </c:pt>
                <c:pt idx="3">
                  <c:v>2008.20300002503</c:v>
                </c:pt>
                <c:pt idx="4">
                  <c:v>2064.5436128544702</c:v>
                </c:pt>
                <c:pt idx="5">
                  <c:v>1933.3914916014901</c:v>
                </c:pt>
                <c:pt idx="6">
                  <c:v>1700.6263589523101</c:v>
                </c:pt>
                <c:pt idx="7">
                  <c:v>1339.08532292257</c:v>
                </c:pt>
                <c:pt idx="8">
                  <c:v>1099.2439515618901</c:v>
                </c:pt>
                <c:pt idx="9">
                  <c:v>1180.2527855814201</c:v>
                </c:pt>
                <c:pt idx="10">
                  <c:v>1709.14781201286</c:v>
                </c:pt>
                <c:pt idx="11">
                  <c:v>2064.19808210052</c:v>
                </c:pt>
                <c:pt idx="12">
                  <c:v>2041.8017553371501</c:v>
                </c:pt>
                <c:pt idx="13">
                  <c:v>1897.4468000433001</c:v>
                </c:pt>
                <c:pt idx="14">
                  <c:v>1561.3107932038799</c:v>
                </c:pt>
                <c:pt idx="15">
                  <c:v>1289.2214994701901</c:v>
                </c:pt>
                <c:pt idx="16">
                  <c:v>1090.66473545695</c:v>
                </c:pt>
                <c:pt idx="17">
                  <c:v>929.17803163181395</c:v>
                </c:pt>
                <c:pt idx="18">
                  <c:v>832.586682242763</c:v>
                </c:pt>
                <c:pt idx="19">
                  <c:v>760.89026976625405</c:v>
                </c:pt>
                <c:pt idx="20">
                  <c:v>671.57040358134805</c:v>
                </c:pt>
                <c:pt idx="21">
                  <c:v>907.67806605403598</c:v>
                </c:pt>
                <c:pt idx="22">
                  <c:v>2079.9068913917499</c:v>
                </c:pt>
                <c:pt idx="23">
                  <c:v>2114</c:v>
                </c:pt>
                <c:pt idx="24">
                  <c:v>1609</c:v>
                </c:pt>
                <c:pt idx="25">
                  <c:v>1553</c:v>
                </c:pt>
                <c:pt idx="26">
                  <c:v>2283</c:v>
                </c:pt>
                <c:pt idx="27">
                  <c:v>2411</c:v>
                </c:pt>
                <c:pt idx="28">
                  <c:v>2110</c:v>
                </c:pt>
              </c:numCache>
            </c:numRef>
          </c:val>
          <c:smooth val="1"/>
          <c:extLst>
            <c:ext xmlns:c16="http://schemas.microsoft.com/office/drawing/2014/chart" uri="{C3380CC4-5D6E-409C-BE32-E72D297353CC}">
              <c16:uniqueId val="{00000001-156A-44FE-8D03-DAD87BAB3471}"/>
            </c:ext>
          </c:extLst>
        </c:ser>
        <c:ser>
          <c:idx val="2"/>
          <c:order val="2"/>
          <c:tx>
            <c:v>Base</c:v>
          </c:tx>
          <c:spPr>
            <a:ln w="25400">
              <a:solidFill>
                <a:srgbClr val="999933"/>
              </a:solidFill>
              <a:prstDash val="solid"/>
            </a:ln>
          </c:spPr>
          <c:marker>
            <c:symbol val="none"/>
          </c:marker>
          <c:cat>
            <c:numRef>
              <c:f>Operacional_10_dias!$A$24:$A$68</c:f>
              <c:numCache>
                <c:formatCode>m/d/yyyy</c:formatCode>
                <c:ptCount val="45"/>
                <c:pt idx="0">
                  <c:v>42429</c:v>
                </c:pt>
                <c:pt idx="1">
                  <c:v>42430</c:v>
                </c:pt>
                <c:pt idx="2">
                  <c:v>42431</c:v>
                </c:pt>
                <c:pt idx="3">
                  <c:v>42432</c:v>
                </c:pt>
                <c:pt idx="4">
                  <c:v>42433</c:v>
                </c:pt>
                <c:pt idx="5">
                  <c:v>42434</c:v>
                </c:pt>
                <c:pt idx="6">
                  <c:v>42435</c:v>
                </c:pt>
                <c:pt idx="7">
                  <c:v>42436</c:v>
                </c:pt>
                <c:pt idx="8">
                  <c:v>42437</c:v>
                </c:pt>
                <c:pt idx="9">
                  <c:v>42438</c:v>
                </c:pt>
                <c:pt idx="10">
                  <c:v>42439</c:v>
                </c:pt>
                <c:pt idx="11">
                  <c:v>42440</c:v>
                </c:pt>
                <c:pt idx="12">
                  <c:v>42441</c:v>
                </c:pt>
                <c:pt idx="13">
                  <c:v>42442</c:v>
                </c:pt>
                <c:pt idx="14">
                  <c:v>42443</c:v>
                </c:pt>
                <c:pt idx="15">
                  <c:v>42444</c:v>
                </c:pt>
                <c:pt idx="16">
                  <c:v>42445</c:v>
                </c:pt>
                <c:pt idx="17">
                  <c:v>42446</c:v>
                </c:pt>
                <c:pt idx="18">
                  <c:v>42447</c:v>
                </c:pt>
                <c:pt idx="19">
                  <c:v>42448</c:v>
                </c:pt>
                <c:pt idx="20">
                  <c:v>42449</c:v>
                </c:pt>
                <c:pt idx="21">
                  <c:v>42450</c:v>
                </c:pt>
                <c:pt idx="22">
                  <c:v>42451</c:v>
                </c:pt>
                <c:pt idx="23">
                  <c:v>42452</c:v>
                </c:pt>
                <c:pt idx="24">
                  <c:v>42453</c:v>
                </c:pt>
                <c:pt idx="25">
                  <c:v>42454</c:v>
                </c:pt>
                <c:pt idx="26">
                  <c:v>42455</c:v>
                </c:pt>
                <c:pt idx="27">
                  <c:v>42456</c:v>
                </c:pt>
                <c:pt idx="28">
                  <c:v>42457</c:v>
                </c:pt>
                <c:pt idx="29">
                  <c:v>42458</c:v>
                </c:pt>
                <c:pt idx="30">
                  <c:v>42459</c:v>
                </c:pt>
                <c:pt idx="31">
                  <c:v>42460</c:v>
                </c:pt>
                <c:pt idx="32">
                  <c:v>42461</c:v>
                </c:pt>
                <c:pt idx="33">
                  <c:v>42462</c:v>
                </c:pt>
                <c:pt idx="34">
                  <c:v>42463</c:v>
                </c:pt>
                <c:pt idx="35">
                  <c:v>42464</c:v>
                </c:pt>
                <c:pt idx="36">
                  <c:v>42465</c:v>
                </c:pt>
                <c:pt idx="37">
                  <c:v>42466</c:v>
                </c:pt>
                <c:pt idx="38">
                  <c:v>42467</c:v>
                </c:pt>
                <c:pt idx="39">
                  <c:v>42468</c:v>
                </c:pt>
              </c:numCache>
            </c:numRef>
          </c:cat>
          <c:val>
            <c:numRef>
              <c:f>Operacional_10_dias!#REF!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smooth val="1"/>
          <c:extLst>
            <c:ext xmlns:c16="http://schemas.microsoft.com/office/drawing/2014/chart" uri="{C3380CC4-5D6E-409C-BE32-E72D297353CC}">
              <c16:uniqueId val="{00000002-156A-44FE-8D03-DAD87BAB347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664270560"/>
        <c:axId val="664273824"/>
      </c:lineChart>
      <c:dateAx>
        <c:axId val="664270560"/>
        <c:scaling>
          <c:orientation val="minMax"/>
        </c:scaling>
        <c:delete val="0"/>
        <c:axPos val="b"/>
        <c:numFmt formatCode="[$-416]mmm\-yy;@" sourceLinked="0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-5400000" vert="horz"/>
          <a:lstStyle/>
          <a:p>
            <a:pPr>
              <a:defRPr lang="en-US" sz="900"/>
            </a:pPr>
            <a:endParaRPr lang="pt-BR"/>
          </a:p>
        </c:txPr>
        <c:crossAx val="664273824"/>
        <c:crosses val="autoZero"/>
        <c:auto val="1"/>
        <c:lblOffset val="100"/>
        <c:baseTimeUnit val="days"/>
        <c:majorUnit val="1"/>
        <c:majorTimeUnit val="months"/>
      </c:dateAx>
      <c:valAx>
        <c:axId val="664273824"/>
        <c:scaling>
          <c:orientation val="minMax"/>
          <c:min val="0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 lang="en-US"/>
                </a:pPr>
                <a:r>
                  <a:rPr lang="pt-BR"/>
                  <a:t>Vazões (m3/s)</a:t>
                </a:r>
              </a:p>
            </c:rich>
          </c:tx>
          <c:layout/>
          <c:overlay val="0"/>
        </c:title>
        <c:numFmt formatCode="0.0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lang="en-US"/>
            </a:pPr>
            <a:endParaRPr lang="pt-BR"/>
          </a:p>
        </c:txPr>
        <c:crossAx val="664270560"/>
        <c:crosses val="autoZero"/>
        <c:crossBetween val="between"/>
      </c:valAx>
      <c:spPr>
        <a:solidFill>
          <a:srgbClr val="FFFFFF"/>
        </a:solidFill>
        <a:ln w="12700">
          <a:solidFill>
            <a:srgbClr val="808080"/>
          </a:solidFill>
          <a:prstDash val="solid"/>
        </a:ln>
      </c:spPr>
    </c:plotArea>
    <c:legend>
      <c:legendPos val="r"/>
      <c:layout>
        <c:manualLayout>
          <c:xMode val="edge"/>
          <c:yMode val="edge"/>
          <c:x val="0"/>
          <c:y val="0.94880165835303421"/>
          <c:w val="1"/>
          <c:h val="5.1198341646965767E-2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lang="en-US"/>
          </a:pPr>
          <a:endParaRPr lang="pt-BR"/>
        </a:p>
      </c:txPr>
    </c:legend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05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6.8702359434622134E-2"/>
          <c:y val="1.5777554121524279E-2"/>
          <c:w val="0.90645724693384289"/>
          <c:h val="0.80089399301880337"/>
        </c:manualLayout>
      </c:layout>
      <c:areaChart>
        <c:grouping val="standard"/>
        <c:varyColors val="0"/>
        <c:ser>
          <c:idx val="4"/>
          <c:order val="3"/>
          <c:tx>
            <c:v>Chuva Esq</c:v>
          </c:tx>
          <c:spPr>
            <a:solidFill>
              <a:srgbClr val="FF5050"/>
            </a:solidFill>
            <a:ln w="0">
              <a:solidFill>
                <a:srgbClr val="7A0000"/>
              </a:solidFill>
            </a:ln>
          </c:spPr>
          <c:val>
            <c:numRef>
              <c:f>Operacional_10_dias!$AC$24:$AC$68</c:f>
              <c:numCache>
                <c:formatCode>0.0</c:formatCode>
                <c:ptCount val="45"/>
                <c:pt idx="0">
                  <c:v>1.8739810199400995</c:v>
                </c:pt>
                <c:pt idx="1">
                  <c:v>3.5743669305951831</c:v>
                </c:pt>
                <c:pt idx="2">
                  <c:v>6.0902894020061362</c:v>
                </c:pt>
                <c:pt idx="3">
                  <c:v>23.379420429365496</c:v>
                </c:pt>
                <c:pt idx="4">
                  <c:v>14.628482023902196</c:v>
                </c:pt>
                <c:pt idx="5">
                  <c:v>6.3365742618437073</c:v>
                </c:pt>
                <c:pt idx="6">
                  <c:v>1.9112568381984532</c:v>
                </c:pt>
                <c:pt idx="7">
                  <c:v>0.42522718957934413</c:v>
                </c:pt>
                <c:pt idx="8">
                  <c:v>3.235732341488867</c:v>
                </c:pt>
                <c:pt idx="9">
                  <c:v>10.696820386751661</c:v>
                </c:pt>
                <c:pt idx="10">
                  <c:v>14.698274516498451</c:v>
                </c:pt>
                <c:pt idx="11">
                  <c:v>16.539364215000159</c:v>
                </c:pt>
                <c:pt idx="12">
                  <c:v>6.616338004985983</c:v>
                </c:pt>
                <c:pt idx="13">
                  <c:v>5.2141017624034536</c:v>
                </c:pt>
                <c:pt idx="14">
                  <c:v>0.604633352342139</c:v>
                </c:pt>
                <c:pt idx="15">
                  <c:v>0.35864688280172424</c:v>
                </c:pt>
                <c:pt idx="16">
                  <c:v>0.10451122861875817</c:v>
                </c:pt>
                <c:pt idx="17">
                  <c:v>0.10893418164959043</c:v>
                </c:pt>
                <c:pt idx="18">
                  <c:v>5.1415960175666218</c:v>
                </c:pt>
                <c:pt idx="19">
                  <c:v>7.3898745664426038</c:v>
                </c:pt>
                <c:pt idx="20">
                  <c:v>5.7233457425335121</c:v>
                </c:pt>
                <c:pt idx="21">
                  <c:v>9.9126409843517127</c:v>
                </c:pt>
                <c:pt idx="22">
                  <c:v>20.714867868449449</c:v>
                </c:pt>
                <c:pt idx="23">
                  <c:v>10.037475437603732</c:v>
                </c:pt>
                <c:pt idx="24">
                  <c:v>2.2946317768124884</c:v>
                </c:pt>
                <c:pt idx="25">
                  <c:v>7.7064400084301132</c:v>
                </c:pt>
                <c:pt idx="26">
                  <c:v>15.943710435198005</c:v>
                </c:pt>
                <c:pt idx="27">
                  <c:v>10.996606365718334</c:v>
                </c:pt>
                <c:pt idx="28">
                  <c:v>6.0648584285925313</c:v>
                </c:pt>
                <c:pt idx="29">
                  <c:v>1.4652026286846334</c:v>
                </c:pt>
                <c:pt idx="30">
                  <c:v>0.24918502926283592</c:v>
                </c:pt>
                <c:pt idx="31">
                  <c:v>0.14095142800977131</c:v>
                </c:pt>
                <c:pt idx="32">
                  <c:v>0.24872960857337117</c:v>
                </c:pt>
                <c:pt idx="33">
                  <c:v>2.7454570679719219</c:v>
                </c:pt>
                <c:pt idx="34">
                  <c:v>6.9889930887783542</c:v>
                </c:pt>
                <c:pt idx="35">
                  <c:v>9.5987610960371015</c:v>
                </c:pt>
                <c:pt idx="36">
                  <c:v>8.381587552655434</c:v>
                </c:pt>
                <c:pt idx="37">
                  <c:v>6.3884136966275182</c:v>
                </c:pt>
                <c:pt idx="38">
                  <c:v>6.6911042897803927</c:v>
                </c:pt>
                <c:pt idx="39">
                  <c:v>1.8411117671121366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264-49F3-BEF9-1BF3D2D4A087}"/>
            </c:ext>
          </c:extLst>
        </c:ser>
        <c:ser>
          <c:idx val="5"/>
          <c:order val="4"/>
          <c:tx>
            <c:v>Chuva Dir</c:v>
          </c:tx>
          <c:spPr>
            <a:solidFill>
              <a:srgbClr val="FFFF99">
                <a:alpha val="81000"/>
              </a:srgbClr>
            </a:solidFill>
            <a:ln w="0">
              <a:solidFill>
                <a:srgbClr val="FFC000"/>
              </a:solidFill>
            </a:ln>
          </c:spPr>
          <c:val>
            <c:numRef>
              <c:f>Operacional_10_dias!#REF!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6264-49F3-BEF9-1BF3D2D4A08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64282528"/>
        <c:axId val="664280352"/>
      </c:areaChart>
      <c:lineChart>
        <c:grouping val="standard"/>
        <c:varyColors val="0"/>
        <c:ser>
          <c:idx val="0"/>
          <c:order val="0"/>
          <c:spPr>
            <a:ln w="12700">
              <a:solidFill>
                <a:srgbClr val="FF0000"/>
              </a:solidFill>
              <a:prstDash val="solid"/>
            </a:ln>
          </c:spPr>
          <c:marker>
            <c:symbol val="none"/>
          </c:marker>
          <c:cat>
            <c:numRef>
              <c:f>Operacional_10_dias!$A$24:$A$68</c:f>
              <c:numCache>
                <c:formatCode>m/d/yyyy</c:formatCode>
                <c:ptCount val="45"/>
                <c:pt idx="0">
                  <c:v>42429</c:v>
                </c:pt>
                <c:pt idx="1">
                  <c:v>42430</c:v>
                </c:pt>
                <c:pt idx="2">
                  <c:v>42431</c:v>
                </c:pt>
                <c:pt idx="3">
                  <c:v>42432</c:v>
                </c:pt>
                <c:pt idx="4">
                  <c:v>42433</c:v>
                </c:pt>
                <c:pt idx="5">
                  <c:v>42434</c:v>
                </c:pt>
                <c:pt idx="6">
                  <c:v>42435</c:v>
                </c:pt>
                <c:pt idx="7">
                  <c:v>42436</c:v>
                </c:pt>
                <c:pt idx="8">
                  <c:v>42437</c:v>
                </c:pt>
                <c:pt idx="9">
                  <c:v>42438</c:v>
                </c:pt>
                <c:pt idx="10">
                  <c:v>42439</c:v>
                </c:pt>
                <c:pt idx="11">
                  <c:v>42440</c:v>
                </c:pt>
                <c:pt idx="12">
                  <c:v>42441</c:v>
                </c:pt>
                <c:pt idx="13">
                  <c:v>42442</c:v>
                </c:pt>
                <c:pt idx="14">
                  <c:v>42443</c:v>
                </c:pt>
                <c:pt idx="15">
                  <c:v>42444</c:v>
                </c:pt>
                <c:pt idx="16">
                  <c:v>42445</c:v>
                </c:pt>
                <c:pt idx="17">
                  <c:v>42446</c:v>
                </c:pt>
                <c:pt idx="18">
                  <c:v>42447</c:v>
                </c:pt>
                <c:pt idx="19">
                  <c:v>42448</c:v>
                </c:pt>
                <c:pt idx="20">
                  <c:v>42449</c:v>
                </c:pt>
                <c:pt idx="21">
                  <c:v>42450</c:v>
                </c:pt>
                <c:pt idx="22">
                  <c:v>42451</c:v>
                </c:pt>
                <c:pt idx="23">
                  <c:v>42452</c:v>
                </c:pt>
                <c:pt idx="24">
                  <c:v>42453</c:v>
                </c:pt>
                <c:pt idx="25">
                  <c:v>42454</c:v>
                </c:pt>
                <c:pt idx="26">
                  <c:v>42455</c:v>
                </c:pt>
                <c:pt idx="27">
                  <c:v>42456</c:v>
                </c:pt>
                <c:pt idx="28">
                  <c:v>42457</c:v>
                </c:pt>
                <c:pt idx="29">
                  <c:v>42458</c:v>
                </c:pt>
                <c:pt idx="30">
                  <c:v>42459</c:v>
                </c:pt>
                <c:pt idx="31">
                  <c:v>42460</c:v>
                </c:pt>
                <c:pt idx="32">
                  <c:v>42461</c:v>
                </c:pt>
                <c:pt idx="33">
                  <c:v>42462</c:v>
                </c:pt>
                <c:pt idx="34">
                  <c:v>42463</c:v>
                </c:pt>
                <c:pt idx="35">
                  <c:v>42464</c:v>
                </c:pt>
                <c:pt idx="36">
                  <c:v>42465</c:v>
                </c:pt>
                <c:pt idx="37">
                  <c:v>42466</c:v>
                </c:pt>
                <c:pt idx="38">
                  <c:v>42467</c:v>
                </c:pt>
                <c:pt idx="39">
                  <c:v>42468</c:v>
                </c:pt>
              </c:numCache>
            </c:numRef>
          </c:cat>
          <c:val>
            <c:numRef>
              <c:f>Operacional_10_dias!$E$24:$E$68</c:f>
              <c:numCache>
                <c:formatCode>0</c:formatCode>
                <c:ptCount val="45"/>
                <c:pt idx="0">
                  <c:v>1049.422528724215</c:v>
                </c:pt>
                <c:pt idx="1">
                  <c:v>862.97064693653431</c:v>
                </c:pt>
                <c:pt idx="2">
                  <c:v>781.87694485499287</c:v>
                </c:pt>
                <c:pt idx="3">
                  <c:v>2015.2835387628393</c:v>
                </c:pt>
                <c:pt idx="4">
                  <c:v>2316.447365852468</c:v>
                </c:pt>
                <c:pt idx="5">
                  <c:v>1949.1376615096544</c:v>
                </c:pt>
                <c:pt idx="6">
                  <c:v>1535.3191391419666</c:v>
                </c:pt>
                <c:pt idx="7">
                  <c:v>1225.7764075248226</c:v>
                </c:pt>
                <c:pt idx="8">
                  <c:v>1002.62722551921</c:v>
                </c:pt>
                <c:pt idx="9">
                  <c:v>1181.3037124829168</c:v>
                </c:pt>
                <c:pt idx="10">
                  <c:v>1710.1463410102242</c:v>
                </c:pt>
                <c:pt idx="11">
                  <c:v>2440.2438718612666</c:v>
                </c:pt>
                <c:pt idx="12">
                  <c:v>2112.1861731406452</c:v>
                </c:pt>
                <c:pt idx="13">
                  <c:v>1772.7470839815267</c:v>
                </c:pt>
                <c:pt idx="14">
                  <c:v>1415.7528971016848</c:v>
                </c:pt>
                <c:pt idx="15">
                  <c:v>1148.6104543408542</c:v>
                </c:pt>
                <c:pt idx="16">
                  <c:v>946.87640018726324</c:v>
                </c:pt>
                <c:pt idx="17">
                  <c:v>794.10919165361429</c:v>
                </c:pt>
                <c:pt idx="18">
                  <c:v>726.41791195110068</c:v>
                </c:pt>
                <c:pt idx="19">
                  <c:v>758.86321682710786</c:v>
                </c:pt>
                <c:pt idx="20">
                  <c:v>720.69132105233962</c:v>
                </c:pt>
                <c:pt idx="21">
                  <c:v>907.72537981185394</c:v>
                </c:pt>
                <c:pt idx="22">
                  <c:v>2080.3405279106382</c:v>
                </c:pt>
                <c:pt idx="23">
                  <c:v>2071.0357635072796</c:v>
                </c:pt>
                <c:pt idx="24">
                  <c:v>1645.3172901389632</c:v>
                </c:pt>
                <c:pt idx="25">
                  <c:v>1553.3510188338412</c:v>
                </c:pt>
                <c:pt idx="26">
                  <c:v>2283.0119370215161</c:v>
                </c:pt>
                <c:pt idx="27">
                  <c:v>2416.4325795814093</c:v>
                </c:pt>
                <c:pt idx="28">
                  <c:v>2090.196038220738</c:v>
                </c:pt>
                <c:pt idx="29">
                  <c:v>1670.4192927883753</c:v>
                </c:pt>
                <c:pt idx="30">
                  <c:v>1356.3325791958575</c:v>
                </c:pt>
                <c:pt idx="31">
                  <c:v>1119.5881518246499</c:v>
                </c:pt>
                <c:pt idx="32">
                  <c:v>940.2777870958613</c:v>
                </c:pt>
                <c:pt idx="33">
                  <c:v>807.25314428438764</c:v>
                </c:pt>
                <c:pt idx="34">
                  <c:v>824.88776181619244</c:v>
                </c:pt>
                <c:pt idx="35">
                  <c:v>998.10469226625605</c:v>
                </c:pt>
                <c:pt idx="36">
                  <c:v>1084.1466387346607</c:v>
                </c:pt>
                <c:pt idx="37">
                  <c:v>1050.1131999087374</c:v>
                </c:pt>
                <c:pt idx="38">
                  <c:v>1053.4533326882686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6264-49F3-BEF9-1BF3D2D4A087}"/>
            </c:ext>
          </c:extLst>
        </c:ser>
        <c:ser>
          <c:idx val="1"/>
          <c:order val="1"/>
          <c:tx>
            <c:v>Q nat</c:v>
          </c:tx>
          <c:spPr>
            <a:ln w="12700">
              <a:solidFill>
                <a:srgbClr val="0000FF"/>
              </a:solidFill>
              <a:prstDash val="solid"/>
            </a:ln>
          </c:spPr>
          <c:marker>
            <c:symbol val="none"/>
          </c:marker>
          <c:cat>
            <c:numRef>
              <c:f>Operacional_10_dias!$A$24:$A$68</c:f>
              <c:numCache>
                <c:formatCode>m/d/yyyy</c:formatCode>
                <c:ptCount val="45"/>
                <c:pt idx="0">
                  <c:v>42429</c:v>
                </c:pt>
                <c:pt idx="1">
                  <c:v>42430</c:v>
                </c:pt>
                <c:pt idx="2">
                  <c:v>42431</c:v>
                </c:pt>
                <c:pt idx="3">
                  <c:v>42432</c:v>
                </c:pt>
                <c:pt idx="4">
                  <c:v>42433</c:v>
                </c:pt>
                <c:pt idx="5">
                  <c:v>42434</c:v>
                </c:pt>
                <c:pt idx="6">
                  <c:v>42435</c:v>
                </c:pt>
                <c:pt idx="7">
                  <c:v>42436</c:v>
                </c:pt>
                <c:pt idx="8">
                  <c:v>42437</c:v>
                </c:pt>
                <c:pt idx="9">
                  <c:v>42438</c:v>
                </c:pt>
                <c:pt idx="10">
                  <c:v>42439</c:v>
                </c:pt>
                <c:pt idx="11">
                  <c:v>42440</c:v>
                </c:pt>
                <c:pt idx="12">
                  <c:v>42441</c:v>
                </c:pt>
                <c:pt idx="13">
                  <c:v>42442</c:v>
                </c:pt>
                <c:pt idx="14">
                  <c:v>42443</c:v>
                </c:pt>
                <c:pt idx="15">
                  <c:v>42444</c:v>
                </c:pt>
                <c:pt idx="16">
                  <c:v>42445</c:v>
                </c:pt>
                <c:pt idx="17">
                  <c:v>42446</c:v>
                </c:pt>
                <c:pt idx="18">
                  <c:v>42447</c:v>
                </c:pt>
                <c:pt idx="19">
                  <c:v>42448</c:v>
                </c:pt>
                <c:pt idx="20">
                  <c:v>42449</c:v>
                </c:pt>
                <c:pt idx="21">
                  <c:v>42450</c:v>
                </c:pt>
                <c:pt idx="22">
                  <c:v>42451</c:v>
                </c:pt>
                <c:pt idx="23">
                  <c:v>42452</c:v>
                </c:pt>
                <c:pt idx="24">
                  <c:v>42453</c:v>
                </c:pt>
                <c:pt idx="25">
                  <c:v>42454</c:v>
                </c:pt>
                <c:pt idx="26">
                  <c:v>42455</c:v>
                </c:pt>
                <c:pt idx="27">
                  <c:v>42456</c:v>
                </c:pt>
                <c:pt idx="28">
                  <c:v>42457</c:v>
                </c:pt>
                <c:pt idx="29">
                  <c:v>42458</c:v>
                </c:pt>
                <c:pt idx="30">
                  <c:v>42459</c:v>
                </c:pt>
                <c:pt idx="31">
                  <c:v>42460</c:v>
                </c:pt>
                <c:pt idx="32">
                  <c:v>42461</c:v>
                </c:pt>
                <c:pt idx="33">
                  <c:v>42462</c:v>
                </c:pt>
                <c:pt idx="34">
                  <c:v>42463</c:v>
                </c:pt>
                <c:pt idx="35">
                  <c:v>42464</c:v>
                </c:pt>
                <c:pt idx="36">
                  <c:v>42465</c:v>
                </c:pt>
                <c:pt idx="37">
                  <c:v>42466</c:v>
                </c:pt>
                <c:pt idx="38">
                  <c:v>42467</c:v>
                </c:pt>
                <c:pt idx="39">
                  <c:v>42468</c:v>
                </c:pt>
              </c:numCache>
            </c:numRef>
          </c:cat>
          <c:val>
            <c:numRef>
              <c:f>Operacional_10_dias!$B$24:$B$68</c:f>
              <c:numCache>
                <c:formatCode>0</c:formatCode>
                <c:ptCount val="45"/>
                <c:pt idx="0">
                  <c:v>1035.03556978713</c:v>
                </c:pt>
                <c:pt idx="1">
                  <c:v>894.423546771171</c:v>
                </c:pt>
                <c:pt idx="2">
                  <c:v>770.51679494953601</c:v>
                </c:pt>
                <c:pt idx="3">
                  <c:v>2008.20300002503</c:v>
                </c:pt>
                <c:pt idx="4">
                  <c:v>2064.5436128544702</c:v>
                </c:pt>
                <c:pt idx="5">
                  <c:v>1933.3914916014901</c:v>
                </c:pt>
                <c:pt idx="6">
                  <c:v>1700.6263589523101</c:v>
                </c:pt>
                <c:pt idx="7">
                  <c:v>1339.08532292257</c:v>
                </c:pt>
                <c:pt idx="8">
                  <c:v>1099.2439515618901</c:v>
                </c:pt>
                <c:pt idx="9">
                  <c:v>1180.2527855814201</c:v>
                </c:pt>
                <c:pt idx="10">
                  <c:v>1709.14781201286</c:v>
                </c:pt>
                <c:pt idx="11">
                  <c:v>2064.19808210052</c:v>
                </c:pt>
                <c:pt idx="12">
                  <c:v>2041.8017553371501</c:v>
                </c:pt>
                <c:pt idx="13">
                  <c:v>1897.4468000433001</c:v>
                </c:pt>
                <c:pt idx="14">
                  <c:v>1561.3107932038799</c:v>
                </c:pt>
                <c:pt idx="15">
                  <c:v>1289.2214994701901</c:v>
                </c:pt>
                <c:pt idx="16">
                  <c:v>1090.66473545695</c:v>
                </c:pt>
                <c:pt idx="17">
                  <c:v>929.17803163181395</c:v>
                </c:pt>
                <c:pt idx="18">
                  <c:v>832.586682242763</c:v>
                </c:pt>
                <c:pt idx="19">
                  <c:v>760.89026976625405</c:v>
                </c:pt>
                <c:pt idx="20">
                  <c:v>671.57040358134805</c:v>
                </c:pt>
                <c:pt idx="21">
                  <c:v>907.67806605403598</c:v>
                </c:pt>
                <c:pt idx="22">
                  <c:v>2079.9068913917499</c:v>
                </c:pt>
                <c:pt idx="23">
                  <c:v>2114</c:v>
                </c:pt>
                <c:pt idx="24">
                  <c:v>1609</c:v>
                </c:pt>
                <c:pt idx="25">
                  <c:v>1553</c:v>
                </c:pt>
                <c:pt idx="26">
                  <c:v>2283</c:v>
                </c:pt>
                <c:pt idx="27">
                  <c:v>2411</c:v>
                </c:pt>
                <c:pt idx="28">
                  <c:v>2110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6264-49F3-BEF9-1BF3D2D4A087}"/>
            </c:ext>
          </c:extLst>
        </c:ser>
        <c:ser>
          <c:idx val="2"/>
          <c:order val="2"/>
          <c:spPr>
            <a:ln w="25400">
              <a:solidFill>
                <a:srgbClr val="999933"/>
              </a:solidFill>
              <a:prstDash val="solid"/>
            </a:ln>
          </c:spPr>
          <c:marker>
            <c:symbol val="none"/>
          </c:marker>
          <c:cat>
            <c:numRef>
              <c:f>Operacional_10_dias!$A$24:$A$68</c:f>
              <c:numCache>
                <c:formatCode>m/d/yyyy</c:formatCode>
                <c:ptCount val="45"/>
                <c:pt idx="0">
                  <c:v>42429</c:v>
                </c:pt>
                <c:pt idx="1">
                  <c:v>42430</c:v>
                </c:pt>
                <c:pt idx="2">
                  <c:v>42431</c:v>
                </c:pt>
                <c:pt idx="3">
                  <c:v>42432</c:v>
                </c:pt>
                <c:pt idx="4">
                  <c:v>42433</c:v>
                </c:pt>
                <c:pt idx="5">
                  <c:v>42434</c:v>
                </c:pt>
                <c:pt idx="6">
                  <c:v>42435</c:v>
                </c:pt>
                <c:pt idx="7">
                  <c:v>42436</c:v>
                </c:pt>
                <c:pt idx="8">
                  <c:v>42437</c:v>
                </c:pt>
                <c:pt idx="9">
                  <c:v>42438</c:v>
                </c:pt>
                <c:pt idx="10">
                  <c:v>42439</c:v>
                </c:pt>
                <c:pt idx="11">
                  <c:v>42440</c:v>
                </c:pt>
                <c:pt idx="12">
                  <c:v>42441</c:v>
                </c:pt>
                <c:pt idx="13">
                  <c:v>42442</c:v>
                </c:pt>
                <c:pt idx="14">
                  <c:v>42443</c:v>
                </c:pt>
                <c:pt idx="15">
                  <c:v>42444</c:v>
                </c:pt>
                <c:pt idx="16">
                  <c:v>42445</c:v>
                </c:pt>
                <c:pt idx="17">
                  <c:v>42446</c:v>
                </c:pt>
                <c:pt idx="18">
                  <c:v>42447</c:v>
                </c:pt>
                <c:pt idx="19">
                  <c:v>42448</c:v>
                </c:pt>
                <c:pt idx="20">
                  <c:v>42449</c:v>
                </c:pt>
                <c:pt idx="21">
                  <c:v>42450</c:v>
                </c:pt>
                <c:pt idx="22">
                  <c:v>42451</c:v>
                </c:pt>
                <c:pt idx="23">
                  <c:v>42452</c:v>
                </c:pt>
                <c:pt idx="24">
                  <c:v>42453</c:v>
                </c:pt>
                <c:pt idx="25">
                  <c:v>42454</c:v>
                </c:pt>
                <c:pt idx="26">
                  <c:v>42455</c:v>
                </c:pt>
                <c:pt idx="27">
                  <c:v>42456</c:v>
                </c:pt>
                <c:pt idx="28">
                  <c:v>42457</c:v>
                </c:pt>
                <c:pt idx="29">
                  <c:v>42458</c:v>
                </c:pt>
                <c:pt idx="30">
                  <c:v>42459</c:v>
                </c:pt>
                <c:pt idx="31">
                  <c:v>42460</c:v>
                </c:pt>
                <c:pt idx="32">
                  <c:v>42461</c:v>
                </c:pt>
                <c:pt idx="33">
                  <c:v>42462</c:v>
                </c:pt>
                <c:pt idx="34">
                  <c:v>42463</c:v>
                </c:pt>
                <c:pt idx="35">
                  <c:v>42464</c:v>
                </c:pt>
                <c:pt idx="36">
                  <c:v>42465</c:v>
                </c:pt>
                <c:pt idx="37">
                  <c:v>42466</c:v>
                </c:pt>
                <c:pt idx="38">
                  <c:v>42467</c:v>
                </c:pt>
                <c:pt idx="39">
                  <c:v>42468</c:v>
                </c:pt>
              </c:numCache>
            </c:numRef>
          </c:cat>
          <c:val>
            <c:numRef>
              <c:f>Operacional_10_dias!$F$24:$F$68</c:f>
              <c:numCache>
                <c:formatCode>0.00</c:formatCode>
                <c:ptCount val="45"/>
                <c:pt idx="0">
                  <c:v>249.8449596097982</c:v>
                </c:pt>
                <c:pt idx="1">
                  <c:v>250.00754634773659</c:v>
                </c:pt>
                <c:pt idx="2">
                  <c:v>249.21185308259496</c:v>
                </c:pt>
                <c:pt idx="3">
                  <c:v>248.143835730674</c:v>
                </c:pt>
                <c:pt idx="4">
                  <c:v>247.52851275148947</c:v>
                </c:pt>
                <c:pt idx="5">
                  <c:v>251.76213945349801</c:v>
                </c:pt>
                <c:pt idx="6">
                  <c:v>258.79078079509446</c:v>
                </c:pt>
                <c:pt idx="7">
                  <c:v>265.75039767062344</c:v>
                </c:pt>
                <c:pt idx="8">
                  <c:v>270.8291002228458</c:v>
                </c:pt>
                <c:pt idx="9">
                  <c:v>273.75061278692425</c:v>
                </c:pt>
                <c:pt idx="10">
                  <c:v>275.87593399071278</c:v>
                </c:pt>
                <c:pt idx="11">
                  <c:v>279.834878425569</c:v>
                </c:pt>
                <c:pt idx="12">
                  <c:v>286.59828962859422</c:v>
                </c:pt>
                <c:pt idx="13">
                  <c:v>296.10649094486013</c:v>
                </c:pt>
                <c:pt idx="14">
                  <c:v>305.23046549854746</c:v>
                </c:pt>
                <c:pt idx="15">
                  <c:v>313.43087380556437</c:v>
                </c:pt>
                <c:pt idx="16">
                  <c:v>318.77118421592644</c:v>
                </c:pt>
                <c:pt idx="17">
                  <c:v>321.73633732982518</c:v>
                </c:pt>
                <c:pt idx="18">
                  <c:v>322.72809361252524</c:v>
                </c:pt>
                <c:pt idx="19">
                  <c:v>322.16022813526422</c:v>
                </c:pt>
                <c:pt idx="20">
                  <c:v>321.57019299747486</c:v>
                </c:pt>
                <c:pt idx="21">
                  <c:v>321.82918876354728</c:v>
                </c:pt>
                <c:pt idx="22">
                  <c:v>322.32107607714011</c:v>
                </c:pt>
                <c:pt idx="23">
                  <c:v>324.4469187804396</c:v>
                </c:pt>
                <c:pt idx="24">
                  <c:v>330.8304488518869</c:v>
                </c:pt>
                <c:pt idx="25">
                  <c:v>338.36449651818793</c:v>
                </c:pt>
                <c:pt idx="26">
                  <c:v>343.93605125661549</c:v>
                </c:pt>
                <c:pt idx="27">
                  <c:v>349.99296704631161</c:v>
                </c:pt>
                <c:pt idx="28">
                  <c:v>358.64357013483868</c:v>
                </c:pt>
                <c:pt idx="29">
                  <c:v>368.18781792913114</c:v>
                </c:pt>
                <c:pt idx="30">
                  <c:v>376.9762816713199</c:v>
                </c:pt>
                <c:pt idx="31">
                  <c:v>383.05338360716195</c:v>
                </c:pt>
                <c:pt idx="32">
                  <c:v>386.35939583785557</c:v>
                </c:pt>
                <c:pt idx="33">
                  <c:v>387.4448584922784</c:v>
                </c:pt>
                <c:pt idx="34">
                  <c:v>387.16628489664004</c:v>
                </c:pt>
                <c:pt idx="35">
                  <c:v>386.49150635962826</c:v>
                </c:pt>
                <c:pt idx="36">
                  <c:v>387.04589202032423</c:v>
                </c:pt>
                <c:pt idx="37">
                  <c:v>389.7104507746821</c:v>
                </c:pt>
                <c:pt idx="38">
                  <c:v>393.98252055265652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6264-49F3-BEF9-1BF3D2D4A08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64274912"/>
        <c:axId val="664278176"/>
      </c:lineChart>
      <c:dateAx>
        <c:axId val="664274912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Meses/anos</a:t>
                </a:r>
              </a:p>
            </c:rich>
          </c:tx>
          <c:layout>
            <c:manualLayout>
              <c:xMode val="edge"/>
              <c:yMode val="edge"/>
              <c:x val="0.48698459130603405"/>
              <c:y val="0.90562437590038092"/>
            </c:manualLayout>
          </c:layout>
          <c:overlay val="0"/>
        </c:title>
        <c:numFmt formatCode="[$-416]mmm\-yy;@" sourceLinked="0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-1500000" vert="horz"/>
          <a:lstStyle/>
          <a:p>
            <a:pPr>
              <a:defRPr/>
            </a:pPr>
            <a:endParaRPr lang="pt-BR"/>
          </a:p>
        </c:txPr>
        <c:crossAx val="664278176"/>
        <c:crosses val="autoZero"/>
        <c:auto val="0"/>
        <c:lblOffset val="100"/>
        <c:baseTimeUnit val="days"/>
        <c:majorUnit val="1"/>
        <c:majorTimeUnit val="months"/>
        <c:minorUnit val="1"/>
      </c:dateAx>
      <c:valAx>
        <c:axId val="664278176"/>
        <c:scaling>
          <c:orientation val="minMax"/>
          <c:min val="0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 sz="1600"/>
                </a:pPr>
                <a:r>
                  <a:rPr lang="pt-BR" sz="1600"/>
                  <a:t>Vazões (m³/s)</a:t>
                </a:r>
              </a:p>
            </c:rich>
          </c:tx>
          <c:layout>
            <c:manualLayout>
              <c:xMode val="edge"/>
              <c:yMode val="edge"/>
              <c:x val="5.3936113587626873E-5"/>
              <c:y val="0.3198800936316068"/>
            </c:manualLayout>
          </c:layout>
          <c:overlay val="0"/>
        </c:title>
        <c:numFmt formatCode="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/>
            </a:pPr>
            <a:endParaRPr lang="pt-BR"/>
          </a:p>
        </c:txPr>
        <c:crossAx val="664274912"/>
        <c:crosses val="autoZero"/>
        <c:crossBetween val="between"/>
      </c:valAx>
      <c:valAx>
        <c:axId val="664280352"/>
        <c:scaling>
          <c:orientation val="maxMin"/>
          <c:max val="150"/>
          <c:min val="0"/>
        </c:scaling>
        <c:delete val="0"/>
        <c:axPos val="r"/>
        <c:title>
          <c:tx>
            <c:rich>
              <a:bodyPr/>
              <a:lstStyle/>
              <a:p>
                <a:pPr>
                  <a:defRPr/>
                </a:pPr>
                <a:r>
                  <a:rPr lang="pt-BR"/>
                  <a:t>Precipitação</a:t>
                </a:r>
              </a:p>
            </c:rich>
          </c:tx>
          <c:layout>
            <c:manualLayout>
              <c:xMode val="edge"/>
              <c:yMode val="edge"/>
              <c:x val="0.98839002300740897"/>
              <c:y val="0.14803108771576381"/>
            </c:manualLayout>
          </c:layout>
          <c:overlay val="0"/>
        </c:title>
        <c:numFmt formatCode="0" sourceLinked="0"/>
        <c:majorTickMark val="out"/>
        <c:minorTickMark val="none"/>
        <c:tickLblPos val="nextTo"/>
        <c:crossAx val="664282528"/>
        <c:crosses val="max"/>
        <c:crossBetween val="between"/>
        <c:majorUnit val="10"/>
      </c:valAx>
      <c:catAx>
        <c:axId val="664282528"/>
        <c:scaling>
          <c:orientation val="minMax"/>
        </c:scaling>
        <c:delete val="1"/>
        <c:axPos val="t"/>
        <c:numFmt formatCode="mmm\-yy" sourceLinked="1"/>
        <c:majorTickMark val="out"/>
        <c:minorTickMark val="none"/>
        <c:tickLblPos val="nextTo"/>
        <c:crossAx val="664280352"/>
        <c:crosses val="autoZero"/>
        <c:auto val="0"/>
        <c:lblAlgn val="ctr"/>
        <c:lblOffset val="100"/>
        <c:noMultiLvlLbl val="1"/>
      </c:catAx>
      <c:spPr>
        <a:solidFill>
          <a:srgbClr val="FFFFFF"/>
        </a:solidFill>
        <a:ln w="12700">
          <a:solidFill>
            <a:srgbClr val="808080"/>
          </a:solidFill>
          <a:prstDash val="solid"/>
        </a:ln>
      </c:spPr>
    </c:plotArea>
    <c:legend>
      <c:legendPos val="r"/>
      <c:layout>
        <c:manualLayout>
          <c:xMode val="edge"/>
          <c:yMode val="edge"/>
          <c:x val="0"/>
          <c:y val="0.95975211573283337"/>
          <c:w val="1"/>
          <c:h val="4.0247884267166655E-2"/>
        </c:manualLayout>
      </c:layout>
      <c:overlay val="0"/>
      <c:spPr>
        <a:noFill/>
        <a:ln w="3175">
          <a:noFill/>
          <a:prstDash val="solid"/>
        </a:ln>
      </c:spPr>
    </c:legend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400" b="0" i="0" u="none" strike="noStrike" baseline="0">
          <a:solidFill>
            <a:srgbClr val="000000"/>
          </a:solidFill>
          <a:latin typeface="Times New Roman" panose="02020603050405020304" pitchFamily="18" charset="0"/>
          <a:ea typeface="Arial"/>
          <a:cs typeface="Times New Roman" panose="02020603050405020304" pitchFamily="18" charset="0"/>
        </a:defRPr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lang="en-US"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r>
              <a:rPr lang="pt-BR"/>
              <a:t>Erro %</a:t>
            </a:r>
          </a:p>
        </c:rich>
      </c:tx>
      <c:layout>
        <c:manualLayout>
          <c:xMode val="edge"/>
          <c:yMode val="edge"/>
          <c:x val="0.13793125714567911"/>
          <c:y val="3.913954375881061E-2"/>
        </c:manualLayout>
      </c:layout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0.132822684721668"/>
          <c:y val="0.23483590344360997"/>
          <c:w val="0.85313032109687004"/>
          <c:h val="0.65754052964210941"/>
        </c:manualLayout>
      </c:layout>
      <c:lineChart>
        <c:grouping val="standard"/>
        <c:varyColors val="0"/>
        <c:ser>
          <c:idx val="0"/>
          <c:order val="0"/>
          <c:spPr>
            <a:ln w="12700">
              <a:solidFill>
                <a:srgbClr val="000080"/>
              </a:solidFill>
              <a:prstDash val="solid"/>
            </a:ln>
          </c:spPr>
          <c:marker>
            <c:symbol val="none"/>
          </c:marker>
          <c:cat>
            <c:numRef>
              <c:f>Operacional_10_dias!$A$22:$A$47</c:f>
              <c:numCache>
                <c:formatCode>m/d/yyyy</c:formatCode>
                <c:ptCount val="26"/>
                <c:pt idx="0">
                  <c:v>42427</c:v>
                </c:pt>
                <c:pt idx="1">
                  <c:v>42428</c:v>
                </c:pt>
                <c:pt idx="2">
                  <c:v>42429</c:v>
                </c:pt>
                <c:pt idx="3">
                  <c:v>42430</c:v>
                </c:pt>
                <c:pt idx="4">
                  <c:v>42431</c:v>
                </c:pt>
                <c:pt idx="5">
                  <c:v>42432</c:v>
                </c:pt>
                <c:pt idx="6">
                  <c:v>42433</c:v>
                </c:pt>
                <c:pt idx="7">
                  <c:v>42434</c:v>
                </c:pt>
                <c:pt idx="8">
                  <c:v>42435</c:v>
                </c:pt>
                <c:pt idx="9">
                  <c:v>42436</c:v>
                </c:pt>
                <c:pt idx="10">
                  <c:v>42437</c:v>
                </c:pt>
                <c:pt idx="11">
                  <c:v>42438</c:v>
                </c:pt>
                <c:pt idx="12">
                  <c:v>42439</c:v>
                </c:pt>
                <c:pt idx="13">
                  <c:v>42440</c:v>
                </c:pt>
                <c:pt idx="14">
                  <c:v>42441</c:v>
                </c:pt>
                <c:pt idx="15">
                  <c:v>42442</c:v>
                </c:pt>
                <c:pt idx="16">
                  <c:v>42443</c:v>
                </c:pt>
                <c:pt idx="17">
                  <c:v>42444</c:v>
                </c:pt>
                <c:pt idx="18">
                  <c:v>42445</c:v>
                </c:pt>
                <c:pt idx="19">
                  <c:v>42446</c:v>
                </c:pt>
                <c:pt idx="20">
                  <c:v>42447</c:v>
                </c:pt>
                <c:pt idx="21">
                  <c:v>42448</c:v>
                </c:pt>
                <c:pt idx="22">
                  <c:v>42449</c:v>
                </c:pt>
                <c:pt idx="23">
                  <c:v>42450</c:v>
                </c:pt>
                <c:pt idx="24">
                  <c:v>42451</c:v>
                </c:pt>
                <c:pt idx="25">
                  <c:v>42452</c:v>
                </c:pt>
              </c:numCache>
            </c:numRef>
          </c:cat>
          <c:val>
            <c:numRef>
              <c:f>Operacional_10_dias!$C$22:$C$47</c:f>
              <c:numCache>
                <c:formatCode>0.00</c:formatCode>
                <c:ptCount val="26"/>
                <c:pt idx="2">
                  <c:v>1.9320904696515425E-4</c:v>
                </c:pt>
                <c:pt idx="3">
                  <c:v>1.2366162118570292E-3</c:v>
                </c:pt>
                <c:pt idx="4">
                  <c:v>2.1737215230292778E-4</c:v>
                </c:pt>
                <c:pt idx="5">
                  <c:v>1.243132393040255E-5</c:v>
                </c:pt>
                <c:pt idx="6">
                  <c:v>1.4887478678581607E-2</c:v>
                </c:pt>
                <c:pt idx="7">
                  <c:v>6.6330040222668834E-5</c:v>
                </c:pt>
                <c:pt idx="8">
                  <c:v>9.4485644839026849E-3</c:v>
                </c:pt>
                <c:pt idx="9">
                  <c:v>7.1599776225109739E-3</c:v>
                </c:pt>
                <c:pt idx="10">
                  <c:v>7.7253197606676231E-3</c:v>
                </c:pt>
                <c:pt idx="11">
                  <c:v>7.9285715576180203E-7</c:v>
                </c:pt>
                <c:pt idx="12">
                  <c:v>3.4132029782806381E-7</c:v>
                </c:pt>
                <c:pt idx="13">
                  <c:v>3.3187819612905463E-2</c:v>
                </c:pt>
                <c:pt idx="14">
                  <c:v>1.188299459431427E-3</c:v>
                </c:pt>
                <c:pt idx="15">
                  <c:v>4.3190846204540041E-3</c:v>
                </c:pt>
                <c:pt idx="16">
                  <c:v>8.6914615930283792E-3</c:v>
                </c:pt>
                <c:pt idx="17">
                  <c:v>1.1895529924825867E-2</c:v>
                </c:pt>
                <c:pt idx="18">
                  <c:v>1.7380600157408266E-2</c:v>
                </c:pt>
                <c:pt idx="19">
                  <c:v>2.1130631354135062E-2</c:v>
                </c:pt>
                <c:pt idx="20">
                  <c:v>1.6260528416143664E-2</c:v>
                </c:pt>
                <c:pt idx="21">
                  <c:v>7.0971849222414083E-6</c:v>
                </c:pt>
                <c:pt idx="22">
                  <c:v>5.3499514772770264E-3</c:v>
                </c:pt>
                <c:pt idx="23">
                  <c:v>2.7171349160104145E-9</c:v>
                </c:pt>
                <c:pt idx="24">
                  <c:v>4.3467424753388476E-8</c:v>
                </c:pt>
                <c:pt idx="25">
                  <c:v>4.1305152598087024E-4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DFAC-42D5-9E04-FA4548AFB8B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664276544"/>
        <c:axId val="664274368"/>
      </c:lineChart>
      <c:dateAx>
        <c:axId val="664276544"/>
        <c:scaling>
          <c:orientation val="minMax"/>
        </c:scaling>
        <c:delete val="0"/>
        <c:axPos val="b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mmm/yy" sourceLinked="0"/>
        <c:majorTickMark val="out"/>
        <c:minorTickMark val="none"/>
        <c:tickLblPos val="low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lang="en-US"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pt-BR"/>
          </a:p>
        </c:txPr>
        <c:crossAx val="664274368"/>
        <c:crosses val="autoZero"/>
        <c:auto val="1"/>
        <c:lblOffset val="100"/>
        <c:baseTimeUnit val="months"/>
        <c:majorUnit val="1"/>
        <c:majorTimeUnit val="years"/>
      </c:dateAx>
      <c:valAx>
        <c:axId val="664274368"/>
        <c:scaling>
          <c:orientation val="minMax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0.0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lang="en-US"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pt-BR"/>
          </a:p>
        </c:txPr>
        <c:crossAx val="664276544"/>
        <c:crosses val="autoZero"/>
        <c:crossBetween val="between"/>
      </c:valAx>
      <c:spPr>
        <a:solidFill>
          <a:srgbClr val="FFFFFF"/>
        </a:solidFill>
        <a:ln w="12700">
          <a:solidFill>
            <a:srgbClr val="808080"/>
          </a:solidFill>
          <a:prstDash val="solid"/>
        </a:ln>
      </c:spPr>
    </c:plotArea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8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pt-BR"/>
    </a:p>
  </c:txPr>
  <c:printSettings>
    <c:headerFooter alignWithMargins="0"/>
    <c:pageMargins b="0.98425196899999956" l="0.78740157499999996" r="0.78740157499999996" t="0.98425196899999956" header="0.49212598500000138" footer="0.49212598500000138"/>
    <c:pageSetup/>
  </c:printSettings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3537696712016201"/>
          <c:y val="0.126050420168067"/>
          <c:w val="0.82503321471344004"/>
          <c:h val="0.61344537815125999"/>
        </c:manualLayout>
      </c:layout>
      <c:barChart>
        <c:barDir val="col"/>
        <c:grouping val="clustered"/>
        <c:varyColors val="0"/>
        <c:ser>
          <c:idx val="0"/>
          <c:order val="0"/>
          <c:spPr>
            <a:solidFill>
              <a:srgbClr val="8080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val>
            <c:numRef>
              <c:f>Operacional_10_dias!$AB$22:$AB$47</c:f>
              <c:numCache>
                <c:formatCode>0.0</c:formatCode>
                <c:ptCount val="26"/>
                <c:pt idx="0">
                  <c:v>14.849999999999994</c:v>
                </c:pt>
                <c:pt idx="1">
                  <c:v>3.0499999999999994</c:v>
                </c:pt>
                <c:pt idx="2">
                  <c:v>0.45999999999999996</c:v>
                </c:pt>
                <c:pt idx="3">
                  <c:v>0.24000000000000002</c:v>
                </c:pt>
                <c:pt idx="4">
                  <c:v>9.3000000000000025</c:v>
                </c:pt>
                <c:pt idx="5">
                  <c:v>31.29</c:v>
                </c:pt>
                <c:pt idx="6">
                  <c:v>4.3499999999999996</c:v>
                </c:pt>
                <c:pt idx="7">
                  <c:v>1.3199999999999998</c:v>
                </c:pt>
                <c:pt idx="8">
                  <c:v>0.41000000000000009</c:v>
                </c:pt>
                <c:pt idx="9">
                  <c:v>0.32</c:v>
                </c:pt>
                <c:pt idx="10">
                  <c:v>6.9999999999999979E-2</c:v>
                </c:pt>
                <c:pt idx="11">
                  <c:v>9.34</c:v>
                </c:pt>
                <c:pt idx="12">
                  <c:v>23.519999999999989</c:v>
                </c:pt>
                <c:pt idx="13">
                  <c:v>3.0900000000000012</c:v>
                </c:pt>
                <c:pt idx="14">
                  <c:v>2.86</c:v>
                </c:pt>
                <c:pt idx="15">
                  <c:v>0.73000000000000009</c:v>
                </c:pt>
                <c:pt idx="16">
                  <c:v>0.59000000000000008</c:v>
                </c:pt>
                <c:pt idx="17">
                  <c:v>6.9999999999999979E-2</c:v>
                </c:pt>
                <c:pt idx="18">
                  <c:v>0.13000000000000003</c:v>
                </c:pt>
                <c:pt idx="19">
                  <c:v>6.0000000000000005E-2</c:v>
                </c:pt>
                <c:pt idx="20">
                  <c:v>9.9999999999999964E-2</c:v>
                </c:pt>
                <c:pt idx="21">
                  <c:v>12.710000000000003</c:v>
                </c:pt>
                <c:pt idx="22">
                  <c:v>2.6999999999999993</c:v>
                </c:pt>
                <c:pt idx="23">
                  <c:v>24.95000000000001</c:v>
                </c:pt>
                <c:pt idx="24">
                  <c:v>18.129999999999992</c:v>
                </c:pt>
                <c:pt idx="25">
                  <c:v>0.83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FC1-4245-9543-9DA07940F73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664275456"/>
        <c:axId val="664276000"/>
      </c:barChart>
      <c:catAx>
        <c:axId val="664275456"/>
        <c:scaling>
          <c:orientation val="minMax"/>
        </c:scaling>
        <c:delete val="0"/>
        <c:axPos val="b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lang="en-US" sz="85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pt-BR"/>
          </a:p>
        </c:txPr>
        <c:crossAx val="664276000"/>
        <c:crosses val="autoZero"/>
        <c:auto val="1"/>
        <c:lblAlgn val="ctr"/>
        <c:lblOffset val="100"/>
        <c:tickLblSkip val="12"/>
        <c:tickMarkSkip val="12"/>
        <c:noMultiLvlLbl val="0"/>
      </c:catAx>
      <c:valAx>
        <c:axId val="664276000"/>
        <c:scaling>
          <c:orientation val="minMax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0.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lang="en-US" sz="85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pt-BR"/>
          </a:p>
        </c:txPr>
        <c:crossAx val="664275456"/>
        <c:crosses val="autoZero"/>
        <c:crossBetween val="between"/>
        <c:majorUnit val="100"/>
      </c:valAx>
      <c:spPr>
        <a:solidFill>
          <a:srgbClr val="FFFFFF"/>
        </a:solidFill>
        <a:ln w="12700">
          <a:solidFill>
            <a:srgbClr val="808080"/>
          </a:solidFill>
          <a:prstDash val="solid"/>
        </a:ln>
      </c:spPr>
    </c:plotArea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8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pt-BR"/>
    </a:p>
  </c:txPr>
  <c:printSettings>
    <c:headerFooter alignWithMargins="0"/>
    <c:pageMargins b="0.98425196899999956" l="0.78740157499999996" r="0.78740157499999996" t="0.98425196899999956" header="0.49212598500000138" footer="0.49212598500000138"/>
    <c:pageSetup/>
  </c:printSettings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3.8686054527631776E-2"/>
          <c:y val="1.8441611207267821E-2"/>
          <c:w val="0.93929695249120826"/>
          <c:h val="0.91855878696277515"/>
        </c:manualLayout>
      </c:layout>
      <c:scatterChart>
        <c:scatterStyle val="lineMarker"/>
        <c:varyColors val="0"/>
        <c:ser>
          <c:idx val="0"/>
          <c:order val="0"/>
          <c:spPr>
            <a:ln w="28575">
              <a:noFill/>
            </a:ln>
          </c:spPr>
          <c:marker>
            <c:symbol val="diamond"/>
            <c:size val="5"/>
            <c:spPr>
              <a:solidFill>
                <a:srgbClr val="000080"/>
              </a:solidFill>
              <a:ln>
                <a:solidFill>
                  <a:srgbClr val="000080"/>
                </a:solidFill>
                <a:prstDash val="solid"/>
              </a:ln>
            </c:spPr>
          </c:marker>
          <c:trendline>
            <c:spPr>
              <a:ln w="12700">
                <a:solidFill>
                  <a:srgbClr val="FF0000"/>
                </a:solidFill>
                <a:prstDash val="solid"/>
              </a:ln>
            </c:spPr>
            <c:trendlineType val="linear"/>
            <c:dispRSqr val="1"/>
            <c:dispEq val="1"/>
            <c:trendlineLbl>
              <c:layout>
                <c:manualLayout>
                  <c:x val="-0.14035741661870191"/>
                  <c:y val="-0.2573605261689062"/>
                </c:manualLayout>
              </c:layout>
              <c:numFmt formatCode="General" sourceLinked="0"/>
              <c:spPr>
                <a:noFill/>
                <a:ln w="25400">
                  <a:noFill/>
                </a:ln>
              </c:spPr>
              <c:txPr>
                <a:bodyPr/>
                <a:lstStyle/>
                <a:p>
                  <a:pPr algn="ctr" rtl="1">
                    <a:defRPr/>
                  </a:pPr>
                  <a:endParaRPr lang="pt-BR"/>
                </a:p>
              </c:txPr>
            </c:trendlineLbl>
          </c:trendline>
          <c:xVal>
            <c:numRef>
              <c:f>Operacional_15_dias!$E$22:$E$47</c:f>
              <c:numCache>
                <c:formatCode>0</c:formatCode>
                <c:ptCount val="26"/>
                <c:pt idx="2">
                  <c:v>1049.422528724215</c:v>
                </c:pt>
                <c:pt idx="3">
                  <c:v>862.97064693653431</c:v>
                </c:pt>
                <c:pt idx="4">
                  <c:v>781.87694485499287</c:v>
                </c:pt>
                <c:pt idx="5">
                  <c:v>2015.2835387628393</c:v>
                </c:pt>
                <c:pt idx="6">
                  <c:v>2316.447365852468</c:v>
                </c:pt>
                <c:pt idx="7">
                  <c:v>1949.1376615096544</c:v>
                </c:pt>
                <c:pt idx="8">
                  <c:v>1535.3191391419666</c:v>
                </c:pt>
                <c:pt idx="9">
                  <c:v>1225.7764075248226</c:v>
                </c:pt>
                <c:pt idx="10">
                  <c:v>1002.62722551921</c:v>
                </c:pt>
                <c:pt idx="11">
                  <c:v>1181.3037124829168</c:v>
                </c:pt>
                <c:pt idx="12">
                  <c:v>1710.1463410102242</c:v>
                </c:pt>
                <c:pt idx="13">
                  <c:v>2440.2438718612666</c:v>
                </c:pt>
                <c:pt idx="14">
                  <c:v>2112.1861731406452</c:v>
                </c:pt>
                <c:pt idx="15">
                  <c:v>1772.7470839815267</c:v>
                </c:pt>
                <c:pt idx="16">
                  <c:v>1415.7528971016848</c:v>
                </c:pt>
                <c:pt idx="17">
                  <c:v>1148.6104543408542</c:v>
                </c:pt>
                <c:pt idx="18">
                  <c:v>946.87640018726324</c:v>
                </c:pt>
                <c:pt idx="19">
                  <c:v>794.10919165361429</c:v>
                </c:pt>
                <c:pt idx="20">
                  <c:v>726.41791195110068</c:v>
                </c:pt>
                <c:pt idx="21">
                  <c:v>758.86321682710786</c:v>
                </c:pt>
                <c:pt idx="22">
                  <c:v>720.69132105233962</c:v>
                </c:pt>
                <c:pt idx="23">
                  <c:v>907.72537981185394</c:v>
                </c:pt>
                <c:pt idx="24">
                  <c:v>2080.3405279106382</c:v>
                </c:pt>
                <c:pt idx="25">
                  <c:v>2071.0357635072796</c:v>
                </c:pt>
              </c:numCache>
            </c:numRef>
          </c:xVal>
          <c:yVal>
            <c:numRef>
              <c:f>Operacional_15_dias!$B$22:$B$47</c:f>
              <c:numCache>
                <c:formatCode>0</c:formatCode>
                <c:ptCount val="26"/>
                <c:pt idx="0">
                  <c:v>1041.38518966268</c:v>
                </c:pt>
                <c:pt idx="1">
                  <c:v>1128.6026205929199</c:v>
                </c:pt>
                <c:pt idx="2">
                  <c:v>1035.03556978713</c:v>
                </c:pt>
                <c:pt idx="3">
                  <c:v>894.423546771171</c:v>
                </c:pt>
                <c:pt idx="4">
                  <c:v>770.51679494953601</c:v>
                </c:pt>
                <c:pt idx="5">
                  <c:v>2008.20300002503</c:v>
                </c:pt>
                <c:pt idx="6">
                  <c:v>2064.5436128544702</c:v>
                </c:pt>
                <c:pt idx="7">
                  <c:v>1933.3914916014901</c:v>
                </c:pt>
                <c:pt idx="8">
                  <c:v>1700.6263589523101</c:v>
                </c:pt>
                <c:pt idx="9">
                  <c:v>1339.08532292257</c:v>
                </c:pt>
                <c:pt idx="10">
                  <c:v>1099.2439515618901</c:v>
                </c:pt>
                <c:pt idx="11">
                  <c:v>1180.2527855814201</c:v>
                </c:pt>
                <c:pt idx="12">
                  <c:v>1709.14781201286</c:v>
                </c:pt>
                <c:pt idx="13">
                  <c:v>2064.19808210052</c:v>
                </c:pt>
                <c:pt idx="14">
                  <c:v>2041.8017553371501</c:v>
                </c:pt>
                <c:pt idx="15">
                  <c:v>1897.4468000433001</c:v>
                </c:pt>
                <c:pt idx="16">
                  <c:v>1561.3107932038799</c:v>
                </c:pt>
                <c:pt idx="17">
                  <c:v>1289.2214994701901</c:v>
                </c:pt>
                <c:pt idx="18">
                  <c:v>1090.66473545695</c:v>
                </c:pt>
                <c:pt idx="19">
                  <c:v>929.17803163181395</c:v>
                </c:pt>
                <c:pt idx="20">
                  <c:v>832.586682242763</c:v>
                </c:pt>
                <c:pt idx="21">
                  <c:v>760.89026976625405</c:v>
                </c:pt>
                <c:pt idx="22">
                  <c:v>671.57040358134805</c:v>
                </c:pt>
                <c:pt idx="23">
                  <c:v>907.67806605403598</c:v>
                </c:pt>
                <c:pt idx="24">
                  <c:v>2079.9068913917499</c:v>
                </c:pt>
                <c:pt idx="25">
                  <c:v>2114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C84D-4E06-A475-3C7246565B9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64284160"/>
        <c:axId val="565009936"/>
      </c:scatterChart>
      <c:valAx>
        <c:axId val="664284160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/>
            </a:pPr>
            <a:endParaRPr lang="pt-BR"/>
          </a:p>
        </c:txPr>
        <c:crossAx val="565009936"/>
        <c:crosses val="autoZero"/>
        <c:crossBetween val="midCat"/>
      </c:valAx>
      <c:valAx>
        <c:axId val="565009936"/>
        <c:scaling>
          <c:orientation val="minMax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/>
            </a:pPr>
            <a:endParaRPr lang="pt-BR"/>
          </a:p>
        </c:txPr>
        <c:crossAx val="664284160"/>
        <c:crosses val="autoZero"/>
        <c:crossBetween val="midCat"/>
      </c:valAx>
      <c:spPr>
        <a:solidFill>
          <a:srgbClr val="FFFFFF"/>
        </a:solidFill>
        <a:ln w="12700">
          <a:solidFill>
            <a:srgbClr val="808080"/>
          </a:solidFill>
          <a:prstDash val="solid"/>
        </a:ln>
      </c:spPr>
    </c:plotArea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9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pt-BR"/>
    </a:p>
  </c:txPr>
  <c:printSettings>
    <c:headerFooter alignWithMargins="0"/>
    <c:pageMargins b="0.98425196899999956" l="0.78740157499999996" r="0.78740157499999996" t="0.98425196899999956" header="0.49212598500000138" footer="0.49212598500000138"/>
    <c:pageSetup/>
  </c:printSettings>
</c:chartSpace>
</file>

<file path=xl/charts/chart1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pt-BR"/>
              <a:t>Diferenças em relação a média acumuladas</a:t>
            </a:r>
          </a:p>
        </c:rich>
      </c:tx>
      <c:layout>
        <c:manualLayout>
          <c:xMode val="edge"/>
          <c:yMode val="edge"/>
          <c:x val="0.2219770432887509"/>
          <c:y val="2.3781540581763735E-2"/>
        </c:manualLayout>
      </c:layout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0.13001291009204399"/>
          <c:y val="9.4845844121725947E-2"/>
          <c:w val="0.81855903124945095"/>
          <c:h val="0.83653144381896405"/>
        </c:manualLayout>
      </c:layout>
      <c:scatterChart>
        <c:scatterStyle val="lineMarker"/>
        <c:varyColors val="0"/>
        <c:ser>
          <c:idx val="0"/>
          <c:order val="0"/>
          <c:spPr>
            <a:ln w="12700">
              <a:solidFill>
                <a:srgbClr val="FF0000"/>
              </a:solidFill>
              <a:prstDash val="solid"/>
            </a:ln>
          </c:spPr>
          <c:marker>
            <c:symbol val="none"/>
          </c:marker>
          <c:yVal>
            <c:numRef>
              <c:f>Operacional_15_dias!$AV$24:$AV$68</c:f>
              <c:numCache>
                <c:formatCode>0</c:formatCode>
                <c:ptCount val="45"/>
                <c:pt idx="0">
                  <c:v>-1</c:v>
                </c:pt>
                <c:pt idx="1">
                  <c:v>-2</c:v>
                </c:pt>
                <c:pt idx="2">
                  <c:v>-3</c:v>
                </c:pt>
                <c:pt idx="3">
                  <c:v>-4</c:v>
                </c:pt>
                <c:pt idx="4">
                  <c:v>-5</c:v>
                </c:pt>
                <c:pt idx="5">
                  <c:v>-6</c:v>
                </c:pt>
                <c:pt idx="6">
                  <c:v>-7</c:v>
                </c:pt>
                <c:pt idx="7">
                  <c:v>-8</c:v>
                </c:pt>
                <c:pt idx="8">
                  <c:v>-9</c:v>
                </c:pt>
                <c:pt idx="9">
                  <c:v>-10</c:v>
                </c:pt>
                <c:pt idx="10">
                  <c:v>-11</c:v>
                </c:pt>
                <c:pt idx="11">
                  <c:v>-12</c:v>
                </c:pt>
                <c:pt idx="12">
                  <c:v>-13</c:v>
                </c:pt>
                <c:pt idx="13">
                  <c:v>-14</c:v>
                </c:pt>
                <c:pt idx="14">
                  <c:v>-15</c:v>
                </c:pt>
                <c:pt idx="15">
                  <c:v>-16</c:v>
                </c:pt>
                <c:pt idx="16">
                  <c:v>-17</c:v>
                </c:pt>
                <c:pt idx="17">
                  <c:v>-18</c:v>
                </c:pt>
                <c:pt idx="18">
                  <c:v>-19</c:v>
                </c:pt>
                <c:pt idx="19">
                  <c:v>-20</c:v>
                </c:pt>
                <c:pt idx="20">
                  <c:v>-21</c:v>
                </c:pt>
                <c:pt idx="21">
                  <c:v>-22</c:v>
                </c:pt>
                <c:pt idx="22">
                  <c:v>-23</c:v>
                </c:pt>
                <c:pt idx="23">
                  <c:v>-24</c:v>
                </c:pt>
                <c:pt idx="24">
                  <c:v>-25</c:v>
                </c:pt>
                <c:pt idx="25">
                  <c:v>-26</c:v>
                </c:pt>
                <c:pt idx="26">
                  <c:v>-27</c:v>
                </c:pt>
                <c:pt idx="27">
                  <c:v>-28</c:v>
                </c:pt>
                <c:pt idx="28">
                  <c:v>-29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F38B-403E-A8AC-E50D996C890E}"/>
            </c:ext>
          </c:extLst>
        </c:ser>
        <c:ser>
          <c:idx val="1"/>
          <c:order val="1"/>
          <c:spPr>
            <a:ln w="12700">
              <a:solidFill>
                <a:srgbClr val="0000FF"/>
              </a:solidFill>
              <a:prstDash val="solid"/>
            </a:ln>
          </c:spPr>
          <c:marker>
            <c:symbol val="none"/>
          </c:marker>
          <c:yVal>
            <c:numRef>
              <c:f>Operacional_15_dias!$AW$24:$AW$68</c:f>
              <c:numCache>
                <c:formatCode>0</c:formatCode>
                <c:ptCount val="45"/>
                <c:pt idx="0">
                  <c:v>-83.416743301196561</c:v>
                </c:pt>
                <c:pt idx="1">
                  <c:v>-83.254156563258164</c:v>
                </c:pt>
                <c:pt idx="2">
                  <c:v>-84.0498498283998</c:v>
                </c:pt>
                <c:pt idx="3">
                  <c:v>-85.117867180320758</c:v>
                </c:pt>
                <c:pt idx="4">
                  <c:v>-85.733190159505284</c:v>
                </c:pt>
                <c:pt idx="5">
                  <c:v>-81.499563457496748</c:v>
                </c:pt>
                <c:pt idx="6">
                  <c:v>-74.470922115900294</c:v>
                </c:pt>
                <c:pt idx="7">
                  <c:v>-67.511305240371314</c:v>
                </c:pt>
                <c:pt idx="8">
                  <c:v>-62.432602688148961</c:v>
                </c:pt>
                <c:pt idx="9">
                  <c:v>-59.511090124070506</c:v>
                </c:pt>
                <c:pt idx="10">
                  <c:v>-57.385768920281976</c:v>
                </c:pt>
                <c:pt idx="11">
                  <c:v>-53.426824485425755</c:v>
                </c:pt>
                <c:pt idx="12">
                  <c:v>-46.663413282400541</c:v>
                </c:pt>
                <c:pt idx="13">
                  <c:v>-37.15521196613463</c:v>
                </c:pt>
                <c:pt idx="14">
                  <c:v>-28.031237412447297</c:v>
                </c:pt>
                <c:pt idx="15">
                  <c:v>-19.830829105430382</c:v>
                </c:pt>
                <c:pt idx="16">
                  <c:v>-14.490518695068317</c:v>
                </c:pt>
                <c:pt idx="17">
                  <c:v>-11.525365581169581</c:v>
                </c:pt>
                <c:pt idx="18">
                  <c:v>-10.533609298469514</c:v>
                </c:pt>
                <c:pt idx="19">
                  <c:v>-11.101474775730537</c:v>
                </c:pt>
                <c:pt idx="20">
                  <c:v>-11.691509913519894</c:v>
                </c:pt>
                <c:pt idx="21">
                  <c:v>-11.432514147447478</c:v>
                </c:pt>
                <c:pt idx="22">
                  <c:v>-10.940626833854651</c:v>
                </c:pt>
                <c:pt idx="23">
                  <c:v>-8.8147841305551538</c:v>
                </c:pt>
                <c:pt idx="24">
                  <c:v>-2.4312540591078573</c:v>
                </c:pt>
                <c:pt idx="25">
                  <c:v>5.1027936071931776</c:v>
                </c:pt>
                <c:pt idx="26">
                  <c:v>10.674348345620729</c:v>
                </c:pt>
                <c:pt idx="27">
                  <c:v>16.731264135316849</c:v>
                </c:pt>
                <c:pt idx="28">
                  <c:v>25.381867223843926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F38B-403E-A8AC-E50D996C890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65013200"/>
        <c:axId val="565007216"/>
      </c:scatterChart>
      <c:valAx>
        <c:axId val="565013200"/>
        <c:scaling>
          <c:orientation val="minMax"/>
          <c:max val="700"/>
        </c:scaling>
        <c:delete val="0"/>
        <c:axPos val="b"/>
        <c:numFmt formatCode="m/d/yyyy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/>
            </a:pPr>
            <a:endParaRPr lang="pt-BR"/>
          </a:p>
        </c:txPr>
        <c:crossAx val="565007216"/>
        <c:crosses val="autoZero"/>
        <c:crossBetween val="midCat"/>
        <c:minorUnit val="12"/>
      </c:valAx>
      <c:valAx>
        <c:axId val="565007216"/>
        <c:scaling>
          <c:orientation val="minMax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/>
            </a:pPr>
            <a:endParaRPr lang="pt-BR"/>
          </a:p>
        </c:txPr>
        <c:crossAx val="565013200"/>
        <c:crosses val="autoZero"/>
        <c:crossBetween val="midCat"/>
      </c:valAx>
      <c:spPr>
        <a:solidFill>
          <a:srgbClr val="FFFFFF"/>
        </a:solidFill>
        <a:ln w="12700">
          <a:solidFill>
            <a:srgbClr val="808080"/>
          </a:solidFill>
          <a:prstDash val="solid"/>
        </a:ln>
      </c:spPr>
    </c:plotArea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9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pt-BR"/>
    </a:p>
  </c:txPr>
  <c:printSettings>
    <c:headerFooter alignWithMargins="0"/>
    <c:pageMargins b="0.98425196899999956" l="0.78740157499999996" r="0.78740157499999996" t="0.98425196899999956" header="0.49212598500000138" footer="0.49212598500000138"/>
    <c:pageSetup/>
  </c:printSettings>
</c:chartSpace>
</file>

<file path=xl/charts/chart1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pt-BR"/>
              <a:t>Teste de Sinal</a:t>
            </a:r>
          </a:p>
        </c:rich>
      </c:tx>
      <c:layout>
        <c:manualLayout>
          <c:xMode val="edge"/>
          <c:yMode val="edge"/>
          <c:x val="0.37292082501663437"/>
          <c:y val="4.2463377198957424E-2"/>
        </c:manualLayout>
      </c:layout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0.10669644740660811"/>
          <c:y val="0.16133321003079937"/>
          <c:w val="0.87500578525393113"/>
          <c:h val="0.7158674188121239"/>
        </c:manualLayout>
      </c:layout>
      <c:scatterChart>
        <c:scatterStyle val="smoothMarker"/>
        <c:varyColors val="0"/>
        <c:ser>
          <c:idx val="0"/>
          <c:order val="0"/>
          <c:spPr>
            <a:ln w="12700">
              <a:solidFill>
                <a:srgbClr val="000080"/>
              </a:solidFill>
              <a:prstDash val="solid"/>
            </a:ln>
          </c:spPr>
          <c:marker>
            <c:symbol val="none"/>
          </c:marker>
          <c:xVal>
            <c:numRef>
              <c:f>Operacional_15_dias!$A$24:$A$68</c:f>
              <c:numCache>
                <c:formatCode>m/d/yyyy</c:formatCode>
                <c:ptCount val="45"/>
                <c:pt idx="0">
                  <c:v>42429</c:v>
                </c:pt>
                <c:pt idx="1">
                  <c:v>42430</c:v>
                </c:pt>
                <c:pt idx="2">
                  <c:v>42431</c:v>
                </c:pt>
                <c:pt idx="3">
                  <c:v>42432</c:v>
                </c:pt>
                <c:pt idx="4">
                  <c:v>42433</c:v>
                </c:pt>
                <c:pt idx="5">
                  <c:v>42434</c:v>
                </c:pt>
                <c:pt idx="6">
                  <c:v>42435</c:v>
                </c:pt>
                <c:pt idx="7">
                  <c:v>42436</c:v>
                </c:pt>
                <c:pt idx="8">
                  <c:v>42437</c:v>
                </c:pt>
                <c:pt idx="9">
                  <c:v>42438</c:v>
                </c:pt>
                <c:pt idx="10">
                  <c:v>42439</c:v>
                </c:pt>
                <c:pt idx="11">
                  <c:v>42440</c:v>
                </c:pt>
                <c:pt idx="12">
                  <c:v>42441</c:v>
                </c:pt>
                <c:pt idx="13">
                  <c:v>42442</c:v>
                </c:pt>
                <c:pt idx="14">
                  <c:v>42443</c:v>
                </c:pt>
                <c:pt idx="15">
                  <c:v>42444</c:v>
                </c:pt>
                <c:pt idx="16">
                  <c:v>42445</c:v>
                </c:pt>
                <c:pt idx="17">
                  <c:v>42446</c:v>
                </c:pt>
                <c:pt idx="18">
                  <c:v>42447</c:v>
                </c:pt>
                <c:pt idx="19">
                  <c:v>42448</c:v>
                </c:pt>
                <c:pt idx="20">
                  <c:v>42449</c:v>
                </c:pt>
                <c:pt idx="21">
                  <c:v>42450</c:v>
                </c:pt>
                <c:pt idx="22">
                  <c:v>42451</c:v>
                </c:pt>
                <c:pt idx="23">
                  <c:v>42452</c:v>
                </c:pt>
                <c:pt idx="24">
                  <c:v>42453</c:v>
                </c:pt>
                <c:pt idx="25">
                  <c:v>42454</c:v>
                </c:pt>
                <c:pt idx="26">
                  <c:v>42455</c:v>
                </c:pt>
                <c:pt idx="27">
                  <c:v>42456</c:v>
                </c:pt>
                <c:pt idx="28">
                  <c:v>42457</c:v>
                </c:pt>
                <c:pt idx="29">
                  <c:v>42458</c:v>
                </c:pt>
                <c:pt idx="30">
                  <c:v>42459</c:v>
                </c:pt>
                <c:pt idx="31">
                  <c:v>42460</c:v>
                </c:pt>
                <c:pt idx="32">
                  <c:v>42461</c:v>
                </c:pt>
                <c:pt idx="33">
                  <c:v>42462</c:v>
                </c:pt>
                <c:pt idx="34">
                  <c:v>42463</c:v>
                </c:pt>
                <c:pt idx="35">
                  <c:v>42464</c:v>
                </c:pt>
                <c:pt idx="36">
                  <c:v>42465</c:v>
                </c:pt>
                <c:pt idx="37">
                  <c:v>42466</c:v>
                </c:pt>
                <c:pt idx="38">
                  <c:v>42467</c:v>
                </c:pt>
                <c:pt idx="39">
                  <c:v>42468</c:v>
                </c:pt>
                <c:pt idx="40">
                  <c:v>42469</c:v>
                </c:pt>
                <c:pt idx="41">
                  <c:v>42470</c:v>
                </c:pt>
                <c:pt idx="42">
                  <c:v>42471</c:v>
                </c:pt>
                <c:pt idx="43">
                  <c:v>42472</c:v>
                </c:pt>
                <c:pt idx="44">
                  <c:v>42473</c:v>
                </c:pt>
              </c:numCache>
            </c:numRef>
          </c:xVal>
          <c:yVal>
            <c:numRef>
              <c:f>Operacional_15_dias!$AV$24:$AV$68</c:f>
              <c:numCache>
                <c:formatCode>0</c:formatCode>
                <c:ptCount val="45"/>
                <c:pt idx="0">
                  <c:v>-1</c:v>
                </c:pt>
                <c:pt idx="1">
                  <c:v>-2</c:v>
                </c:pt>
                <c:pt idx="2">
                  <c:v>-3</c:v>
                </c:pt>
                <c:pt idx="3">
                  <c:v>-4</c:v>
                </c:pt>
                <c:pt idx="4">
                  <c:v>-5</c:v>
                </c:pt>
                <c:pt idx="5">
                  <c:v>-6</c:v>
                </c:pt>
                <c:pt idx="6">
                  <c:v>-7</c:v>
                </c:pt>
                <c:pt idx="7">
                  <c:v>-8</c:v>
                </c:pt>
                <c:pt idx="8">
                  <c:v>-9</c:v>
                </c:pt>
                <c:pt idx="9">
                  <c:v>-10</c:v>
                </c:pt>
                <c:pt idx="10">
                  <c:v>-11</c:v>
                </c:pt>
                <c:pt idx="11">
                  <c:v>-12</c:v>
                </c:pt>
                <c:pt idx="12">
                  <c:v>-13</c:v>
                </c:pt>
                <c:pt idx="13">
                  <c:v>-14</c:v>
                </c:pt>
                <c:pt idx="14">
                  <c:v>-15</c:v>
                </c:pt>
                <c:pt idx="15">
                  <c:v>-16</c:v>
                </c:pt>
                <c:pt idx="16">
                  <c:v>-17</c:v>
                </c:pt>
                <c:pt idx="17">
                  <c:v>-18</c:v>
                </c:pt>
                <c:pt idx="18">
                  <c:v>-19</c:v>
                </c:pt>
                <c:pt idx="19">
                  <c:v>-20</c:v>
                </c:pt>
                <c:pt idx="20">
                  <c:v>-21</c:v>
                </c:pt>
                <c:pt idx="21">
                  <c:v>-22</c:v>
                </c:pt>
                <c:pt idx="22">
                  <c:v>-23</c:v>
                </c:pt>
                <c:pt idx="23">
                  <c:v>-24</c:v>
                </c:pt>
                <c:pt idx="24">
                  <c:v>-25</c:v>
                </c:pt>
                <c:pt idx="25">
                  <c:v>-26</c:v>
                </c:pt>
                <c:pt idx="26">
                  <c:v>-27</c:v>
                </c:pt>
                <c:pt idx="27">
                  <c:v>-28</c:v>
                </c:pt>
                <c:pt idx="28">
                  <c:v>-29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1F81-42F6-90C8-7022C4C45E3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65012112"/>
        <c:axId val="565013744"/>
      </c:scatterChart>
      <c:valAx>
        <c:axId val="565012112"/>
        <c:scaling>
          <c:orientation val="minMax"/>
        </c:scaling>
        <c:delete val="0"/>
        <c:axPos val="b"/>
        <c:numFmt formatCode="m/d/yyyy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/>
            </a:pPr>
            <a:endParaRPr lang="pt-BR"/>
          </a:p>
        </c:txPr>
        <c:crossAx val="565013744"/>
        <c:crosses val="autoZero"/>
        <c:crossBetween val="midCat"/>
      </c:valAx>
      <c:valAx>
        <c:axId val="565013744"/>
        <c:scaling>
          <c:orientation val="minMax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/>
            </a:pPr>
            <a:endParaRPr lang="pt-BR"/>
          </a:p>
        </c:txPr>
        <c:crossAx val="565012112"/>
        <c:crosses val="autoZero"/>
        <c:crossBetween val="midCat"/>
      </c:valAx>
      <c:spPr>
        <a:solidFill>
          <a:srgbClr val="FFFFFF"/>
        </a:solidFill>
        <a:ln w="12700">
          <a:solidFill>
            <a:srgbClr val="808080"/>
          </a:solidFill>
          <a:prstDash val="solid"/>
        </a:ln>
      </c:spPr>
    </c:plotArea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9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pt-BR"/>
    </a:p>
  </c:txPr>
  <c:printSettings>
    <c:headerFooter alignWithMargins="0"/>
    <c:pageMargins b="0.98425196899999956" l="0.78740157499999996" r="0.78740157499999996" t="0.98425196899999956" header="0.49212598500000138" footer="0.49212598500000138"/>
    <c:pageSetup/>
  </c:printSettings>
</c:chartSpace>
</file>

<file path=xl/charts/chart2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0198300283286116"/>
          <c:y val="0.19607968290238781"/>
          <c:w val="0.81303116147308785"/>
          <c:h val="0.60131102756732269"/>
        </c:manualLayout>
      </c:layout>
      <c:barChart>
        <c:barDir val="col"/>
        <c:grouping val="clustered"/>
        <c:varyColors val="0"/>
        <c:ser>
          <c:idx val="0"/>
          <c:order val="0"/>
          <c:spPr>
            <a:solidFill>
              <a:srgbClr val="0000FF"/>
            </a:solidFill>
            <a:ln w="38100">
              <a:solidFill>
                <a:srgbClr val="0000FF"/>
              </a:solidFill>
              <a:prstDash val="solid"/>
            </a:ln>
          </c:spPr>
          <c:invertIfNegative val="0"/>
          <c:val>
            <c:numLit>
              <c:formatCode>General</c:formatCode>
              <c:ptCount val="90"/>
              <c:pt idx="0">
                <c:v>3.7360432014153684</c:v>
              </c:pt>
              <c:pt idx="1">
                <c:v>5.6774090992457849</c:v>
              </c:pt>
              <c:pt idx="2">
                <c:v>4.8419428874544916</c:v>
              </c:pt>
              <c:pt idx="3">
                <c:v>0.44343759349781242</c:v>
              </c:pt>
              <c:pt idx="4">
                <c:v>4.0110380011536915</c:v>
              </c:pt>
              <c:pt idx="5">
                <c:v>2.7322396412197478</c:v>
              </c:pt>
              <c:pt idx="6">
                <c:v>0.31752232013759335</c:v>
              </c:pt>
              <c:pt idx="7">
                <c:v>0</c:v>
              </c:pt>
              <c:pt idx="8">
                <c:v>0.15623272350187273</c:v>
              </c:pt>
              <c:pt idx="9">
                <c:v>0</c:v>
              </c:pt>
              <c:pt idx="10">
                <c:v>1.0066666666666666</c:v>
              </c:pt>
              <c:pt idx="11">
                <c:v>0.10514879444941501</c:v>
              </c:pt>
              <c:pt idx="12">
                <c:v>0.27904053575859683</c:v>
              </c:pt>
              <c:pt idx="13">
                <c:v>0</c:v>
              </c:pt>
              <c:pt idx="14">
                <c:v>0.19925617334165827</c:v>
              </c:pt>
              <c:pt idx="15">
                <c:v>0.52405078090432777</c:v>
              </c:pt>
              <c:pt idx="16">
                <c:v>0</c:v>
              </c:pt>
              <c:pt idx="17">
                <c:v>0</c:v>
              </c:pt>
              <c:pt idx="18">
                <c:v>0</c:v>
              </c:pt>
              <c:pt idx="19">
                <c:v>0</c:v>
              </c:pt>
              <c:pt idx="20">
                <c:v>0.26666666666666666</c:v>
              </c:pt>
              <c:pt idx="21">
                <c:v>0</c:v>
              </c:pt>
              <c:pt idx="22">
                <c:v>0</c:v>
              </c:pt>
              <c:pt idx="23">
                <c:v>3.2621131761872331</c:v>
              </c:pt>
              <c:pt idx="24">
                <c:v>1.0372015456603549</c:v>
              </c:pt>
              <c:pt idx="25">
                <c:v>0.29287235582716203</c:v>
              </c:pt>
              <c:pt idx="26">
                <c:v>2.6970212526139674</c:v>
              </c:pt>
              <c:pt idx="27">
                <c:v>5.2896321349967169E-2</c:v>
              </c:pt>
              <c:pt idx="28">
                <c:v>0</c:v>
              </c:pt>
              <c:pt idx="29">
                <c:v>0</c:v>
              </c:pt>
              <c:pt idx="30">
                <c:v>0</c:v>
              </c:pt>
              <c:pt idx="31">
                <c:v>0</c:v>
              </c:pt>
              <c:pt idx="32">
                <c:v>0</c:v>
              </c:pt>
              <c:pt idx="33">
                <c:v>0</c:v>
              </c:pt>
              <c:pt idx="34">
                <c:v>0</c:v>
              </c:pt>
              <c:pt idx="35">
                <c:v>0</c:v>
              </c:pt>
              <c:pt idx="36">
                <c:v>0</c:v>
              </c:pt>
              <c:pt idx="37">
                <c:v>0</c:v>
              </c:pt>
              <c:pt idx="38">
                <c:v>0</c:v>
              </c:pt>
              <c:pt idx="39">
                <c:v>0</c:v>
              </c:pt>
              <c:pt idx="40">
                <c:v>0</c:v>
              </c:pt>
              <c:pt idx="41">
                <c:v>0</c:v>
              </c:pt>
              <c:pt idx="42">
                <c:v>1.6533791532870961</c:v>
              </c:pt>
              <c:pt idx="43">
                <c:v>1.2749889694152097</c:v>
              </c:pt>
              <c:pt idx="44">
                <c:v>0</c:v>
              </c:pt>
              <c:pt idx="45">
                <c:v>0.60525534277739057</c:v>
              </c:pt>
              <c:pt idx="46">
                <c:v>0.35351418249860578</c:v>
              </c:pt>
              <c:pt idx="47">
                <c:v>0.25884958771347588</c:v>
              </c:pt>
              <c:pt idx="48">
                <c:v>0.1011494382210491</c:v>
              </c:pt>
              <c:pt idx="49">
                <c:v>0</c:v>
              </c:pt>
              <c:pt idx="50">
                <c:v>7.3274381570213834E-2</c:v>
              </c:pt>
              <c:pt idx="51">
                <c:v>0</c:v>
              </c:pt>
              <c:pt idx="52">
                <c:v>0</c:v>
              </c:pt>
              <c:pt idx="53">
                <c:v>0</c:v>
              </c:pt>
              <c:pt idx="54">
                <c:v>0</c:v>
              </c:pt>
              <c:pt idx="55">
                <c:v>3.7758127190071281E-2</c:v>
              </c:pt>
              <c:pt idx="56">
                <c:v>2.8005565077273262</c:v>
              </c:pt>
              <c:pt idx="57">
                <c:v>12.27337617451615</c:v>
              </c:pt>
              <c:pt idx="58">
                <c:v>4.3849161404619226</c:v>
              </c:pt>
              <c:pt idx="59">
                <c:v>2.9220034188418786</c:v>
              </c:pt>
              <c:pt idx="60">
                <c:v>4.0860666631020743</c:v>
              </c:pt>
              <c:pt idx="61">
                <c:v>0.18123744563267158</c:v>
              </c:pt>
              <c:pt idx="62">
                <c:v>0</c:v>
              </c:pt>
              <c:pt idx="63">
                <c:v>0.32333333333333331</c:v>
              </c:pt>
              <c:pt idx="64">
                <c:v>6.6666666666666666E-2</c:v>
              </c:pt>
              <c:pt idx="65">
                <c:v>0</c:v>
              </c:pt>
              <c:pt idx="66">
                <c:v>0.1</c:v>
              </c:pt>
              <c:pt idx="67">
                <c:v>0</c:v>
              </c:pt>
              <c:pt idx="68">
                <c:v>0</c:v>
              </c:pt>
              <c:pt idx="69">
                <c:v>0</c:v>
              </c:pt>
              <c:pt idx="70">
                <c:v>0</c:v>
              </c:pt>
              <c:pt idx="71">
                <c:v>0</c:v>
              </c:pt>
              <c:pt idx="72">
                <c:v>3.403061992542955</c:v>
              </c:pt>
              <c:pt idx="73">
                <c:v>0.78345782230964245</c:v>
              </c:pt>
              <c:pt idx="74">
                <c:v>0.33811541339710638</c:v>
              </c:pt>
              <c:pt idx="75">
                <c:v>1.0415835277172167</c:v>
              </c:pt>
              <c:pt idx="76">
                <c:v>0.57053600469884902</c:v>
              </c:pt>
              <c:pt idx="77">
                <c:v>1.3244681310448843</c:v>
              </c:pt>
              <c:pt idx="78">
                <c:v>0.64358716206365119</c:v>
              </c:pt>
              <c:pt idx="79">
                <c:v>1.0472980354174881</c:v>
              </c:pt>
              <c:pt idx="80">
                <c:v>5.0694469377194434E-2</c:v>
              </c:pt>
              <c:pt idx="81">
                <c:v>0</c:v>
              </c:pt>
              <c:pt idx="82">
                <c:v>6.3368086721493043E-3</c:v>
              </c:pt>
              <c:pt idx="83">
                <c:v>1.5068793455949038E-2</c:v>
              </c:pt>
              <c:pt idx="84">
                <c:v>1.8440899317734041</c:v>
              </c:pt>
              <c:pt idx="85">
                <c:v>2.8013112735727859</c:v>
              </c:pt>
              <c:pt idx="86">
                <c:v>1.7760996079640219</c:v>
              </c:pt>
              <c:pt idx="87">
                <c:v>1.3360477229787748</c:v>
              </c:pt>
              <c:pt idx="88">
                <c:v>1.5059211355440676</c:v>
              </c:pt>
              <c:pt idx="89">
                <c:v>11.495532250246992</c:v>
              </c:pt>
            </c:numLit>
          </c:val>
          <c:extLst>
            <c:ext xmlns:c16="http://schemas.microsoft.com/office/drawing/2014/chart" uri="{C3380CC4-5D6E-409C-BE32-E72D297353CC}">
              <c16:uniqueId val="{00000000-0F0E-4DFF-B8C8-F5D0461410E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565010480"/>
        <c:axId val="565008848"/>
      </c:barChart>
      <c:catAx>
        <c:axId val="565010480"/>
        <c:scaling>
          <c:orientation val="minMax"/>
        </c:scaling>
        <c:delete val="0"/>
        <c:axPos val="b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pt-BR"/>
          </a:p>
        </c:txPr>
        <c:crossAx val="565008848"/>
        <c:crosses val="autoZero"/>
        <c:auto val="1"/>
        <c:lblAlgn val="ctr"/>
        <c:lblOffset val="100"/>
        <c:tickLblSkip val="31"/>
        <c:tickMarkSkip val="31"/>
        <c:noMultiLvlLbl val="0"/>
      </c:catAx>
      <c:valAx>
        <c:axId val="565008848"/>
        <c:scaling>
          <c:orientation val="minMax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pt-BR"/>
          </a:p>
        </c:txPr>
        <c:crossAx val="565010480"/>
        <c:crosses val="autoZero"/>
        <c:crossBetween val="between"/>
        <c:majorUnit val="20"/>
      </c:valAx>
      <c:spPr>
        <a:solidFill>
          <a:srgbClr val="C0C0C0"/>
        </a:solidFill>
        <a:ln w="12700">
          <a:solidFill>
            <a:srgbClr val="808080"/>
          </a:solidFill>
          <a:prstDash val="solid"/>
        </a:ln>
      </c:spPr>
    </c:plotArea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8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pt-BR"/>
    </a:p>
  </c:txPr>
  <c:printSettings>
    <c:headerFooter alignWithMargins="0"/>
    <c:pageMargins b="0.98425196899999978" l="0.78740157499999996" r="0.78740157499999996" t="0.98425196899999978" header="0.49212598500000021" footer="0.49212598500000021"/>
    <c:pageSetup/>
  </c:printSettings>
</c:chartSpace>
</file>

<file path=xl/charts/chart2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8.1725442142593543E-2"/>
          <c:y val="1.5241983189025065E-2"/>
          <c:w val="0.90792869306877488"/>
          <c:h val="0.83043908627502994"/>
        </c:manualLayout>
      </c:layout>
      <c:lineChart>
        <c:grouping val="standard"/>
        <c:varyColors val="0"/>
        <c:ser>
          <c:idx val="0"/>
          <c:order val="0"/>
          <c:spPr>
            <a:ln w="12700">
              <a:solidFill>
                <a:srgbClr val="FF0000"/>
              </a:solidFill>
              <a:prstDash val="solid"/>
            </a:ln>
          </c:spPr>
          <c:marker>
            <c:symbol val="none"/>
          </c:marker>
          <c:cat>
            <c:numRef>
              <c:f>Operacional_15_dias!$A$24:$A$68</c:f>
              <c:numCache>
                <c:formatCode>m/d/yyyy</c:formatCode>
                <c:ptCount val="45"/>
                <c:pt idx="0">
                  <c:v>42429</c:v>
                </c:pt>
                <c:pt idx="1">
                  <c:v>42430</c:v>
                </c:pt>
                <c:pt idx="2">
                  <c:v>42431</c:v>
                </c:pt>
                <c:pt idx="3">
                  <c:v>42432</c:v>
                </c:pt>
                <c:pt idx="4">
                  <c:v>42433</c:v>
                </c:pt>
                <c:pt idx="5">
                  <c:v>42434</c:v>
                </c:pt>
                <c:pt idx="6">
                  <c:v>42435</c:v>
                </c:pt>
                <c:pt idx="7">
                  <c:v>42436</c:v>
                </c:pt>
                <c:pt idx="8">
                  <c:v>42437</c:v>
                </c:pt>
                <c:pt idx="9">
                  <c:v>42438</c:v>
                </c:pt>
                <c:pt idx="10">
                  <c:v>42439</c:v>
                </c:pt>
                <c:pt idx="11">
                  <c:v>42440</c:v>
                </c:pt>
                <c:pt idx="12">
                  <c:v>42441</c:v>
                </c:pt>
                <c:pt idx="13">
                  <c:v>42442</c:v>
                </c:pt>
                <c:pt idx="14">
                  <c:v>42443</c:v>
                </c:pt>
                <c:pt idx="15">
                  <c:v>42444</c:v>
                </c:pt>
                <c:pt idx="16">
                  <c:v>42445</c:v>
                </c:pt>
                <c:pt idx="17">
                  <c:v>42446</c:v>
                </c:pt>
                <c:pt idx="18">
                  <c:v>42447</c:v>
                </c:pt>
                <c:pt idx="19">
                  <c:v>42448</c:v>
                </c:pt>
                <c:pt idx="20">
                  <c:v>42449</c:v>
                </c:pt>
                <c:pt idx="21">
                  <c:v>42450</c:v>
                </c:pt>
                <c:pt idx="22">
                  <c:v>42451</c:v>
                </c:pt>
                <c:pt idx="23">
                  <c:v>42452</c:v>
                </c:pt>
                <c:pt idx="24">
                  <c:v>42453</c:v>
                </c:pt>
                <c:pt idx="25">
                  <c:v>42454</c:v>
                </c:pt>
                <c:pt idx="26">
                  <c:v>42455</c:v>
                </c:pt>
                <c:pt idx="27">
                  <c:v>42456</c:v>
                </c:pt>
                <c:pt idx="28">
                  <c:v>42457</c:v>
                </c:pt>
                <c:pt idx="29">
                  <c:v>42458</c:v>
                </c:pt>
                <c:pt idx="30">
                  <c:v>42459</c:v>
                </c:pt>
                <c:pt idx="31">
                  <c:v>42460</c:v>
                </c:pt>
                <c:pt idx="32">
                  <c:v>42461</c:v>
                </c:pt>
                <c:pt idx="33">
                  <c:v>42462</c:v>
                </c:pt>
                <c:pt idx="34">
                  <c:v>42463</c:v>
                </c:pt>
                <c:pt idx="35">
                  <c:v>42464</c:v>
                </c:pt>
                <c:pt idx="36">
                  <c:v>42465</c:v>
                </c:pt>
                <c:pt idx="37">
                  <c:v>42466</c:v>
                </c:pt>
                <c:pt idx="38">
                  <c:v>42467</c:v>
                </c:pt>
                <c:pt idx="39">
                  <c:v>42468</c:v>
                </c:pt>
                <c:pt idx="40">
                  <c:v>42469</c:v>
                </c:pt>
                <c:pt idx="41">
                  <c:v>42470</c:v>
                </c:pt>
                <c:pt idx="42">
                  <c:v>42471</c:v>
                </c:pt>
                <c:pt idx="43">
                  <c:v>42472</c:v>
                </c:pt>
                <c:pt idx="44">
                  <c:v>42473</c:v>
                </c:pt>
              </c:numCache>
            </c:numRef>
          </c:cat>
          <c:val>
            <c:numRef>
              <c:f>Operacional_15_dias!$F$24:$F$68</c:f>
              <c:numCache>
                <c:formatCode>0.00</c:formatCode>
                <c:ptCount val="45"/>
                <c:pt idx="0">
                  <c:v>249.8449596097982</c:v>
                </c:pt>
                <c:pt idx="1">
                  <c:v>250.00754634773659</c:v>
                </c:pt>
                <c:pt idx="2">
                  <c:v>249.21185308259496</c:v>
                </c:pt>
                <c:pt idx="3">
                  <c:v>248.143835730674</c:v>
                </c:pt>
                <c:pt idx="4">
                  <c:v>247.52851275148947</c:v>
                </c:pt>
                <c:pt idx="5">
                  <c:v>251.76213945349801</c:v>
                </c:pt>
                <c:pt idx="6">
                  <c:v>258.79078079509446</c:v>
                </c:pt>
                <c:pt idx="7">
                  <c:v>265.75039767062344</c:v>
                </c:pt>
                <c:pt idx="8">
                  <c:v>270.8291002228458</c:v>
                </c:pt>
                <c:pt idx="9">
                  <c:v>273.75061278692425</c:v>
                </c:pt>
                <c:pt idx="10">
                  <c:v>275.87593399071278</c:v>
                </c:pt>
                <c:pt idx="11">
                  <c:v>279.834878425569</c:v>
                </c:pt>
                <c:pt idx="12">
                  <c:v>286.59828962859422</c:v>
                </c:pt>
                <c:pt idx="13">
                  <c:v>296.10649094486013</c:v>
                </c:pt>
                <c:pt idx="14">
                  <c:v>305.23046549854746</c:v>
                </c:pt>
                <c:pt idx="15">
                  <c:v>313.43087380556437</c:v>
                </c:pt>
                <c:pt idx="16">
                  <c:v>318.77118421592644</c:v>
                </c:pt>
                <c:pt idx="17">
                  <c:v>321.73633732982518</c:v>
                </c:pt>
                <c:pt idx="18">
                  <c:v>322.72809361252524</c:v>
                </c:pt>
                <c:pt idx="19">
                  <c:v>322.16022813526422</c:v>
                </c:pt>
                <c:pt idx="20">
                  <c:v>321.57019299747486</c:v>
                </c:pt>
                <c:pt idx="21">
                  <c:v>321.82918876354728</c:v>
                </c:pt>
                <c:pt idx="22">
                  <c:v>322.32107607714011</c:v>
                </c:pt>
                <c:pt idx="23">
                  <c:v>324.4469187804396</c:v>
                </c:pt>
                <c:pt idx="24">
                  <c:v>330.8304488518869</c:v>
                </c:pt>
                <c:pt idx="25">
                  <c:v>338.36449651818793</c:v>
                </c:pt>
                <c:pt idx="26">
                  <c:v>343.93605125661549</c:v>
                </c:pt>
                <c:pt idx="27">
                  <c:v>349.99296704631161</c:v>
                </c:pt>
                <c:pt idx="28">
                  <c:v>358.64357013483868</c:v>
                </c:pt>
                <c:pt idx="29">
                  <c:v>368.18781792913114</c:v>
                </c:pt>
                <c:pt idx="30">
                  <c:v>376.9762816713199</c:v>
                </c:pt>
                <c:pt idx="31">
                  <c:v>383.0510707123546</c:v>
                </c:pt>
                <c:pt idx="32">
                  <c:v>386.37549139692271</c:v>
                </c:pt>
                <c:pt idx="33">
                  <c:v>387.65147987257257</c:v>
                </c:pt>
                <c:pt idx="34">
                  <c:v>387.8428036326647</c:v>
                </c:pt>
                <c:pt idx="35">
                  <c:v>387.22947022266737</c:v>
                </c:pt>
                <c:pt idx="36">
                  <c:v>388.09525699250162</c:v>
                </c:pt>
                <c:pt idx="37">
                  <c:v>392.38511617285059</c:v>
                </c:pt>
                <c:pt idx="38">
                  <c:v>400.86833249624107</c:v>
                </c:pt>
                <c:pt idx="39">
                  <c:v>411.32465500058402</c:v>
                </c:pt>
                <c:pt idx="40">
                  <c:v>423.77114462918092</c:v>
                </c:pt>
                <c:pt idx="41">
                  <c:v>437.01215931603156</c:v>
                </c:pt>
                <c:pt idx="42">
                  <c:v>450.11369578118382</c:v>
                </c:pt>
                <c:pt idx="43">
                  <c:v>462.60272779245832</c:v>
                </c:pt>
              </c:numCache>
            </c:numRef>
          </c:val>
          <c:smooth val="1"/>
          <c:extLst>
            <c:ext xmlns:c16="http://schemas.microsoft.com/office/drawing/2014/chart" uri="{C3380CC4-5D6E-409C-BE32-E72D297353CC}">
              <c16:uniqueId val="{00000000-E379-466D-8A28-E14BD7797FEE}"/>
            </c:ext>
          </c:extLst>
        </c:ser>
        <c:ser>
          <c:idx val="1"/>
          <c:order val="1"/>
          <c:tx>
            <c:v>Q obs</c:v>
          </c:tx>
          <c:spPr>
            <a:ln w="12700">
              <a:solidFill>
                <a:srgbClr val="0000FF"/>
              </a:solidFill>
              <a:prstDash val="solid"/>
            </a:ln>
          </c:spPr>
          <c:marker>
            <c:symbol val="none"/>
          </c:marker>
          <c:cat>
            <c:numRef>
              <c:f>Operacional_15_dias!$A$24:$A$68</c:f>
              <c:numCache>
                <c:formatCode>m/d/yyyy</c:formatCode>
                <c:ptCount val="45"/>
                <c:pt idx="0">
                  <c:v>42429</c:v>
                </c:pt>
                <c:pt idx="1">
                  <c:v>42430</c:v>
                </c:pt>
                <c:pt idx="2">
                  <c:v>42431</c:v>
                </c:pt>
                <c:pt idx="3">
                  <c:v>42432</c:v>
                </c:pt>
                <c:pt idx="4">
                  <c:v>42433</c:v>
                </c:pt>
                <c:pt idx="5">
                  <c:v>42434</c:v>
                </c:pt>
                <c:pt idx="6">
                  <c:v>42435</c:v>
                </c:pt>
                <c:pt idx="7">
                  <c:v>42436</c:v>
                </c:pt>
                <c:pt idx="8">
                  <c:v>42437</c:v>
                </c:pt>
                <c:pt idx="9">
                  <c:v>42438</c:v>
                </c:pt>
                <c:pt idx="10">
                  <c:v>42439</c:v>
                </c:pt>
                <c:pt idx="11">
                  <c:v>42440</c:v>
                </c:pt>
                <c:pt idx="12">
                  <c:v>42441</c:v>
                </c:pt>
                <c:pt idx="13">
                  <c:v>42442</c:v>
                </c:pt>
                <c:pt idx="14">
                  <c:v>42443</c:v>
                </c:pt>
                <c:pt idx="15">
                  <c:v>42444</c:v>
                </c:pt>
                <c:pt idx="16">
                  <c:v>42445</c:v>
                </c:pt>
                <c:pt idx="17">
                  <c:v>42446</c:v>
                </c:pt>
                <c:pt idx="18">
                  <c:v>42447</c:v>
                </c:pt>
                <c:pt idx="19">
                  <c:v>42448</c:v>
                </c:pt>
                <c:pt idx="20">
                  <c:v>42449</c:v>
                </c:pt>
                <c:pt idx="21">
                  <c:v>42450</c:v>
                </c:pt>
                <c:pt idx="22">
                  <c:v>42451</c:v>
                </c:pt>
                <c:pt idx="23">
                  <c:v>42452</c:v>
                </c:pt>
                <c:pt idx="24">
                  <c:v>42453</c:v>
                </c:pt>
                <c:pt idx="25">
                  <c:v>42454</c:v>
                </c:pt>
                <c:pt idx="26">
                  <c:v>42455</c:v>
                </c:pt>
                <c:pt idx="27">
                  <c:v>42456</c:v>
                </c:pt>
                <c:pt idx="28">
                  <c:v>42457</c:v>
                </c:pt>
                <c:pt idx="29">
                  <c:v>42458</c:v>
                </c:pt>
                <c:pt idx="30">
                  <c:v>42459</c:v>
                </c:pt>
                <c:pt idx="31">
                  <c:v>42460</c:v>
                </c:pt>
                <c:pt idx="32">
                  <c:v>42461</c:v>
                </c:pt>
                <c:pt idx="33">
                  <c:v>42462</c:v>
                </c:pt>
                <c:pt idx="34">
                  <c:v>42463</c:v>
                </c:pt>
                <c:pt idx="35">
                  <c:v>42464</c:v>
                </c:pt>
                <c:pt idx="36">
                  <c:v>42465</c:v>
                </c:pt>
                <c:pt idx="37">
                  <c:v>42466</c:v>
                </c:pt>
                <c:pt idx="38">
                  <c:v>42467</c:v>
                </c:pt>
                <c:pt idx="39">
                  <c:v>42468</c:v>
                </c:pt>
                <c:pt idx="40">
                  <c:v>42469</c:v>
                </c:pt>
                <c:pt idx="41">
                  <c:v>42470</c:v>
                </c:pt>
                <c:pt idx="42">
                  <c:v>42471</c:v>
                </c:pt>
                <c:pt idx="43">
                  <c:v>42472</c:v>
                </c:pt>
                <c:pt idx="44">
                  <c:v>42473</c:v>
                </c:pt>
              </c:numCache>
            </c:numRef>
          </c:cat>
          <c:val>
            <c:numRef>
              <c:f>Operacional_15_dias!$B$24:$B$68</c:f>
              <c:numCache>
                <c:formatCode>0</c:formatCode>
                <c:ptCount val="45"/>
                <c:pt idx="0">
                  <c:v>1035.03556978713</c:v>
                </c:pt>
                <c:pt idx="1">
                  <c:v>894.423546771171</c:v>
                </c:pt>
                <c:pt idx="2">
                  <c:v>770.51679494953601</c:v>
                </c:pt>
                <c:pt idx="3">
                  <c:v>2008.20300002503</c:v>
                </c:pt>
                <c:pt idx="4">
                  <c:v>2064.5436128544702</c:v>
                </c:pt>
                <c:pt idx="5">
                  <c:v>1933.3914916014901</c:v>
                </c:pt>
                <c:pt idx="6">
                  <c:v>1700.6263589523101</c:v>
                </c:pt>
                <c:pt idx="7">
                  <c:v>1339.08532292257</c:v>
                </c:pt>
                <c:pt idx="8">
                  <c:v>1099.2439515618901</c:v>
                </c:pt>
                <c:pt idx="9">
                  <c:v>1180.2527855814201</c:v>
                </c:pt>
                <c:pt idx="10">
                  <c:v>1709.14781201286</c:v>
                </c:pt>
                <c:pt idx="11">
                  <c:v>2064.19808210052</c:v>
                </c:pt>
                <c:pt idx="12">
                  <c:v>2041.8017553371501</c:v>
                </c:pt>
                <c:pt idx="13">
                  <c:v>1897.4468000433001</c:v>
                </c:pt>
                <c:pt idx="14">
                  <c:v>1561.3107932038799</c:v>
                </c:pt>
                <c:pt idx="15">
                  <c:v>1289.2214994701901</c:v>
                </c:pt>
                <c:pt idx="16">
                  <c:v>1090.66473545695</c:v>
                </c:pt>
                <c:pt idx="17">
                  <c:v>929.17803163181395</c:v>
                </c:pt>
                <c:pt idx="18">
                  <c:v>832.586682242763</c:v>
                </c:pt>
                <c:pt idx="19">
                  <c:v>760.89026976625405</c:v>
                </c:pt>
                <c:pt idx="20">
                  <c:v>671.57040358134805</c:v>
                </c:pt>
                <c:pt idx="21">
                  <c:v>907.67806605403598</c:v>
                </c:pt>
                <c:pt idx="22">
                  <c:v>2079.9068913917499</c:v>
                </c:pt>
                <c:pt idx="23">
                  <c:v>2114</c:v>
                </c:pt>
                <c:pt idx="24">
                  <c:v>1609</c:v>
                </c:pt>
                <c:pt idx="25">
                  <c:v>1553</c:v>
                </c:pt>
                <c:pt idx="26">
                  <c:v>2283</c:v>
                </c:pt>
                <c:pt idx="27">
                  <c:v>2411</c:v>
                </c:pt>
                <c:pt idx="28">
                  <c:v>2110</c:v>
                </c:pt>
              </c:numCache>
            </c:numRef>
          </c:val>
          <c:smooth val="1"/>
          <c:extLst>
            <c:ext xmlns:c16="http://schemas.microsoft.com/office/drawing/2014/chart" uri="{C3380CC4-5D6E-409C-BE32-E72D297353CC}">
              <c16:uniqueId val="{00000001-E379-466D-8A28-E14BD7797FEE}"/>
            </c:ext>
          </c:extLst>
        </c:ser>
        <c:ser>
          <c:idx val="2"/>
          <c:order val="2"/>
          <c:tx>
            <c:v>Base</c:v>
          </c:tx>
          <c:spPr>
            <a:ln w="25400">
              <a:solidFill>
                <a:srgbClr val="999933"/>
              </a:solidFill>
              <a:prstDash val="solid"/>
            </a:ln>
          </c:spPr>
          <c:marker>
            <c:symbol val="none"/>
          </c:marker>
          <c:cat>
            <c:numRef>
              <c:f>Operacional_15_dias!$A$24:$A$68</c:f>
              <c:numCache>
                <c:formatCode>m/d/yyyy</c:formatCode>
                <c:ptCount val="45"/>
                <c:pt idx="0">
                  <c:v>42429</c:v>
                </c:pt>
                <c:pt idx="1">
                  <c:v>42430</c:v>
                </c:pt>
                <c:pt idx="2">
                  <c:v>42431</c:v>
                </c:pt>
                <c:pt idx="3">
                  <c:v>42432</c:v>
                </c:pt>
                <c:pt idx="4">
                  <c:v>42433</c:v>
                </c:pt>
                <c:pt idx="5">
                  <c:v>42434</c:v>
                </c:pt>
                <c:pt idx="6">
                  <c:v>42435</c:v>
                </c:pt>
                <c:pt idx="7">
                  <c:v>42436</c:v>
                </c:pt>
                <c:pt idx="8">
                  <c:v>42437</c:v>
                </c:pt>
                <c:pt idx="9">
                  <c:v>42438</c:v>
                </c:pt>
                <c:pt idx="10">
                  <c:v>42439</c:v>
                </c:pt>
                <c:pt idx="11">
                  <c:v>42440</c:v>
                </c:pt>
                <c:pt idx="12">
                  <c:v>42441</c:v>
                </c:pt>
                <c:pt idx="13">
                  <c:v>42442</c:v>
                </c:pt>
                <c:pt idx="14">
                  <c:v>42443</c:v>
                </c:pt>
                <c:pt idx="15">
                  <c:v>42444</c:v>
                </c:pt>
                <c:pt idx="16">
                  <c:v>42445</c:v>
                </c:pt>
                <c:pt idx="17">
                  <c:v>42446</c:v>
                </c:pt>
                <c:pt idx="18">
                  <c:v>42447</c:v>
                </c:pt>
                <c:pt idx="19">
                  <c:v>42448</c:v>
                </c:pt>
                <c:pt idx="20">
                  <c:v>42449</c:v>
                </c:pt>
                <c:pt idx="21">
                  <c:v>42450</c:v>
                </c:pt>
                <c:pt idx="22">
                  <c:v>42451</c:v>
                </c:pt>
                <c:pt idx="23">
                  <c:v>42452</c:v>
                </c:pt>
                <c:pt idx="24">
                  <c:v>42453</c:v>
                </c:pt>
                <c:pt idx="25">
                  <c:v>42454</c:v>
                </c:pt>
                <c:pt idx="26">
                  <c:v>42455</c:v>
                </c:pt>
                <c:pt idx="27">
                  <c:v>42456</c:v>
                </c:pt>
                <c:pt idx="28">
                  <c:v>42457</c:v>
                </c:pt>
                <c:pt idx="29">
                  <c:v>42458</c:v>
                </c:pt>
                <c:pt idx="30">
                  <c:v>42459</c:v>
                </c:pt>
                <c:pt idx="31">
                  <c:v>42460</c:v>
                </c:pt>
                <c:pt idx="32">
                  <c:v>42461</c:v>
                </c:pt>
                <c:pt idx="33">
                  <c:v>42462</c:v>
                </c:pt>
                <c:pt idx="34">
                  <c:v>42463</c:v>
                </c:pt>
                <c:pt idx="35">
                  <c:v>42464</c:v>
                </c:pt>
                <c:pt idx="36">
                  <c:v>42465</c:v>
                </c:pt>
                <c:pt idx="37">
                  <c:v>42466</c:v>
                </c:pt>
                <c:pt idx="38">
                  <c:v>42467</c:v>
                </c:pt>
                <c:pt idx="39">
                  <c:v>42468</c:v>
                </c:pt>
                <c:pt idx="40">
                  <c:v>42469</c:v>
                </c:pt>
                <c:pt idx="41">
                  <c:v>42470</c:v>
                </c:pt>
                <c:pt idx="42">
                  <c:v>42471</c:v>
                </c:pt>
                <c:pt idx="43">
                  <c:v>42472</c:v>
                </c:pt>
                <c:pt idx="44">
                  <c:v>42473</c:v>
                </c:pt>
              </c:numCache>
            </c:numRef>
          </c:cat>
          <c:val>
            <c:numRef>
              <c:f>Operacional_10_dias!#REF!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smooth val="1"/>
          <c:extLst>
            <c:ext xmlns:c16="http://schemas.microsoft.com/office/drawing/2014/chart" uri="{C3380CC4-5D6E-409C-BE32-E72D297353CC}">
              <c16:uniqueId val="{00000002-E379-466D-8A28-E14BD7797FE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565011568"/>
        <c:axId val="564999600"/>
      </c:lineChart>
      <c:dateAx>
        <c:axId val="565011568"/>
        <c:scaling>
          <c:orientation val="minMax"/>
        </c:scaling>
        <c:delete val="0"/>
        <c:axPos val="b"/>
        <c:numFmt formatCode="[$-416]mmm\-yy;@" sourceLinked="0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-5400000" vert="horz"/>
          <a:lstStyle/>
          <a:p>
            <a:pPr>
              <a:defRPr lang="en-US" sz="900"/>
            </a:pPr>
            <a:endParaRPr lang="pt-BR"/>
          </a:p>
        </c:txPr>
        <c:crossAx val="564999600"/>
        <c:crosses val="autoZero"/>
        <c:auto val="1"/>
        <c:lblOffset val="100"/>
        <c:baseTimeUnit val="days"/>
        <c:majorUnit val="1"/>
        <c:majorTimeUnit val="months"/>
      </c:dateAx>
      <c:valAx>
        <c:axId val="564999600"/>
        <c:scaling>
          <c:orientation val="minMax"/>
          <c:min val="0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 lang="en-US"/>
                </a:pPr>
                <a:r>
                  <a:rPr lang="pt-BR"/>
                  <a:t>Vazões (m3/s)</a:t>
                </a:r>
              </a:p>
            </c:rich>
          </c:tx>
          <c:layout/>
          <c:overlay val="0"/>
        </c:title>
        <c:numFmt formatCode="0.0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lang="en-US"/>
            </a:pPr>
            <a:endParaRPr lang="pt-BR"/>
          </a:p>
        </c:txPr>
        <c:crossAx val="565011568"/>
        <c:crosses val="autoZero"/>
        <c:crossBetween val="between"/>
      </c:valAx>
      <c:spPr>
        <a:solidFill>
          <a:srgbClr val="FFFFFF"/>
        </a:solidFill>
        <a:ln w="12700">
          <a:solidFill>
            <a:srgbClr val="808080"/>
          </a:solidFill>
          <a:prstDash val="solid"/>
        </a:ln>
      </c:spPr>
    </c:plotArea>
    <c:legend>
      <c:legendPos val="r"/>
      <c:layout>
        <c:manualLayout>
          <c:xMode val="edge"/>
          <c:yMode val="edge"/>
          <c:x val="0"/>
          <c:y val="0.94880165835303421"/>
          <c:w val="1"/>
          <c:h val="5.1198341646965767E-2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lang="en-US"/>
          </a:pPr>
          <a:endParaRPr lang="pt-BR"/>
        </a:p>
      </c:txPr>
    </c:legend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05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2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6.8702359434622134E-2"/>
          <c:y val="1.5777554121524279E-2"/>
          <c:w val="0.90645724693384289"/>
          <c:h val="0.80089399301880337"/>
        </c:manualLayout>
      </c:layout>
      <c:areaChart>
        <c:grouping val="standard"/>
        <c:varyColors val="0"/>
        <c:ser>
          <c:idx val="4"/>
          <c:order val="3"/>
          <c:tx>
            <c:v>Chuva Esq</c:v>
          </c:tx>
          <c:spPr>
            <a:solidFill>
              <a:srgbClr val="FF5050"/>
            </a:solidFill>
            <a:ln w="0">
              <a:solidFill>
                <a:srgbClr val="7A0000"/>
              </a:solidFill>
            </a:ln>
          </c:spPr>
          <c:val>
            <c:numRef>
              <c:f>Operacional_15_dias!$AC$24:$AC$68</c:f>
              <c:numCache>
                <c:formatCode>0.0</c:formatCode>
                <c:ptCount val="45"/>
                <c:pt idx="0">
                  <c:v>1.8739810199400995</c:v>
                </c:pt>
                <c:pt idx="1">
                  <c:v>3.5743669305951831</c:v>
                </c:pt>
                <c:pt idx="2">
                  <c:v>6.0902894020061362</c:v>
                </c:pt>
                <c:pt idx="3">
                  <c:v>23.379420429365496</c:v>
                </c:pt>
                <c:pt idx="4">
                  <c:v>14.628482023902196</c:v>
                </c:pt>
                <c:pt idx="5">
                  <c:v>6.3365742618437073</c:v>
                </c:pt>
                <c:pt idx="6">
                  <c:v>1.9112568381984532</c:v>
                </c:pt>
                <c:pt idx="7">
                  <c:v>0.42522718957934413</c:v>
                </c:pt>
                <c:pt idx="8">
                  <c:v>3.235732341488867</c:v>
                </c:pt>
                <c:pt idx="9">
                  <c:v>10.696820386751661</c:v>
                </c:pt>
                <c:pt idx="10">
                  <c:v>14.698274516498451</c:v>
                </c:pt>
                <c:pt idx="11">
                  <c:v>16.539364215000159</c:v>
                </c:pt>
                <c:pt idx="12">
                  <c:v>6.616338004985983</c:v>
                </c:pt>
                <c:pt idx="13">
                  <c:v>5.2141017624034536</c:v>
                </c:pt>
                <c:pt idx="14">
                  <c:v>0.604633352342139</c:v>
                </c:pt>
                <c:pt idx="15">
                  <c:v>0.35864688280172424</c:v>
                </c:pt>
                <c:pt idx="16">
                  <c:v>0.10451122861875817</c:v>
                </c:pt>
                <c:pt idx="17">
                  <c:v>0.10893418164959043</c:v>
                </c:pt>
                <c:pt idx="18">
                  <c:v>5.1415960175666218</c:v>
                </c:pt>
                <c:pt idx="19">
                  <c:v>7.3898745664426038</c:v>
                </c:pt>
                <c:pt idx="20">
                  <c:v>5.7233457425335121</c:v>
                </c:pt>
                <c:pt idx="21">
                  <c:v>9.9126409843517127</c:v>
                </c:pt>
                <c:pt idx="22">
                  <c:v>20.714867868449449</c:v>
                </c:pt>
                <c:pt idx="23">
                  <c:v>10.037475437603732</c:v>
                </c:pt>
                <c:pt idx="24">
                  <c:v>2.2946317768124884</c:v>
                </c:pt>
                <c:pt idx="25">
                  <c:v>7.7064400084301132</c:v>
                </c:pt>
                <c:pt idx="26">
                  <c:v>15.943710435198005</c:v>
                </c:pt>
                <c:pt idx="27">
                  <c:v>10.996606365718334</c:v>
                </c:pt>
                <c:pt idx="28">
                  <c:v>6.0648584285925313</c:v>
                </c:pt>
                <c:pt idx="29">
                  <c:v>1.4609258994134997</c:v>
                </c:pt>
                <c:pt idx="30">
                  <c:v>0.29333321099292681</c:v>
                </c:pt>
                <c:pt idx="31">
                  <c:v>0.59956022239506246</c:v>
                </c:pt>
                <c:pt idx="32">
                  <c:v>1.178770818335189</c:v>
                </c:pt>
                <c:pt idx="33">
                  <c:v>1.5718208408635403</c:v>
                </c:pt>
                <c:pt idx="34">
                  <c:v>7.6987006572748253</c:v>
                </c:pt>
                <c:pt idx="35">
                  <c:v>14.041335333507957</c:v>
                </c:pt>
                <c:pt idx="36">
                  <c:v>19.059769100266276</c:v>
                </c:pt>
                <c:pt idx="37">
                  <c:v>12.855252900017149</c:v>
                </c:pt>
                <c:pt idx="38">
                  <c:v>18.830553884262144</c:v>
                </c:pt>
                <c:pt idx="39">
                  <c:v>19.142127591329871</c:v>
                </c:pt>
                <c:pt idx="40">
                  <c:v>13.529055011430771</c:v>
                </c:pt>
                <c:pt idx="41">
                  <c:v>8.6883869064681782</c:v>
                </c:pt>
                <c:pt idx="42">
                  <c:v>13.430783589535418</c:v>
                </c:pt>
                <c:pt idx="43">
                  <c:v>15.004320292649924</c:v>
                </c:pt>
                <c:pt idx="44">
                  <c:v>5.2714336749238822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5AAA-4028-A5F6-9ED64FEA1AB7}"/>
            </c:ext>
          </c:extLst>
        </c:ser>
        <c:ser>
          <c:idx val="5"/>
          <c:order val="4"/>
          <c:tx>
            <c:v>Chuva Dir</c:v>
          </c:tx>
          <c:spPr>
            <a:solidFill>
              <a:srgbClr val="FFFF99">
                <a:alpha val="81000"/>
              </a:srgbClr>
            </a:solidFill>
            <a:ln w="0">
              <a:solidFill>
                <a:srgbClr val="FFC000"/>
              </a:solidFill>
            </a:ln>
          </c:spPr>
          <c:val>
            <c:numRef>
              <c:f>Operacional_10_dias!#REF!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5AAA-4028-A5F6-9ED64FEA1AB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65003408"/>
        <c:axId val="565002864"/>
      </c:areaChart>
      <c:lineChart>
        <c:grouping val="standard"/>
        <c:varyColors val="0"/>
        <c:ser>
          <c:idx val="0"/>
          <c:order val="0"/>
          <c:spPr>
            <a:ln w="12700">
              <a:solidFill>
                <a:srgbClr val="FF0000"/>
              </a:solidFill>
              <a:prstDash val="solid"/>
            </a:ln>
          </c:spPr>
          <c:marker>
            <c:symbol val="none"/>
          </c:marker>
          <c:cat>
            <c:numRef>
              <c:f>Operacional_15_dias!$A$24:$A$68</c:f>
              <c:numCache>
                <c:formatCode>m/d/yyyy</c:formatCode>
                <c:ptCount val="45"/>
                <c:pt idx="0">
                  <c:v>42429</c:v>
                </c:pt>
                <c:pt idx="1">
                  <c:v>42430</c:v>
                </c:pt>
                <c:pt idx="2">
                  <c:v>42431</c:v>
                </c:pt>
                <c:pt idx="3">
                  <c:v>42432</c:v>
                </c:pt>
                <c:pt idx="4">
                  <c:v>42433</c:v>
                </c:pt>
                <c:pt idx="5">
                  <c:v>42434</c:v>
                </c:pt>
                <c:pt idx="6">
                  <c:v>42435</c:v>
                </c:pt>
                <c:pt idx="7">
                  <c:v>42436</c:v>
                </c:pt>
                <c:pt idx="8">
                  <c:v>42437</c:v>
                </c:pt>
                <c:pt idx="9">
                  <c:v>42438</c:v>
                </c:pt>
                <c:pt idx="10">
                  <c:v>42439</c:v>
                </c:pt>
                <c:pt idx="11">
                  <c:v>42440</c:v>
                </c:pt>
                <c:pt idx="12">
                  <c:v>42441</c:v>
                </c:pt>
                <c:pt idx="13">
                  <c:v>42442</c:v>
                </c:pt>
                <c:pt idx="14">
                  <c:v>42443</c:v>
                </c:pt>
                <c:pt idx="15">
                  <c:v>42444</c:v>
                </c:pt>
                <c:pt idx="16">
                  <c:v>42445</c:v>
                </c:pt>
                <c:pt idx="17">
                  <c:v>42446</c:v>
                </c:pt>
                <c:pt idx="18">
                  <c:v>42447</c:v>
                </c:pt>
                <c:pt idx="19">
                  <c:v>42448</c:v>
                </c:pt>
                <c:pt idx="20">
                  <c:v>42449</c:v>
                </c:pt>
                <c:pt idx="21">
                  <c:v>42450</c:v>
                </c:pt>
                <c:pt idx="22">
                  <c:v>42451</c:v>
                </c:pt>
                <c:pt idx="23">
                  <c:v>42452</c:v>
                </c:pt>
                <c:pt idx="24">
                  <c:v>42453</c:v>
                </c:pt>
                <c:pt idx="25">
                  <c:v>42454</c:v>
                </c:pt>
                <c:pt idx="26">
                  <c:v>42455</c:v>
                </c:pt>
                <c:pt idx="27">
                  <c:v>42456</c:v>
                </c:pt>
                <c:pt idx="28">
                  <c:v>42457</c:v>
                </c:pt>
                <c:pt idx="29">
                  <c:v>42458</c:v>
                </c:pt>
                <c:pt idx="30">
                  <c:v>42459</c:v>
                </c:pt>
                <c:pt idx="31">
                  <c:v>42460</c:v>
                </c:pt>
                <c:pt idx="32">
                  <c:v>42461</c:v>
                </c:pt>
                <c:pt idx="33">
                  <c:v>42462</c:v>
                </c:pt>
                <c:pt idx="34">
                  <c:v>42463</c:v>
                </c:pt>
                <c:pt idx="35">
                  <c:v>42464</c:v>
                </c:pt>
                <c:pt idx="36">
                  <c:v>42465</c:v>
                </c:pt>
                <c:pt idx="37">
                  <c:v>42466</c:v>
                </c:pt>
                <c:pt idx="38">
                  <c:v>42467</c:v>
                </c:pt>
                <c:pt idx="39">
                  <c:v>42468</c:v>
                </c:pt>
                <c:pt idx="40">
                  <c:v>42469</c:v>
                </c:pt>
                <c:pt idx="41">
                  <c:v>42470</c:v>
                </c:pt>
                <c:pt idx="42">
                  <c:v>42471</c:v>
                </c:pt>
                <c:pt idx="43">
                  <c:v>42472</c:v>
                </c:pt>
                <c:pt idx="44">
                  <c:v>42473</c:v>
                </c:pt>
              </c:numCache>
            </c:numRef>
          </c:cat>
          <c:val>
            <c:numRef>
              <c:f>Operacional_15_dias!$E$24:$E$68</c:f>
              <c:numCache>
                <c:formatCode>0</c:formatCode>
                <c:ptCount val="45"/>
                <c:pt idx="0">
                  <c:v>1049.422528724215</c:v>
                </c:pt>
                <c:pt idx="1">
                  <c:v>862.97064693653431</c:v>
                </c:pt>
                <c:pt idx="2">
                  <c:v>781.87694485499287</c:v>
                </c:pt>
                <c:pt idx="3">
                  <c:v>2015.2835387628393</c:v>
                </c:pt>
                <c:pt idx="4">
                  <c:v>2316.447365852468</c:v>
                </c:pt>
                <c:pt idx="5">
                  <c:v>1949.1376615096544</c:v>
                </c:pt>
                <c:pt idx="6">
                  <c:v>1535.3191391419666</c:v>
                </c:pt>
                <c:pt idx="7">
                  <c:v>1225.7764075248226</c:v>
                </c:pt>
                <c:pt idx="8">
                  <c:v>1002.62722551921</c:v>
                </c:pt>
                <c:pt idx="9">
                  <c:v>1181.3037124829168</c:v>
                </c:pt>
                <c:pt idx="10">
                  <c:v>1710.1463410102242</c:v>
                </c:pt>
                <c:pt idx="11">
                  <c:v>2440.2438718612666</c:v>
                </c:pt>
                <c:pt idx="12">
                  <c:v>2112.1861731406452</c:v>
                </c:pt>
                <c:pt idx="13">
                  <c:v>1772.7470839815267</c:v>
                </c:pt>
                <c:pt idx="14">
                  <c:v>1415.7528971016848</c:v>
                </c:pt>
                <c:pt idx="15">
                  <c:v>1148.6104543408542</c:v>
                </c:pt>
                <c:pt idx="16">
                  <c:v>946.87640018726324</c:v>
                </c:pt>
                <c:pt idx="17">
                  <c:v>794.10919165361429</c:v>
                </c:pt>
                <c:pt idx="18">
                  <c:v>726.41791195110068</c:v>
                </c:pt>
                <c:pt idx="19">
                  <c:v>758.86321682710786</c:v>
                </c:pt>
                <c:pt idx="20">
                  <c:v>720.69132105233962</c:v>
                </c:pt>
                <c:pt idx="21">
                  <c:v>907.72537981185394</c:v>
                </c:pt>
                <c:pt idx="22">
                  <c:v>2080.3405279106382</c:v>
                </c:pt>
                <c:pt idx="23">
                  <c:v>2071.0357635072796</c:v>
                </c:pt>
                <c:pt idx="24">
                  <c:v>1645.3172901389632</c:v>
                </c:pt>
                <c:pt idx="25">
                  <c:v>1553.3510188338412</c:v>
                </c:pt>
                <c:pt idx="26">
                  <c:v>2283.0119370215161</c:v>
                </c:pt>
                <c:pt idx="27">
                  <c:v>2416.4325795814093</c:v>
                </c:pt>
                <c:pt idx="28">
                  <c:v>2090.196038220738</c:v>
                </c:pt>
                <c:pt idx="29">
                  <c:v>1670.4192927883753</c:v>
                </c:pt>
                <c:pt idx="30">
                  <c:v>1356.3325791958575</c:v>
                </c:pt>
                <c:pt idx="31">
                  <c:v>1119.5858389298428</c:v>
                </c:pt>
                <c:pt idx="32">
                  <c:v>940.29388265492844</c:v>
                </c:pt>
                <c:pt idx="33">
                  <c:v>804.23138541649678</c:v>
                </c:pt>
                <c:pt idx="34">
                  <c:v>857.64759320018152</c:v>
                </c:pt>
                <c:pt idx="35">
                  <c:v>1375.8435509219739</c:v>
                </c:pt>
                <c:pt idx="36">
                  <c:v>2449.9894700483337</c:v>
                </c:pt>
                <c:pt idx="37">
                  <c:v>2780.2104182988674</c:v>
                </c:pt>
                <c:pt idx="38">
                  <c:v>3969.2032686488378</c:v>
                </c:pt>
                <c:pt idx="39">
                  <c:v>5134.4447450760745</c:v>
                </c:pt>
                <c:pt idx="40">
                  <c:v>5288.6224137951003</c:v>
                </c:pt>
                <c:pt idx="41">
                  <c:v>4729.3549104522181</c:v>
                </c:pt>
                <c:pt idx="42">
                  <c:v>4939.2779699013099</c:v>
                </c:pt>
                <c:pt idx="43">
                  <c:v>5356.7462985579859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5AAA-4028-A5F6-9ED64FEA1AB7}"/>
            </c:ext>
          </c:extLst>
        </c:ser>
        <c:ser>
          <c:idx val="1"/>
          <c:order val="1"/>
          <c:tx>
            <c:v>Q nat</c:v>
          </c:tx>
          <c:spPr>
            <a:ln w="12700">
              <a:solidFill>
                <a:srgbClr val="0000FF"/>
              </a:solidFill>
              <a:prstDash val="solid"/>
            </a:ln>
          </c:spPr>
          <c:marker>
            <c:symbol val="none"/>
          </c:marker>
          <c:cat>
            <c:numRef>
              <c:f>Operacional_15_dias!$A$24:$A$68</c:f>
              <c:numCache>
                <c:formatCode>m/d/yyyy</c:formatCode>
                <c:ptCount val="45"/>
                <c:pt idx="0">
                  <c:v>42429</c:v>
                </c:pt>
                <c:pt idx="1">
                  <c:v>42430</c:v>
                </c:pt>
                <c:pt idx="2">
                  <c:v>42431</c:v>
                </c:pt>
                <c:pt idx="3">
                  <c:v>42432</c:v>
                </c:pt>
                <c:pt idx="4">
                  <c:v>42433</c:v>
                </c:pt>
                <c:pt idx="5">
                  <c:v>42434</c:v>
                </c:pt>
                <c:pt idx="6">
                  <c:v>42435</c:v>
                </c:pt>
                <c:pt idx="7">
                  <c:v>42436</c:v>
                </c:pt>
                <c:pt idx="8">
                  <c:v>42437</c:v>
                </c:pt>
                <c:pt idx="9">
                  <c:v>42438</c:v>
                </c:pt>
                <c:pt idx="10">
                  <c:v>42439</c:v>
                </c:pt>
                <c:pt idx="11">
                  <c:v>42440</c:v>
                </c:pt>
                <c:pt idx="12">
                  <c:v>42441</c:v>
                </c:pt>
                <c:pt idx="13">
                  <c:v>42442</c:v>
                </c:pt>
                <c:pt idx="14">
                  <c:v>42443</c:v>
                </c:pt>
                <c:pt idx="15">
                  <c:v>42444</c:v>
                </c:pt>
                <c:pt idx="16">
                  <c:v>42445</c:v>
                </c:pt>
                <c:pt idx="17">
                  <c:v>42446</c:v>
                </c:pt>
                <c:pt idx="18">
                  <c:v>42447</c:v>
                </c:pt>
                <c:pt idx="19">
                  <c:v>42448</c:v>
                </c:pt>
                <c:pt idx="20">
                  <c:v>42449</c:v>
                </c:pt>
                <c:pt idx="21">
                  <c:v>42450</c:v>
                </c:pt>
                <c:pt idx="22">
                  <c:v>42451</c:v>
                </c:pt>
                <c:pt idx="23">
                  <c:v>42452</c:v>
                </c:pt>
                <c:pt idx="24">
                  <c:v>42453</c:v>
                </c:pt>
                <c:pt idx="25">
                  <c:v>42454</c:v>
                </c:pt>
                <c:pt idx="26">
                  <c:v>42455</c:v>
                </c:pt>
                <c:pt idx="27">
                  <c:v>42456</c:v>
                </c:pt>
                <c:pt idx="28">
                  <c:v>42457</c:v>
                </c:pt>
                <c:pt idx="29">
                  <c:v>42458</c:v>
                </c:pt>
                <c:pt idx="30">
                  <c:v>42459</c:v>
                </c:pt>
                <c:pt idx="31">
                  <c:v>42460</c:v>
                </c:pt>
                <c:pt idx="32">
                  <c:v>42461</c:v>
                </c:pt>
                <c:pt idx="33">
                  <c:v>42462</c:v>
                </c:pt>
                <c:pt idx="34">
                  <c:v>42463</c:v>
                </c:pt>
                <c:pt idx="35">
                  <c:v>42464</c:v>
                </c:pt>
                <c:pt idx="36">
                  <c:v>42465</c:v>
                </c:pt>
                <c:pt idx="37">
                  <c:v>42466</c:v>
                </c:pt>
                <c:pt idx="38">
                  <c:v>42467</c:v>
                </c:pt>
                <c:pt idx="39">
                  <c:v>42468</c:v>
                </c:pt>
                <c:pt idx="40">
                  <c:v>42469</c:v>
                </c:pt>
                <c:pt idx="41">
                  <c:v>42470</c:v>
                </c:pt>
                <c:pt idx="42">
                  <c:v>42471</c:v>
                </c:pt>
                <c:pt idx="43">
                  <c:v>42472</c:v>
                </c:pt>
                <c:pt idx="44">
                  <c:v>42473</c:v>
                </c:pt>
              </c:numCache>
            </c:numRef>
          </c:cat>
          <c:val>
            <c:numRef>
              <c:f>Operacional_15_dias!$B$24:$B$68</c:f>
              <c:numCache>
                <c:formatCode>0</c:formatCode>
                <c:ptCount val="45"/>
                <c:pt idx="0">
                  <c:v>1035.03556978713</c:v>
                </c:pt>
                <c:pt idx="1">
                  <c:v>894.423546771171</c:v>
                </c:pt>
                <c:pt idx="2">
                  <c:v>770.51679494953601</c:v>
                </c:pt>
                <c:pt idx="3">
                  <c:v>2008.20300002503</c:v>
                </c:pt>
                <c:pt idx="4">
                  <c:v>2064.5436128544702</c:v>
                </c:pt>
                <c:pt idx="5">
                  <c:v>1933.3914916014901</c:v>
                </c:pt>
                <c:pt idx="6">
                  <c:v>1700.6263589523101</c:v>
                </c:pt>
                <c:pt idx="7">
                  <c:v>1339.08532292257</c:v>
                </c:pt>
                <c:pt idx="8">
                  <c:v>1099.2439515618901</c:v>
                </c:pt>
                <c:pt idx="9">
                  <c:v>1180.2527855814201</c:v>
                </c:pt>
                <c:pt idx="10">
                  <c:v>1709.14781201286</c:v>
                </c:pt>
                <c:pt idx="11">
                  <c:v>2064.19808210052</c:v>
                </c:pt>
                <c:pt idx="12">
                  <c:v>2041.8017553371501</c:v>
                </c:pt>
                <c:pt idx="13">
                  <c:v>1897.4468000433001</c:v>
                </c:pt>
                <c:pt idx="14">
                  <c:v>1561.3107932038799</c:v>
                </c:pt>
                <c:pt idx="15">
                  <c:v>1289.2214994701901</c:v>
                </c:pt>
                <c:pt idx="16">
                  <c:v>1090.66473545695</c:v>
                </c:pt>
                <c:pt idx="17">
                  <c:v>929.17803163181395</c:v>
                </c:pt>
                <c:pt idx="18">
                  <c:v>832.586682242763</c:v>
                </c:pt>
                <c:pt idx="19">
                  <c:v>760.89026976625405</c:v>
                </c:pt>
                <c:pt idx="20">
                  <c:v>671.57040358134805</c:v>
                </c:pt>
                <c:pt idx="21">
                  <c:v>907.67806605403598</c:v>
                </c:pt>
                <c:pt idx="22">
                  <c:v>2079.9068913917499</c:v>
                </c:pt>
                <c:pt idx="23">
                  <c:v>2114</c:v>
                </c:pt>
                <c:pt idx="24">
                  <c:v>1609</c:v>
                </c:pt>
                <c:pt idx="25">
                  <c:v>1553</c:v>
                </c:pt>
                <c:pt idx="26">
                  <c:v>2283</c:v>
                </c:pt>
                <c:pt idx="27">
                  <c:v>2411</c:v>
                </c:pt>
                <c:pt idx="28">
                  <c:v>2110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5AAA-4028-A5F6-9ED64FEA1AB7}"/>
            </c:ext>
          </c:extLst>
        </c:ser>
        <c:ser>
          <c:idx val="2"/>
          <c:order val="2"/>
          <c:spPr>
            <a:ln w="25400">
              <a:solidFill>
                <a:srgbClr val="999933"/>
              </a:solidFill>
              <a:prstDash val="solid"/>
            </a:ln>
          </c:spPr>
          <c:marker>
            <c:symbol val="none"/>
          </c:marker>
          <c:cat>
            <c:numRef>
              <c:f>Operacional_15_dias!$A$24:$A$68</c:f>
              <c:numCache>
                <c:formatCode>m/d/yyyy</c:formatCode>
                <c:ptCount val="45"/>
                <c:pt idx="0">
                  <c:v>42429</c:v>
                </c:pt>
                <c:pt idx="1">
                  <c:v>42430</c:v>
                </c:pt>
                <c:pt idx="2">
                  <c:v>42431</c:v>
                </c:pt>
                <c:pt idx="3">
                  <c:v>42432</c:v>
                </c:pt>
                <c:pt idx="4">
                  <c:v>42433</c:v>
                </c:pt>
                <c:pt idx="5">
                  <c:v>42434</c:v>
                </c:pt>
                <c:pt idx="6">
                  <c:v>42435</c:v>
                </c:pt>
                <c:pt idx="7">
                  <c:v>42436</c:v>
                </c:pt>
                <c:pt idx="8">
                  <c:v>42437</c:v>
                </c:pt>
                <c:pt idx="9">
                  <c:v>42438</c:v>
                </c:pt>
                <c:pt idx="10">
                  <c:v>42439</c:v>
                </c:pt>
                <c:pt idx="11">
                  <c:v>42440</c:v>
                </c:pt>
                <c:pt idx="12">
                  <c:v>42441</c:v>
                </c:pt>
                <c:pt idx="13">
                  <c:v>42442</c:v>
                </c:pt>
                <c:pt idx="14">
                  <c:v>42443</c:v>
                </c:pt>
                <c:pt idx="15">
                  <c:v>42444</c:v>
                </c:pt>
                <c:pt idx="16">
                  <c:v>42445</c:v>
                </c:pt>
                <c:pt idx="17">
                  <c:v>42446</c:v>
                </c:pt>
                <c:pt idx="18">
                  <c:v>42447</c:v>
                </c:pt>
                <c:pt idx="19">
                  <c:v>42448</c:v>
                </c:pt>
                <c:pt idx="20">
                  <c:v>42449</c:v>
                </c:pt>
                <c:pt idx="21">
                  <c:v>42450</c:v>
                </c:pt>
                <c:pt idx="22">
                  <c:v>42451</c:v>
                </c:pt>
                <c:pt idx="23">
                  <c:v>42452</c:v>
                </c:pt>
                <c:pt idx="24">
                  <c:v>42453</c:v>
                </c:pt>
                <c:pt idx="25">
                  <c:v>42454</c:v>
                </c:pt>
                <c:pt idx="26">
                  <c:v>42455</c:v>
                </c:pt>
                <c:pt idx="27">
                  <c:v>42456</c:v>
                </c:pt>
                <c:pt idx="28">
                  <c:v>42457</c:v>
                </c:pt>
                <c:pt idx="29">
                  <c:v>42458</c:v>
                </c:pt>
                <c:pt idx="30">
                  <c:v>42459</c:v>
                </c:pt>
                <c:pt idx="31">
                  <c:v>42460</c:v>
                </c:pt>
                <c:pt idx="32">
                  <c:v>42461</c:v>
                </c:pt>
                <c:pt idx="33">
                  <c:v>42462</c:v>
                </c:pt>
                <c:pt idx="34">
                  <c:v>42463</c:v>
                </c:pt>
                <c:pt idx="35">
                  <c:v>42464</c:v>
                </c:pt>
                <c:pt idx="36">
                  <c:v>42465</c:v>
                </c:pt>
                <c:pt idx="37">
                  <c:v>42466</c:v>
                </c:pt>
                <c:pt idx="38">
                  <c:v>42467</c:v>
                </c:pt>
                <c:pt idx="39">
                  <c:v>42468</c:v>
                </c:pt>
                <c:pt idx="40">
                  <c:v>42469</c:v>
                </c:pt>
                <c:pt idx="41">
                  <c:v>42470</c:v>
                </c:pt>
                <c:pt idx="42">
                  <c:v>42471</c:v>
                </c:pt>
                <c:pt idx="43">
                  <c:v>42472</c:v>
                </c:pt>
                <c:pt idx="44">
                  <c:v>42473</c:v>
                </c:pt>
              </c:numCache>
            </c:numRef>
          </c:cat>
          <c:val>
            <c:numRef>
              <c:f>Operacional_15_dias!$F$24:$F$68</c:f>
              <c:numCache>
                <c:formatCode>0.00</c:formatCode>
                <c:ptCount val="45"/>
                <c:pt idx="0">
                  <c:v>249.8449596097982</c:v>
                </c:pt>
                <c:pt idx="1">
                  <c:v>250.00754634773659</c:v>
                </c:pt>
                <c:pt idx="2">
                  <c:v>249.21185308259496</c:v>
                </c:pt>
                <c:pt idx="3">
                  <c:v>248.143835730674</c:v>
                </c:pt>
                <c:pt idx="4">
                  <c:v>247.52851275148947</c:v>
                </c:pt>
                <c:pt idx="5">
                  <c:v>251.76213945349801</c:v>
                </c:pt>
                <c:pt idx="6">
                  <c:v>258.79078079509446</c:v>
                </c:pt>
                <c:pt idx="7">
                  <c:v>265.75039767062344</c:v>
                </c:pt>
                <c:pt idx="8">
                  <c:v>270.8291002228458</c:v>
                </c:pt>
                <c:pt idx="9">
                  <c:v>273.75061278692425</c:v>
                </c:pt>
                <c:pt idx="10">
                  <c:v>275.87593399071278</c:v>
                </c:pt>
                <c:pt idx="11">
                  <c:v>279.834878425569</c:v>
                </c:pt>
                <c:pt idx="12">
                  <c:v>286.59828962859422</c:v>
                </c:pt>
                <c:pt idx="13">
                  <c:v>296.10649094486013</c:v>
                </c:pt>
                <c:pt idx="14">
                  <c:v>305.23046549854746</c:v>
                </c:pt>
                <c:pt idx="15">
                  <c:v>313.43087380556437</c:v>
                </c:pt>
                <c:pt idx="16">
                  <c:v>318.77118421592644</c:v>
                </c:pt>
                <c:pt idx="17">
                  <c:v>321.73633732982518</c:v>
                </c:pt>
                <c:pt idx="18">
                  <c:v>322.72809361252524</c:v>
                </c:pt>
                <c:pt idx="19">
                  <c:v>322.16022813526422</c:v>
                </c:pt>
                <c:pt idx="20">
                  <c:v>321.57019299747486</c:v>
                </c:pt>
                <c:pt idx="21">
                  <c:v>321.82918876354728</c:v>
                </c:pt>
                <c:pt idx="22">
                  <c:v>322.32107607714011</c:v>
                </c:pt>
                <c:pt idx="23">
                  <c:v>324.4469187804396</c:v>
                </c:pt>
                <c:pt idx="24">
                  <c:v>330.8304488518869</c:v>
                </c:pt>
                <c:pt idx="25">
                  <c:v>338.36449651818793</c:v>
                </c:pt>
                <c:pt idx="26">
                  <c:v>343.93605125661549</c:v>
                </c:pt>
                <c:pt idx="27">
                  <c:v>349.99296704631161</c:v>
                </c:pt>
                <c:pt idx="28">
                  <c:v>358.64357013483868</c:v>
                </c:pt>
                <c:pt idx="29">
                  <c:v>368.18781792913114</c:v>
                </c:pt>
                <c:pt idx="30">
                  <c:v>376.9762816713199</c:v>
                </c:pt>
                <c:pt idx="31">
                  <c:v>383.0510707123546</c:v>
                </c:pt>
                <c:pt idx="32">
                  <c:v>386.37549139692271</c:v>
                </c:pt>
                <c:pt idx="33">
                  <c:v>387.65147987257257</c:v>
                </c:pt>
                <c:pt idx="34">
                  <c:v>387.8428036326647</c:v>
                </c:pt>
                <c:pt idx="35">
                  <c:v>387.22947022266737</c:v>
                </c:pt>
                <c:pt idx="36">
                  <c:v>388.09525699250162</c:v>
                </c:pt>
                <c:pt idx="37">
                  <c:v>392.38511617285059</c:v>
                </c:pt>
                <c:pt idx="38">
                  <c:v>400.86833249624107</c:v>
                </c:pt>
                <c:pt idx="39">
                  <c:v>411.32465500058402</c:v>
                </c:pt>
                <c:pt idx="40">
                  <c:v>423.77114462918092</c:v>
                </c:pt>
                <c:pt idx="41">
                  <c:v>437.01215931603156</c:v>
                </c:pt>
                <c:pt idx="42">
                  <c:v>450.11369578118382</c:v>
                </c:pt>
                <c:pt idx="43">
                  <c:v>462.60272779245832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5AAA-4028-A5F6-9ED64FEA1AB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65000688"/>
        <c:axId val="565001776"/>
      </c:lineChart>
      <c:dateAx>
        <c:axId val="565000688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Meses/anos</a:t>
                </a:r>
              </a:p>
            </c:rich>
          </c:tx>
          <c:layout>
            <c:manualLayout>
              <c:xMode val="edge"/>
              <c:yMode val="edge"/>
              <c:x val="0.48698459130603405"/>
              <c:y val="0.90562437590038092"/>
            </c:manualLayout>
          </c:layout>
          <c:overlay val="0"/>
        </c:title>
        <c:numFmt formatCode="[$-416]mmm\-yy;@" sourceLinked="0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-1500000" vert="horz"/>
          <a:lstStyle/>
          <a:p>
            <a:pPr>
              <a:defRPr/>
            </a:pPr>
            <a:endParaRPr lang="pt-BR"/>
          </a:p>
        </c:txPr>
        <c:crossAx val="565001776"/>
        <c:crosses val="autoZero"/>
        <c:auto val="0"/>
        <c:lblOffset val="100"/>
        <c:baseTimeUnit val="days"/>
        <c:majorUnit val="1"/>
        <c:majorTimeUnit val="months"/>
        <c:minorUnit val="1"/>
      </c:dateAx>
      <c:valAx>
        <c:axId val="565001776"/>
        <c:scaling>
          <c:orientation val="minMax"/>
          <c:min val="0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 sz="1600"/>
                </a:pPr>
                <a:r>
                  <a:rPr lang="pt-BR" sz="1600"/>
                  <a:t>Vazões (m³/s)</a:t>
                </a:r>
              </a:p>
            </c:rich>
          </c:tx>
          <c:layout>
            <c:manualLayout>
              <c:xMode val="edge"/>
              <c:yMode val="edge"/>
              <c:x val="5.3936113587626873E-5"/>
              <c:y val="0.3198800936316068"/>
            </c:manualLayout>
          </c:layout>
          <c:overlay val="0"/>
        </c:title>
        <c:numFmt formatCode="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/>
            </a:pPr>
            <a:endParaRPr lang="pt-BR"/>
          </a:p>
        </c:txPr>
        <c:crossAx val="565000688"/>
        <c:crosses val="autoZero"/>
        <c:crossBetween val="between"/>
      </c:valAx>
      <c:valAx>
        <c:axId val="565002864"/>
        <c:scaling>
          <c:orientation val="maxMin"/>
          <c:max val="150"/>
          <c:min val="0"/>
        </c:scaling>
        <c:delete val="0"/>
        <c:axPos val="r"/>
        <c:title>
          <c:tx>
            <c:rich>
              <a:bodyPr/>
              <a:lstStyle/>
              <a:p>
                <a:pPr>
                  <a:defRPr/>
                </a:pPr>
                <a:r>
                  <a:rPr lang="pt-BR"/>
                  <a:t>Precipitação</a:t>
                </a:r>
              </a:p>
            </c:rich>
          </c:tx>
          <c:layout>
            <c:manualLayout>
              <c:xMode val="edge"/>
              <c:yMode val="edge"/>
              <c:x val="0.98839002300740897"/>
              <c:y val="0.14803108771576381"/>
            </c:manualLayout>
          </c:layout>
          <c:overlay val="0"/>
        </c:title>
        <c:numFmt formatCode="0" sourceLinked="0"/>
        <c:majorTickMark val="out"/>
        <c:minorTickMark val="none"/>
        <c:tickLblPos val="nextTo"/>
        <c:crossAx val="565003408"/>
        <c:crosses val="max"/>
        <c:crossBetween val="between"/>
        <c:majorUnit val="10"/>
      </c:valAx>
      <c:catAx>
        <c:axId val="565003408"/>
        <c:scaling>
          <c:orientation val="minMax"/>
        </c:scaling>
        <c:delete val="1"/>
        <c:axPos val="t"/>
        <c:numFmt formatCode="mmm\-yy" sourceLinked="1"/>
        <c:majorTickMark val="out"/>
        <c:minorTickMark val="none"/>
        <c:tickLblPos val="nextTo"/>
        <c:crossAx val="565002864"/>
        <c:crosses val="autoZero"/>
        <c:auto val="0"/>
        <c:lblAlgn val="ctr"/>
        <c:lblOffset val="100"/>
        <c:noMultiLvlLbl val="1"/>
      </c:catAx>
      <c:spPr>
        <a:solidFill>
          <a:srgbClr val="FFFFFF"/>
        </a:solidFill>
        <a:ln w="12700">
          <a:solidFill>
            <a:srgbClr val="808080"/>
          </a:solidFill>
          <a:prstDash val="solid"/>
        </a:ln>
      </c:spPr>
    </c:plotArea>
    <c:legend>
      <c:legendPos val="r"/>
      <c:layout>
        <c:manualLayout>
          <c:xMode val="edge"/>
          <c:yMode val="edge"/>
          <c:x val="0"/>
          <c:y val="0.95975211573283337"/>
          <c:w val="1"/>
          <c:h val="4.0247884267166655E-2"/>
        </c:manualLayout>
      </c:layout>
      <c:overlay val="0"/>
      <c:spPr>
        <a:noFill/>
        <a:ln w="3175">
          <a:noFill/>
          <a:prstDash val="solid"/>
        </a:ln>
      </c:spPr>
    </c:legend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400" b="0" i="0" u="none" strike="noStrike" baseline="0">
          <a:solidFill>
            <a:srgbClr val="000000"/>
          </a:solidFill>
          <a:latin typeface="Times New Roman" panose="02020603050405020304" pitchFamily="18" charset="0"/>
          <a:ea typeface="Arial"/>
          <a:cs typeface="Times New Roman" panose="02020603050405020304" pitchFamily="18" charset="0"/>
        </a:defRPr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2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lang="en-US"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r>
              <a:rPr lang="pt-BR"/>
              <a:t>Erro %</a:t>
            </a:r>
          </a:p>
        </c:rich>
      </c:tx>
      <c:layout>
        <c:manualLayout>
          <c:xMode val="edge"/>
          <c:yMode val="edge"/>
          <c:x val="0.13793125714567911"/>
          <c:y val="3.913954375881061E-2"/>
        </c:manualLayout>
      </c:layout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0.132822684721668"/>
          <c:y val="0.23483590344360997"/>
          <c:w val="0.85313032109687004"/>
          <c:h val="0.65754052964210941"/>
        </c:manualLayout>
      </c:layout>
      <c:lineChart>
        <c:grouping val="standard"/>
        <c:varyColors val="0"/>
        <c:ser>
          <c:idx val="0"/>
          <c:order val="0"/>
          <c:spPr>
            <a:ln w="12700">
              <a:solidFill>
                <a:srgbClr val="000080"/>
              </a:solidFill>
              <a:prstDash val="solid"/>
            </a:ln>
          </c:spPr>
          <c:marker>
            <c:symbol val="none"/>
          </c:marker>
          <c:cat>
            <c:numRef>
              <c:f>Operacional_15_dias!$A$22:$A$47</c:f>
              <c:numCache>
                <c:formatCode>m/d/yyyy</c:formatCode>
                <c:ptCount val="26"/>
                <c:pt idx="0">
                  <c:v>42427</c:v>
                </c:pt>
                <c:pt idx="1">
                  <c:v>42428</c:v>
                </c:pt>
                <c:pt idx="2">
                  <c:v>42429</c:v>
                </c:pt>
                <c:pt idx="3">
                  <c:v>42430</c:v>
                </c:pt>
                <c:pt idx="4">
                  <c:v>42431</c:v>
                </c:pt>
                <c:pt idx="5">
                  <c:v>42432</c:v>
                </c:pt>
                <c:pt idx="6">
                  <c:v>42433</c:v>
                </c:pt>
                <c:pt idx="7">
                  <c:v>42434</c:v>
                </c:pt>
                <c:pt idx="8">
                  <c:v>42435</c:v>
                </c:pt>
                <c:pt idx="9">
                  <c:v>42436</c:v>
                </c:pt>
                <c:pt idx="10">
                  <c:v>42437</c:v>
                </c:pt>
                <c:pt idx="11">
                  <c:v>42438</c:v>
                </c:pt>
                <c:pt idx="12">
                  <c:v>42439</c:v>
                </c:pt>
                <c:pt idx="13">
                  <c:v>42440</c:v>
                </c:pt>
                <c:pt idx="14">
                  <c:v>42441</c:v>
                </c:pt>
                <c:pt idx="15">
                  <c:v>42442</c:v>
                </c:pt>
                <c:pt idx="16">
                  <c:v>42443</c:v>
                </c:pt>
                <c:pt idx="17">
                  <c:v>42444</c:v>
                </c:pt>
                <c:pt idx="18">
                  <c:v>42445</c:v>
                </c:pt>
                <c:pt idx="19">
                  <c:v>42446</c:v>
                </c:pt>
                <c:pt idx="20">
                  <c:v>42447</c:v>
                </c:pt>
                <c:pt idx="21">
                  <c:v>42448</c:v>
                </c:pt>
                <c:pt idx="22">
                  <c:v>42449</c:v>
                </c:pt>
                <c:pt idx="23">
                  <c:v>42450</c:v>
                </c:pt>
                <c:pt idx="24">
                  <c:v>42451</c:v>
                </c:pt>
                <c:pt idx="25">
                  <c:v>42452</c:v>
                </c:pt>
              </c:numCache>
            </c:numRef>
          </c:cat>
          <c:val>
            <c:numRef>
              <c:f>Operacional_15_dias!$C$22:$C$47</c:f>
              <c:numCache>
                <c:formatCode>0.00</c:formatCode>
                <c:ptCount val="26"/>
                <c:pt idx="2">
                  <c:v>1.9320904696515425E-4</c:v>
                </c:pt>
                <c:pt idx="3">
                  <c:v>1.2366162118570292E-3</c:v>
                </c:pt>
                <c:pt idx="4">
                  <c:v>2.1737215230292778E-4</c:v>
                </c:pt>
                <c:pt idx="5">
                  <c:v>1.243132393040255E-5</c:v>
                </c:pt>
                <c:pt idx="6">
                  <c:v>1.4887478678581607E-2</c:v>
                </c:pt>
                <c:pt idx="7">
                  <c:v>6.6330040222668834E-5</c:v>
                </c:pt>
                <c:pt idx="8">
                  <c:v>9.4485644839026849E-3</c:v>
                </c:pt>
                <c:pt idx="9">
                  <c:v>7.1599776225109739E-3</c:v>
                </c:pt>
                <c:pt idx="10">
                  <c:v>7.7253197606676231E-3</c:v>
                </c:pt>
                <c:pt idx="11">
                  <c:v>7.9285715576180203E-7</c:v>
                </c:pt>
                <c:pt idx="12">
                  <c:v>3.4132029782806381E-7</c:v>
                </c:pt>
                <c:pt idx="13">
                  <c:v>3.3187819612905463E-2</c:v>
                </c:pt>
                <c:pt idx="14">
                  <c:v>1.188299459431427E-3</c:v>
                </c:pt>
                <c:pt idx="15">
                  <c:v>4.3190846204540041E-3</c:v>
                </c:pt>
                <c:pt idx="16">
                  <c:v>8.6914615930283792E-3</c:v>
                </c:pt>
                <c:pt idx="17">
                  <c:v>1.1895529924825867E-2</c:v>
                </c:pt>
                <c:pt idx="18">
                  <c:v>1.7380600157408266E-2</c:v>
                </c:pt>
                <c:pt idx="19">
                  <c:v>2.1130631354135062E-2</c:v>
                </c:pt>
                <c:pt idx="20">
                  <c:v>1.6260528416143664E-2</c:v>
                </c:pt>
                <c:pt idx="21">
                  <c:v>7.0971849222414083E-6</c:v>
                </c:pt>
                <c:pt idx="22">
                  <c:v>5.3499514772770264E-3</c:v>
                </c:pt>
                <c:pt idx="23">
                  <c:v>2.7171349160104145E-9</c:v>
                </c:pt>
                <c:pt idx="24">
                  <c:v>4.3467424753388476E-8</c:v>
                </c:pt>
                <c:pt idx="25">
                  <c:v>4.1305152598087024E-4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83DC-4274-966C-389DE360E75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565005584"/>
        <c:axId val="565006128"/>
      </c:lineChart>
      <c:dateAx>
        <c:axId val="565005584"/>
        <c:scaling>
          <c:orientation val="minMax"/>
        </c:scaling>
        <c:delete val="0"/>
        <c:axPos val="b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mmm/yy" sourceLinked="0"/>
        <c:majorTickMark val="out"/>
        <c:minorTickMark val="none"/>
        <c:tickLblPos val="low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lang="en-US"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pt-BR"/>
          </a:p>
        </c:txPr>
        <c:crossAx val="565006128"/>
        <c:crosses val="autoZero"/>
        <c:auto val="1"/>
        <c:lblOffset val="100"/>
        <c:baseTimeUnit val="months"/>
        <c:majorUnit val="1"/>
        <c:majorTimeUnit val="years"/>
      </c:dateAx>
      <c:valAx>
        <c:axId val="565006128"/>
        <c:scaling>
          <c:orientation val="minMax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0.0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lang="en-US"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pt-BR"/>
          </a:p>
        </c:txPr>
        <c:crossAx val="565005584"/>
        <c:crosses val="autoZero"/>
        <c:crossBetween val="between"/>
      </c:valAx>
      <c:spPr>
        <a:solidFill>
          <a:srgbClr val="FFFFFF"/>
        </a:solidFill>
        <a:ln w="12700">
          <a:solidFill>
            <a:srgbClr val="808080"/>
          </a:solidFill>
          <a:prstDash val="solid"/>
        </a:ln>
      </c:spPr>
    </c:plotArea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8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pt-BR"/>
    </a:p>
  </c:txPr>
  <c:printSettings>
    <c:headerFooter alignWithMargins="0"/>
    <c:pageMargins b="0.98425196899999956" l="0.78740157499999996" r="0.78740157499999996" t="0.98425196899999956" header="0.49212598500000138" footer="0.49212598500000138"/>
    <c:pageSetup/>
  </c:printSettings>
</c:chartSpace>
</file>

<file path=xl/charts/chart2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3537696712016201"/>
          <c:y val="0.126050420168067"/>
          <c:w val="0.82503321471344004"/>
          <c:h val="0.61344537815125999"/>
        </c:manualLayout>
      </c:layout>
      <c:barChart>
        <c:barDir val="col"/>
        <c:grouping val="clustered"/>
        <c:varyColors val="0"/>
        <c:ser>
          <c:idx val="0"/>
          <c:order val="0"/>
          <c:spPr>
            <a:solidFill>
              <a:srgbClr val="8080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val>
            <c:numRef>
              <c:f>Operacional_15_dias!$AB$22:$AB$47</c:f>
              <c:numCache>
                <c:formatCode>0.0</c:formatCode>
                <c:ptCount val="26"/>
                <c:pt idx="0">
                  <c:v>14.849999999999994</c:v>
                </c:pt>
                <c:pt idx="1">
                  <c:v>3.0499999999999994</c:v>
                </c:pt>
                <c:pt idx="2">
                  <c:v>0.45999999999999996</c:v>
                </c:pt>
                <c:pt idx="3">
                  <c:v>0.24000000000000002</c:v>
                </c:pt>
                <c:pt idx="4">
                  <c:v>9.3000000000000025</c:v>
                </c:pt>
                <c:pt idx="5">
                  <c:v>31.29</c:v>
                </c:pt>
                <c:pt idx="6">
                  <c:v>4.3499999999999996</c:v>
                </c:pt>
                <c:pt idx="7">
                  <c:v>1.3199999999999998</c:v>
                </c:pt>
                <c:pt idx="8">
                  <c:v>0.41000000000000009</c:v>
                </c:pt>
                <c:pt idx="9">
                  <c:v>0.32</c:v>
                </c:pt>
                <c:pt idx="10">
                  <c:v>6.9999999999999979E-2</c:v>
                </c:pt>
                <c:pt idx="11">
                  <c:v>9.34</c:v>
                </c:pt>
                <c:pt idx="12">
                  <c:v>23.519999999999989</c:v>
                </c:pt>
                <c:pt idx="13">
                  <c:v>3.0900000000000012</c:v>
                </c:pt>
                <c:pt idx="14">
                  <c:v>2.86</c:v>
                </c:pt>
                <c:pt idx="15">
                  <c:v>0.73000000000000009</c:v>
                </c:pt>
                <c:pt idx="16">
                  <c:v>0.59000000000000008</c:v>
                </c:pt>
                <c:pt idx="17">
                  <c:v>6.9999999999999979E-2</c:v>
                </c:pt>
                <c:pt idx="18">
                  <c:v>0.13000000000000003</c:v>
                </c:pt>
                <c:pt idx="19">
                  <c:v>6.0000000000000005E-2</c:v>
                </c:pt>
                <c:pt idx="20">
                  <c:v>9.9999999999999964E-2</c:v>
                </c:pt>
                <c:pt idx="21">
                  <c:v>12.710000000000003</c:v>
                </c:pt>
                <c:pt idx="22">
                  <c:v>2.6999999999999993</c:v>
                </c:pt>
                <c:pt idx="23">
                  <c:v>24.95000000000001</c:v>
                </c:pt>
                <c:pt idx="24">
                  <c:v>18.129999999999992</c:v>
                </c:pt>
                <c:pt idx="25">
                  <c:v>0.83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FDDC-474F-A93F-58478D713B3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666212608"/>
        <c:axId val="666211520"/>
      </c:barChart>
      <c:catAx>
        <c:axId val="666212608"/>
        <c:scaling>
          <c:orientation val="minMax"/>
        </c:scaling>
        <c:delete val="0"/>
        <c:axPos val="b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lang="en-US" sz="85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pt-BR"/>
          </a:p>
        </c:txPr>
        <c:crossAx val="666211520"/>
        <c:crosses val="autoZero"/>
        <c:auto val="1"/>
        <c:lblAlgn val="ctr"/>
        <c:lblOffset val="100"/>
        <c:tickLblSkip val="12"/>
        <c:tickMarkSkip val="12"/>
        <c:noMultiLvlLbl val="0"/>
      </c:catAx>
      <c:valAx>
        <c:axId val="666211520"/>
        <c:scaling>
          <c:orientation val="minMax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0.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lang="en-US" sz="85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pt-BR"/>
          </a:p>
        </c:txPr>
        <c:crossAx val="666212608"/>
        <c:crosses val="autoZero"/>
        <c:crossBetween val="between"/>
        <c:majorUnit val="100"/>
      </c:valAx>
      <c:spPr>
        <a:solidFill>
          <a:srgbClr val="FFFFFF"/>
        </a:solidFill>
        <a:ln w="12700">
          <a:solidFill>
            <a:srgbClr val="808080"/>
          </a:solidFill>
          <a:prstDash val="solid"/>
        </a:ln>
      </c:spPr>
    </c:plotArea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8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pt-BR"/>
    </a:p>
  </c:txPr>
  <c:printSettings>
    <c:headerFooter alignWithMargins="0"/>
    <c:pageMargins b="0.98425196899999956" l="0.78740157499999996" r="0.78740157499999996" t="0.98425196899999956" header="0.49212598500000138" footer="0.49212598500000138"/>
    <c:pageSetup/>
  </c:printSettings>
</c:chartSpace>
</file>

<file path=xl/charts/chart2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3.8686054527631776E-2"/>
          <c:y val="1.8441611207267821E-2"/>
          <c:w val="0.93929695249120826"/>
          <c:h val="0.91855878696277515"/>
        </c:manualLayout>
      </c:layout>
      <c:scatterChart>
        <c:scatterStyle val="lineMarker"/>
        <c:varyColors val="0"/>
        <c:ser>
          <c:idx val="0"/>
          <c:order val="0"/>
          <c:spPr>
            <a:ln w="28575">
              <a:noFill/>
            </a:ln>
          </c:spPr>
          <c:marker>
            <c:symbol val="diamond"/>
            <c:size val="5"/>
            <c:spPr>
              <a:solidFill>
                <a:srgbClr val="000080"/>
              </a:solidFill>
              <a:ln>
                <a:solidFill>
                  <a:srgbClr val="000080"/>
                </a:solidFill>
                <a:prstDash val="solid"/>
              </a:ln>
            </c:spPr>
          </c:marker>
          <c:trendline>
            <c:spPr>
              <a:ln w="12700">
                <a:solidFill>
                  <a:srgbClr val="FF0000"/>
                </a:solidFill>
                <a:prstDash val="solid"/>
              </a:ln>
            </c:spPr>
            <c:trendlineType val="linear"/>
            <c:dispRSqr val="1"/>
            <c:dispEq val="1"/>
            <c:trendlineLbl>
              <c:layout>
                <c:manualLayout>
                  <c:x val="-0.14035741661870191"/>
                  <c:y val="-0.2573605261689062"/>
                </c:manualLayout>
              </c:layout>
              <c:numFmt formatCode="General" sourceLinked="0"/>
              <c:spPr>
                <a:noFill/>
                <a:ln w="25400">
                  <a:noFill/>
                </a:ln>
              </c:spPr>
              <c:txPr>
                <a:bodyPr/>
                <a:lstStyle/>
                <a:p>
                  <a:pPr algn="ctr" rtl="1">
                    <a:defRPr/>
                  </a:pPr>
                  <a:endParaRPr lang="pt-BR"/>
                </a:p>
              </c:txPr>
            </c:trendlineLbl>
          </c:trendline>
          <c:xVal>
            <c:numRef>
              <c:f>Operacional_9_meses!$E$22:$E$47</c:f>
              <c:numCache>
                <c:formatCode>0</c:formatCode>
                <c:ptCount val="26"/>
                <c:pt idx="2">
                  <c:v>1049.422528724215</c:v>
                </c:pt>
                <c:pt idx="3">
                  <c:v>862.97064693653431</c:v>
                </c:pt>
                <c:pt idx="4">
                  <c:v>781.87694485499287</c:v>
                </c:pt>
                <c:pt idx="5">
                  <c:v>2015.2835387628393</c:v>
                </c:pt>
                <c:pt idx="6">
                  <c:v>2316.447365852468</c:v>
                </c:pt>
                <c:pt idx="7">
                  <c:v>1949.1376615096544</c:v>
                </c:pt>
                <c:pt idx="8">
                  <c:v>1535.3191391419666</c:v>
                </c:pt>
                <c:pt idx="9">
                  <c:v>1225.7764075248226</c:v>
                </c:pt>
                <c:pt idx="10">
                  <c:v>1002.62722551921</c:v>
                </c:pt>
                <c:pt idx="11">
                  <c:v>1181.3037124829168</c:v>
                </c:pt>
                <c:pt idx="12">
                  <c:v>1710.1463410102242</c:v>
                </c:pt>
                <c:pt idx="13">
                  <c:v>2440.2438718612666</c:v>
                </c:pt>
                <c:pt idx="14">
                  <c:v>2112.1861731406452</c:v>
                </c:pt>
                <c:pt idx="15">
                  <c:v>1772.7470839815267</c:v>
                </c:pt>
                <c:pt idx="16">
                  <c:v>1415.7528971016848</c:v>
                </c:pt>
                <c:pt idx="17">
                  <c:v>1148.6104543408542</c:v>
                </c:pt>
                <c:pt idx="18">
                  <c:v>946.87640018726324</c:v>
                </c:pt>
                <c:pt idx="19">
                  <c:v>794.10919165361429</c:v>
                </c:pt>
                <c:pt idx="20">
                  <c:v>726.41791195110068</c:v>
                </c:pt>
                <c:pt idx="21">
                  <c:v>758.86321682710786</c:v>
                </c:pt>
                <c:pt idx="22">
                  <c:v>720.69132105233962</c:v>
                </c:pt>
                <c:pt idx="23">
                  <c:v>907.72537981185394</c:v>
                </c:pt>
                <c:pt idx="24">
                  <c:v>2080.3405279106382</c:v>
                </c:pt>
                <c:pt idx="25">
                  <c:v>2071.0357635072796</c:v>
                </c:pt>
              </c:numCache>
            </c:numRef>
          </c:xVal>
          <c:yVal>
            <c:numRef>
              <c:f>Operacional_9_meses!$B$22:$B$47</c:f>
              <c:numCache>
                <c:formatCode>0</c:formatCode>
                <c:ptCount val="26"/>
                <c:pt idx="0">
                  <c:v>1041.38518966268</c:v>
                </c:pt>
                <c:pt idx="1">
                  <c:v>1128.6026205929199</c:v>
                </c:pt>
                <c:pt idx="2">
                  <c:v>1035.03556978713</c:v>
                </c:pt>
                <c:pt idx="3">
                  <c:v>894.423546771171</c:v>
                </c:pt>
                <c:pt idx="4">
                  <c:v>770.51679494953601</c:v>
                </c:pt>
                <c:pt idx="5">
                  <c:v>2008.20300002503</c:v>
                </c:pt>
                <c:pt idx="6">
                  <c:v>2064.5436128544702</c:v>
                </c:pt>
                <c:pt idx="7">
                  <c:v>1933.3914916014901</c:v>
                </c:pt>
                <c:pt idx="8">
                  <c:v>1700.6263589523101</c:v>
                </c:pt>
                <c:pt idx="9">
                  <c:v>1339.08532292257</c:v>
                </c:pt>
                <c:pt idx="10">
                  <c:v>1099.2439515618901</c:v>
                </c:pt>
                <c:pt idx="11">
                  <c:v>1180.2527855814201</c:v>
                </c:pt>
                <c:pt idx="12">
                  <c:v>1709.14781201286</c:v>
                </c:pt>
                <c:pt idx="13">
                  <c:v>2064.19808210052</c:v>
                </c:pt>
                <c:pt idx="14">
                  <c:v>2041.8017553371501</c:v>
                </c:pt>
                <c:pt idx="15">
                  <c:v>1897.4468000433001</c:v>
                </c:pt>
                <c:pt idx="16">
                  <c:v>1561.3107932038799</c:v>
                </c:pt>
                <c:pt idx="17">
                  <c:v>1289.2214994701901</c:v>
                </c:pt>
                <c:pt idx="18">
                  <c:v>1090.66473545695</c:v>
                </c:pt>
                <c:pt idx="19">
                  <c:v>929.17803163181395</c:v>
                </c:pt>
                <c:pt idx="20">
                  <c:v>832.586682242763</c:v>
                </c:pt>
                <c:pt idx="21">
                  <c:v>760.89026976625405</c:v>
                </c:pt>
                <c:pt idx="22">
                  <c:v>671.57040358134805</c:v>
                </c:pt>
                <c:pt idx="23">
                  <c:v>907.67806605403598</c:v>
                </c:pt>
                <c:pt idx="24">
                  <c:v>2079.9068913917499</c:v>
                </c:pt>
                <c:pt idx="25">
                  <c:v>2114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9EE2-4436-8912-C459B5717BA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66218592"/>
        <c:axId val="666210432"/>
      </c:scatterChart>
      <c:valAx>
        <c:axId val="666218592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/>
            </a:pPr>
            <a:endParaRPr lang="pt-BR"/>
          </a:p>
        </c:txPr>
        <c:crossAx val="666210432"/>
        <c:crosses val="autoZero"/>
        <c:crossBetween val="midCat"/>
      </c:valAx>
      <c:valAx>
        <c:axId val="666210432"/>
        <c:scaling>
          <c:orientation val="minMax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/>
            </a:pPr>
            <a:endParaRPr lang="pt-BR"/>
          </a:p>
        </c:txPr>
        <c:crossAx val="666218592"/>
        <c:crosses val="autoZero"/>
        <c:crossBetween val="midCat"/>
      </c:valAx>
      <c:spPr>
        <a:solidFill>
          <a:srgbClr val="FFFFFF"/>
        </a:solidFill>
        <a:ln w="12700">
          <a:solidFill>
            <a:srgbClr val="808080"/>
          </a:solidFill>
          <a:prstDash val="solid"/>
        </a:ln>
      </c:spPr>
    </c:plotArea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9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pt-BR"/>
    </a:p>
  </c:txPr>
  <c:printSettings>
    <c:headerFooter alignWithMargins="0"/>
    <c:pageMargins b="0.98425196899999956" l="0.78740157499999996" r="0.78740157499999996" t="0.98425196899999956" header="0.49212598500000138" footer="0.49212598500000138"/>
    <c:pageSetup/>
  </c:printSettings>
</c:chartSpace>
</file>

<file path=xl/charts/chart2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pt-BR"/>
              <a:t>Diferenças em relação a média acumuladas</a:t>
            </a:r>
          </a:p>
        </c:rich>
      </c:tx>
      <c:layout>
        <c:manualLayout>
          <c:xMode val="edge"/>
          <c:yMode val="edge"/>
          <c:x val="0.2219770432887509"/>
          <c:y val="2.3781540581763735E-2"/>
        </c:manualLayout>
      </c:layout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0.13001291009204399"/>
          <c:y val="9.4845844121725947E-2"/>
          <c:w val="0.81855903124945095"/>
          <c:h val="0.83653144381896405"/>
        </c:manualLayout>
      </c:layout>
      <c:scatterChart>
        <c:scatterStyle val="lineMarker"/>
        <c:varyColors val="0"/>
        <c:ser>
          <c:idx val="0"/>
          <c:order val="0"/>
          <c:spPr>
            <a:ln w="12700">
              <a:solidFill>
                <a:srgbClr val="FF0000"/>
              </a:solidFill>
              <a:prstDash val="solid"/>
            </a:ln>
          </c:spPr>
          <c:marker>
            <c:symbol val="none"/>
          </c:marker>
          <c:yVal>
            <c:numRef>
              <c:f>Operacional_9_meses!$AV$24:$AV$68</c:f>
              <c:numCache>
                <c:formatCode>0</c:formatCode>
                <c:ptCount val="45"/>
                <c:pt idx="0">
                  <c:v>-1</c:v>
                </c:pt>
                <c:pt idx="1">
                  <c:v>-2</c:v>
                </c:pt>
                <c:pt idx="2">
                  <c:v>-3</c:v>
                </c:pt>
                <c:pt idx="3">
                  <c:v>-4</c:v>
                </c:pt>
                <c:pt idx="4">
                  <c:v>-5</c:v>
                </c:pt>
                <c:pt idx="5">
                  <c:v>-6</c:v>
                </c:pt>
                <c:pt idx="6">
                  <c:v>-7</c:v>
                </c:pt>
                <c:pt idx="7">
                  <c:v>-8</c:v>
                </c:pt>
                <c:pt idx="8">
                  <c:v>-9</c:v>
                </c:pt>
                <c:pt idx="9">
                  <c:v>-10</c:v>
                </c:pt>
                <c:pt idx="10">
                  <c:v>-11</c:v>
                </c:pt>
                <c:pt idx="11">
                  <c:v>-12</c:v>
                </c:pt>
                <c:pt idx="12">
                  <c:v>-13</c:v>
                </c:pt>
                <c:pt idx="13">
                  <c:v>-14</c:v>
                </c:pt>
                <c:pt idx="14">
                  <c:v>-15</c:v>
                </c:pt>
                <c:pt idx="15">
                  <c:v>-16</c:v>
                </c:pt>
                <c:pt idx="16">
                  <c:v>-17</c:v>
                </c:pt>
                <c:pt idx="17">
                  <c:v>-18</c:v>
                </c:pt>
                <c:pt idx="18">
                  <c:v>-19</c:v>
                </c:pt>
                <c:pt idx="19">
                  <c:v>-20</c:v>
                </c:pt>
                <c:pt idx="20">
                  <c:v>-21</c:v>
                </c:pt>
                <c:pt idx="21">
                  <c:v>-22</c:v>
                </c:pt>
                <c:pt idx="22">
                  <c:v>-23</c:v>
                </c:pt>
                <c:pt idx="23">
                  <c:v>-24</c:v>
                </c:pt>
                <c:pt idx="24">
                  <c:v>-25</c:v>
                </c:pt>
                <c:pt idx="25">
                  <c:v>-26</c:v>
                </c:pt>
                <c:pt idx="26">
                  <c:v>-27</c:v>
                </c:pt>
                <c:pt idx="27">
                  <c:v>-28</c:v>
                </c:pt>
                <c:pt idx="28">
                  <c:v>-29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82EF-4BD5-92F0-12C65E9EEFA9}"/>
            </c:ext>
          </c:extLst>
        </c:ser>
        <c:ser>
          <c:idx val="1"/>
          <c:order val="1"/>
          <c:spPr>
            <a:ln w="12700">
              <a:solidFill>
                <a:srgbClr val="0000FF"/>
              </a:solidFill>
              <a:prstDash val="solid"/>
            </a:ln>
          </c:spPr>
          <c:marker>
            <c:symbol val="none"/>
          </c:marker>
          <c:yVal>
            <c:numRef>
              <c:f>Operacional_9_meses!$AW$24:$AW$68</c:f>
              <c:numCache>
                <c:formatCode>0</c:formatCode>
                <c:ptCount val="45"/>
                <c:pt idx="0">
                  <c:v>-85.798146107069158</c:v>
                </c:pt>
                <c:pt idx="1">
                  <c:v>-85.63555936913076</c:v>
                </c:pt>
                <c:pt idx="2">
                  <c:v>-86.431252634272397</c:v>
                </c:pt>
                <c:pt idx="3">
                  <c:v>-87.499269986193354</c:v>
                </c:pt>
                <c:pt idx="4">
                  <c:v>-88.114592965377881</c:v>
                </c:pt>
                <c:pt idx="5">
                  <c:v>-83.880966263369345</c:v>
                </c:pt>
                <c:pt idx="6">
                  <c:v>-76.85232492177289</c:v>
                </c:pt>
                <c:pt idx="7">
                  <c:v>-69.892708046243911</c:v>
                </c:pt>
                <c:pt idx="8">
                  <c:v>-64.814005494021558</c:v>
                </c:pt>
                <c:pt idx="9">
                  <c:v>-61.892492929943103</c:v>
                </c:pt>
                <c:pt idx="10">
                  <c:v>-59.767171726154572</c:v>
                </c:pt>
                <c:pt idx="11">
                  <c:v>-55.808227291298351</c:v>
                </c:pt>
                <c:pt idx="12">
                  <c:v>-49.044816088273137</c:v>
                </c:pt>
                <c:pt idx="13">
                  <c:v>-39.536614772007226</c:v>
                </c:pt>
                <c:pt idx="14">
                  <c:v>-30.412640218319893</c:v>
                </c:pt>
                <c:pt idx="15">
                  <c:v>-22.212231911302979</c:v>
                </c:pt>
                <c:pt idx="16">
                  <c:v>-16.871921500940914</c:v>
                </c:pt>
                <c:pt idx="17">
                  <c:v>-13.906768387042177</c:v>
                </c:pt>
                <c:pt idx="18">
                  <c:v>-12.915012104342111</c:v>
                </c:pt>
                <c:pt idx="19">
                  <c:v>-13.482877581603134</c:v>
                </c:pt>
                <c:pt idx="20">
                  <c:v>-14.072912719392491</c:v>
                </c:pt>
                <c:pt idx="21">
                  <c:v>-13.813916953320074</c:v>
                </c:pt>
                <c:pt idx="22">
                  <c:v>-13.322029639727248</c:v>
                </c:pt>
                <c:pt idx="23">
                  <c:v>-11.19618693642775</c:v>
                </c:pt>
                <c:pt idx="24">
                  <c:v>-4.812656864980454</c:v>
                </c:pt>
                <c:pt idx="25">
                  <c:v>2.721390801320581</c:v>
                </c:pt>
                <c:pt idx="26">
                  <c:v>8.292945539748132</c:v>
                </c:pt>
                <c:pt idx="27">
                  <c:v>14.349861329444252</c:v>
                </c:pt>
                <c:pt idx="28">
                  <c:v>23.00046441797133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82EF-4BD5-92F0-12C65E9EEFA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66215872"/>
        <c:axId val="666210976"/>
      </c:scatterChart>
      <c:valAx>
        <c:axId val="666215872"/>
        <c:scaling>
          <c:orientation val="minMax"/>
          <c:max val="700"/>
        </c:scaling>
        <c:delete val="0"/>
        <c:axPos val="b"/>
        <c:numFmt formatCode="m/d/yyyy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/>
            </a:pPr>
            <a:endParaRPr lang="pt-BR"/>
          </a:p>
        </c:txPr>
        <c:crossAx val="666210976"/>
        <c:crosses val="autoZero"/>
        <c:crossBetween val="midCat"/>
        <c:minorUnit val="12"/>
      </c:valAx>
      <c:valAx>
        <c:axId val="666210976"/>
        <c:scaling>
          <c:orientation val="minMax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/>
            </a:pPr>
            <a:endParaRPr lang="pt-BR"/>
          </a:p>
        </c:txPr>
        <c:crossAx val="666215872"/>
        <c:crosses val="autoZero"/>
        <c:crossBetween val="midCat"/>
      </c:valAx>
      <c:spPr>
        <a:solidFill>
          <a:srgbClr val="FFFFFF"/>
        </a:solidFill>
        <a:ln w="12700">
          <a:solidFill>
            <a:srgbClr val="808080"/>
          </a:solidFill>
          <a:prstDash val="solid"/>
        </a:ln>
      </c:spPr>
    </c:plotArea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9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pt-BR"/>
    </a:p>
  </c:txPr>
  <c:printSettings>
    <c:headerFooter alignWithMargins="0"/>
    <c:pageMargins b="0.98425196899999956" l="0.78740157499999996" r="0.78740157499999996" t="0.98425196899999956" header="0.49212598500000138" footer="0.49212598500000138"/>
    <c:pageSetup/>
  </c:printSettings>
</c:chartSpace>
</file>

<file path=xl/charts/chart2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pt-BR"/>
              <a:t>Teste de Sinal</a:t>
            </a:r>
          </a:p>
        </c:rich>
      </c:tx>
      <c:layout>
        <c:manualLayout>
          <c:xMode val="edge"/>
          <c:yMode val="edge"/>
          <c:x val="0.37292082501663437"/>
          <c:y val="4.2463377198957424E-2"/>
        </c:manualLayout>
      </c:layout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0.10669644740660811"/>
          <c:y val="0.16133321003079937"/>
          <c:w val="0.87500578525393113"/>
          <c:h val="0.7158674188121239"/>
        </c:manualLayout>
      </c:layout>
      <c:scatterChart>
        <c:scatterStyle val="smoothMarker"/>
        <c:varyColors val="0"/>
        <c:ser>
          <c:idx val="0"/>
          <c:order val="0"/>
          <c:spPr>
            <a:ln w="12700">
              <a:solidFill>
                <a:srgbClr val="000080"/>
              </a:solidFill>
              <a:prstDash val="solid"/>
            </a:ln>
          </c:spPr>
          <c:marker>
            <c:symbol val="none"/>
          </c:marker>
          <c:xVal>
            <c:numRef>
              <c:f>Operacional_9_meses!$A$24:$A$68</c:f>
              <c:numCache>
                <c:formatCode>m/d/yyyy</c:formatCode>
                <c:ptCount val="45"/>
                <c:pt idx="0">
                  <c:v>42429</c:v>
                </c:pt>
                <c:pt idx="1">
                  <c:v>42430</c:v>
                </c:pt>
                <c:pt idx="2">
                  <c:v>42431</c:v>
                </c:pt>
                <c:pt idx="3">
                  <c:v>42432</c:v>
                </c:pt>
                <c:pt idx="4">
                  <c:v>42433</c:v>
                </c:pt>
                <c:pt idx="5">
                  <c:v>42434</c:v>
                </c:pt>
                <c:pt idx="6">
                  <c:v>42435</c:v>
                </c:pt>
                <c:pt idx="7">
                  <c:v>42436</c:v>
                </c:pt>
                <c:pt idx="8">
                  <c:v>42437</c:v>
                </c:pt>
                <c:pt idx="9">
                  <c:v>42438</c:v>
                </c:pt>
                <c:pt idx="10">
                  <c:v>42439</c:v>
                </c:pt>
                <c:pt idx="11">
                  <c:v>42440</c:v>
                </c:pt>
                <c:pt idx="12">
                  <c:v>42441</c:v>
                </c:pt>
                <c:pt idx="13">
                  <c:v>42442</c:v>
                </c:pt>
                <c:pt idx="14">
                  <c:v>42443</c:v>
                </c:pt>
                <c:pt idx="15">
                  <c:v>42444</c:v>
                </c:pt>
                <c:pt idx="16">
                  <c:v>42445</c:v>
                </c:pt>
                <c:pt idx="17">
                  <c:v>42446</c:v>
                </c:pt>
                <c:pt idx="18">
                  <c:v>42447</c:v>
                </c:pt>
                <c:pt idx="19">
                  <c:v>42448</c:v>
                </c:pt>
                <c:pt idx="20">
                  <c:v>42449</c:v>
                </c:pt>
                <c:pt idx="21">
                  <c:v>42450</c:v>
                </c:pt>
                <c:pt idx="22">
                  <c:v>42451</c:v>
                </c:pt>
                <c:pt idx="23">
                  <c:v>42452</c:v>
                </c:pt>
                <c:pt idx="24">
                  <c:v>42453</c:v>
                </c:pt>
                <c:pt idx="25">
                  <c:v>42454</c:v>
                </c:pt>
                <c:pt idx="26">
                  <c:v>42455</c:v>
                </c:pt>
                <c:pt idx="27">
                  <c:v>42456</c:v>
                </c:pt>
                <c:pt idx="28">
                  <c:v>42457</c:v>
                </c:pt>
                <c:pt idx="29">
                  <c:v>42458</c:v>
                </c:pt>
                <c:pt idx="30">
                  <c:v>42459</c:v>
                </c:pt>
                <c:pt idx="31">
                  <c:v>42460</c:v>
                </c:pt>
                <c:pt idx="32">
                  <c:v>42461</c:v>
                </c:pt>
                <c:pt idx="33">
                  <c:v>42462</c:v>
                </c:pt>
                <c:pt idx="34">
                  <c:v>42463</c:v>
                </c:pt>
                <c:pt idx="35">
                  <c:v>42464</c:v>
                </c:pt>
                <c:pt idx="36">
                  <c:v>42465</c:v>
                </c:pt>
                <c:pt idx="37">
                  <c:v>42466</c:v>
                </c:pt>
                <c:pt idx="38">
                  <c:v>42467</c:v>
                </c:pt>
                <c:pt idx="39">
                  <c:v>42468</c:v>
                </c:pt>
                <c:pt idx="40">
                  <c:v>42469</c:v>
                </c:pt>
                <c:pt idx="41">
                  <c:v>42470</c:v>
                </c:pt>
                <c:pt idx="42">
                  <c:v>42471</c:v>
                </c:pt>
                <c:pt idx="43">
                  <c:v>42472</c:v>
                </c:pt>
                <c:pt idx="44">
                  <c:v>42473</c:v>
                </c:pt>
              </c:numCache>
            </c:numRef>
          </c:xVal>
          <c:yVal>
            <c:numRef>
              <c:f>Operacional_9_meses!$AV$24:$AV$68</c:f>
              <c:numCache>
                <c:formatCode>0</c:formatCode>
                <c:ptCount val="45"/>
                <c:pt idx="0">
                  <c:v>-1</c:v>
                </c:pt>
                <c:pt idx="1">
                  <c:v>-2</c:v>
                </c:pt>
                <c:pt idx="2">
                  <c:v>-3</c:v>
                </c:pt>
                <c:pt idx="3">
                  <c:v>-4</c:v>
                </c:pt>
                <c:pt idx="4">
                  <c:v>-5</c:v>
                </c:pt>
                <c:pt idx="5">
                  <c:v>-6</c:v>
                </c:pt>
                <c:pt idx="6">
                  <c:v>-7</c:v>
                </c:pt>
                <c:pt idx="7">
                  <c:v>-8</c:v>
                </c:pt>
                <c:pt idx="8">
                  <c:v>-9</c:v>
                </c:pt>
                <c:pt idx="9">
                  <c:v>-10</c:v>
                </c:pt>
                <c:pt idx="10">
                  <c:v>-11</c:v>
                </c:pt>
                <c:pt idx="11">
                  <c:v>-12</c:v>
                </c:pt>
                <c:pt idx="12">
                  <c:v>-13</c:v>
                </c:pt>
                <c:pt idx="13">
                  <c:v>-14</c:v>
                </c:pt>
                <c:pt idx="14">
                  <c:v>-15</c:v>
                </c:pt>
                <c:pt idx="15">
                  <c:v>-16</c:v>
                </c:pt>
                <c:pt idx="16">
                  <c:v>-17</c:v>
                </c:pt>
                <c:pt idx="17">
                  <c:v>-18</c:v>
                </c:pt>
                <c:pt idx="18">
                  <c:v>-19</c:v>
                </c:pt>
                <c:pt idx="19">
                  <c:v>-20</c:v>
                </c:pt>
                <c:pt idx="20">
                  <c:v>-21</c:v>
                </c:pt>
                <c:pt idx="21">
                  <c:v>-22</c:v>
                </c:pt>
                <c:pt idx="22">
                  <c:v>-23</c:v>
                </c:pt>
                <c:pt idx="23">
                  <c:v>-24</c:v>
                </c:pt>
                <c:pt idx="24">
                  <c:v>-25</c:v>
                </c:pt>
                <c:pt idx="25">
                  <c:v>-26</c:v>
                </c:pt>
                <c:pt idx="26">
                  <c:v>-27</c:v>
                </c:pt>
                <c:pt idx="27">
                  <c:v>-28</c:v>
                </c:pt>
                <c:pt idx="28">
                  <c:v>-29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0808-444F-804C-5AFB9E598FF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66213696"/>
        <c:axId val="666214240"/>
      </c:scatterChart>
      <c:valAx>
        <c:axId val="666213696"/>
        <c:scaling>
          <c:orientation val="minMax"/>
        </c:scaling>
        <c:delete val="0"/>
        <c:axPos val="b"/>
        <c:numFmt formatCode="m/d/yyyy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/>
            </a:pPr>
            <a:endParaRPr lang="pt-BR"/>
          </a:p>
        </c:txPr>
        <c:crossAx val="666214240"/>
        <c:crosses val="autoZero"/>
        <c:crossBetween val="midCat"/>
      </c:valAx>
      <c:valAx>
        <c:axId val="666214240"/>
        <c:scaling>
          <c:orientation val="minMax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/>
            </a:pPr>
            <a:endParaRPr lang="pt-BR"/>
          </a:p>
        </c:txPr>
        <c:crossAx val="666213696"/>
        <c:crosses val="autoZero"/>
        <c:crossBetween val="midCat"/>
      </c:valAx>
      <c:spPr>
        <a:solidFill>
          <a:srgbClr val="FFFFFF"/>
        </a:solidFill>
        <a:ln w="12700">
          <a:solidFill>
            <a:srgbClr val="808080"/>
          </a:solidFill>
          <a:prstDash val="solid"/>
        </a:ln>
      </c:spPr>
    </c:plotArea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9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pt-BR"/>
    </a:p>
  </c:txPr>
  <c:printSettings>
    <c:headerFooter alignWithMargins="0"/>
    <c:pageMargins b="0.98425196899999956" l="0.78740157499999996" r="0.78740157499999996" t="0.98425196899999956" header="0.49212598500000138" footer="0.49212598500000138"/>
    <c:pageSetup/>
  </c:printSettings>
</c:chartSpace>
</file>

<file path=xl/charts/chart2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0198300283286116"/>
          <c:y val="0.19607968290238781"/>
          <c:w val="0.81303116147308785"/>
          <c:h val="0.60131102756732269"/>
        </c:manualLayout>
      </c:layout>
      <c:barChart>
        <c:barDir val="col"/>
        <c:grouping val="clustered"/>
        <c:varyColors val="0"/>
        <c:ser>
          <c:idx val="0"/>
          <c:order val="0"/>
          <c:spPr>
            <a:solidFill>
              <a:srgbClr val="0000FF"/>
            </a:solidFill>
            <a:ln w="38100">
              <a:solidFill>
                <a:srgbClr val="0000FF"/>
              </a:solidFill>
              <a:prstDash val="solid"/>
            </a:ln>
          </c:spPr>
          <c:invertIfNegative val="0"/>
          <c:val>
            <c:numLit>
              <c:formatCode>General</c:formatCode>
              <c:ptCount val="90"/>
              <c:pt idx="0">
                <c:v>3.7360432014153684</c:v>
              </c:pt>
              <c:pt idx="1">
                <c:v>5.6774090992457849</c:v>
              </c:pt>
              <c:pt idx="2">
                <c:v>4.8419428874544916</c:v>
              </c:pt>
              <c:pt idx="3">
                <c:v>0.44343759349781242</c:v>
              </c:pt>
              <c:pt idx="4">
                <c:v>4.0110380011536915</c:v>
              </c:pt>
              <c:pt idx="5">
                <c:v>2.7322396412197478</c:v>
              </c:pt>
              <c:pt idx="6">
                <c:v>0.31752232013759335</c:v>
              </c:pt>
              <c:pt idx="7">
                <c:v>0</c:v>
              </c:pt>
              <c:pt idx="8">
                <c:v>0.15623272350187273</c:v>
              </c:pt>
              <c:pt idx="9">
                <c:v>0</c:v>
              </c:pt>
              <c:pt idx="10">
                <c:v>1.0066666666666666</c:v>
              </c:pt>
              <c:pt idx="11">
                <c:v>0.10514879444941501</c:v>
              </c:pt>
              <c:pt idx="12">
                <c:v>0.27904053575859683</c:v>
              </c:pt>
              <c:pt idx="13">
                <c:v>0</c:v>
              </c:pt>
              <c:pt idx="14">
                <c:v>0.19925617334165827</c:v>
              </c:pt>
              <c:pt idx="15">
                <c:v>0.52405078090432777</c:v>
              </c:pt>
              <c:pt idx="16">
                <c:v>0</c:v>
              </c:pt>
              <c:pt idx="17">
                <c:v>0</c:v>
              </c:pt>
              <c:pt idx="18">
                <c:v>0</c:v>
              </c:pt>
              <c:pt idx="19">
                <c:v>0</c:v>
              </c:pt>
              <c:pt idx="20">
                <c:v>0.26666666666666666</c:v>
              </c:pt>
              <c:pt idx="21">
                <c:v>0</c:v>
              </c:pt>
              <c:pt idx="22">
                <c:v>0</c:v>
              </c:pt>
              <c:pt idx="23">
                <c:v>3.2621131761872331</c:v>
              </c:pt>
              <c:pt idx="24">
                <c:v>1.0372015456603549</c:v>
              </c:pt>
              <c:pt idx="25">
                <c:v>0.29287235582716203</c:v>
              </c:pt>
              <c:pt idx="26">
                <c:v>2.6970212526139674</c:v>
              </c:pt>
              <c:pt idx="27">
                <c:v>5.2896321349967169E-2</c:v>
              </c:pt>
              <c:pt idx="28">
                <c:v>0</c:v>
              </c:pt>
              <c:pt idx="29">
                <c:v>0</c:v>
              </c:pt>
              <c:pt idx="30">
                <c:v>0</c:v>
              </c:pt>
              <c:pt idx="31">
                <c:v>0</c:v>
              </c:pt>
              <c:pt idx="32">
                <c:v>0</c:v>
              </c:pt>
              <c:pt idx="33">
                <c:v>0</c:v>
              </c:pt>
              <c:pt idx="34">
                <c:v>0</c:v>
              </c:pt>
              <c:pt idx="35">
                <c:v>0</c:v>
              </c:pt>
              <c:pt idx="36">
                <c:v>0</c:v>
              </c:pt>
              <c:pt idx="37">
                <c:v>0</c:v>
              </c:pt>
              <c:pt idx="38">
                <c:v>0</c:v>
              </c:pt>
              <c:pt idx="39">
                <c:v>0</c:v>
              </c:pt>
              <c:pt idx="40">
                <c:v>0</c:v>
              </c:pt>
              <c:pt idx="41">
                <c:v>0</c:v>
              </c:pt>
              <c:pt idx="42">
                <c:v>1.6533791532870961</c:v>
              </c:pt>
              <c:pt idx="43">
                <c:v>1.2749889694152097</c:v>
              </c:pt>
              <c:pt idx="44">
                <c:v>0</c:v>
              </c:pt>
              <c:pt idx="45">
                <c:v>0.60525534277739057</c:v>
              </c:pt>
              <c:pt idx="46">
                <c:v>0.35351418249860578</c:v>
              </c:pt>
              <c:pt idx="47">
                <c:v>0.25884958771347588</c:v>
              </c:pt>
              <c:pt idx="48">
                <c:v>0.1011494382210491</c:v>
              </c:pt>
              <c:pt idx="49">
                <c:v>0</c:v>
              </c:pt>
              <c:pt idx="50">
                <c:v>7.3274381570213834E-2</c:v>
              </c:pt>
              <c:pt idx="51">
                <c:v>0</c:v>
              </c:pt>
              <c:pt idx="52">
                <c:v>0</c:v>
              </c:pt>
              <c:pt idx="53">
                <c:v>0</c:v>
              </c:pt>
              <c:pt idx="54">
                <c:v>0</c:v>
              </c:pt>
              <c:pt idx="55">
                <c:v>3.7758127190071281E-2</c:v>
              </c:pt>
              <c:pt idx="56">
                <c:v>2.8005565077273262</c:v>
              </c:pt>
              <c:pt idx="57">
                <c:v>12.27337617451615</c:v>
              </c:pt>
              <c:pt idx="58">
                <c:v>4.3849161404619226</c:v>
              </c:pt>
              <c:pt idx="59">
                <c:v>2.9220034188418786</c:v>
              </c:pt>
              <c:pt idx="60">
                <c:v>4.0860666631020743</c:v>
              </c:pt>
              <c:pt idx="61">
                <c:v>0.18123744563267158</c:v>
              </c:pt>
              <c:pt idx="62">
                <c:v>0</c:v>
              </c:pt>
              <c:pt idx="63">
                <c:v>0.32333333333333331</c:v>
              </c:pt>
              <c:pt idx="64">
                <c:v>6.6666666666666666E-2</c:v>
              </c:pt>
              <c:pt idx="65">
                <c:v>0</c:v>
              </c:pt>
              <c:pt idx="66">
                <c:v>0.1</c:v>
              </c:pt>
              <c:pt idx="67">
                <c:v>0</c:v>
              </c:pt>
              <c:pt idx="68">
                <c:v>0</c:v>
              </c:pt>
              <c:pt idx="69">
                <c:v>0</c:v>
              </c:pt>
              <c:pt idx="70">
                <c:v>0</c:v>
              </c:pt>
              <c:pt idx="71">
                <c:v>0</c:v>
              </c:pt>
              <c:pt idx="72">
                <c:v>3.403061992542955</c:v>
              </c:pt>
              <c:pt idx="73">
                <c:v>0.78345782230964245</c:v>
              </c:pt>
              <c:pt idx="74">
                <c:v>0.33811541339710638</c:v>
              </c:pt>
              <c:pt idx="75">
                <c:v>1.0415835277172167</c:v>
              </c:pt>
              <c:pt idx="76">
                <c:v>0.57053600469884902</c:v>
              </c:pt>
              <c:pt idx="77">
                <c:v>1.3244681310448843</c:v>
              </c:pt>
              <c:pt idx="78">
                <c:v>0.64358716206365119</c:v>
              </c:pt>
              <c:pt idx="79">
                <c:v>1.0472980354174881</c:v>
              </c:pt>
              <c:pt idx="80">
                <c:v>5.0694469377194434E-2</c:v>
              </c:pt>
              <c:pt idx="81">
                <c:v>0</c:v>
              </c:pt>
              <c:pt idx="82">
                <c:v>6.3368086721493043E-3</c:v>
              </c:pt>
              <c:pt idx="83">
                <c:v>1.5068793455949038E-2</c:v>
              </c:pt>
              <c:pt idx="84">
                <c:v>1.8440899317734041</c:v>
              </c:pt>
              <c:pt idx="85">
                <c:v>2.8013112735727859</c:v>
              </c:pt>
              <c:pt idx="86">
                <c:v>1.7760996079640219</c:v>
              </c:pt>
              <c:pt idx="87">
                <c:v>1.3360477229787748</c:v>
              </c:pt>
              <c:pt idx="88">
                <c:v>1.5059211355440676</c:v>
              </c:pt>
              <c:pt idx="89">
                <c:v>11.495532250246992</c:v>
              </c:pt>
            </c:numLit>
          </c:val>
          <c:extLst>
            <c:ext xmlns:c16="http://schemas.microsoft.com/office/drawing/2014/chart" uri="{C3380CC4-5D6E-409C-BE32-E72D297353CC}">
              <c16:uniqueId val="{00000000-1064-477E-8C1C-7D9F8C232E4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666215328"/>
        <c:axId val="666221856"/>
      </c:barChart>
      <c:catAx>
        <c:axId val="666215328"/>
        <c:scaling>
          <c:orientation val="minMax"/>
        </c:scaling>
        <c:delete val="0"/>
        <c:axPos val="b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pt-BR"/>
          </a:p>
        </c:txPr>
        <c:crossAx val="666221856"/>
        <c:crosses val="autoZero"/>
        <c:auto val="1"/>
        <c:lblAlgn val="ctr"/>
        <c:lblOffset val="100"/>
        <c:tickLblSkip val="31"/>
        <c:tickMarkSkip val="31"/>
        <c:noMultiLvlLbl val="0"/>
      </c:catAx>
      <c:valAx>
        <c:axId val="666221856"/>
        <c:scaling>
          <c:orientation val="minMax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pt-BR"/>
          </a:p>
        </c:txPr>
        <c:crossAx val="666215328"/>
        <c:crosses val="autoZero"/>
        <c:crossBetween val="between"/>
        <c:majorUnit val="20"/>
      </c:valAx>
      <c:spPr>
        <a:solidFill>
          <a:srgbClr val="C0C0C0"/>
        </a:solidFill>
        <a:ln w="12700">
          <a:solidFill>
            <a:srgbClr val="808080"/>
          </a:solidFill>
          <a:prstDash val="solid"/>
        </a:ln>
      </c:spPr>
    </c:plotArea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8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pt-BR"/>
    </a:p>
  </c:txPr>
  <c:printSettings>
    <c:headerFooter alignWithMargins="0"/>
    <c:pageMargins b="0.98425196899999978" l="0.78740157499999996" r="0.78740157499999996" t="0.98425196899999978" header="0.49212598500000021" footer="0.49212598500000021"/>
    <c:pageSetup/>
  </c:printSettings>
</c:chartSpace>
</file>

<file path=xl/charts/chart2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8.1725442142593543E-2"/>
          <c:y val="1.5241983189025065E-2"/>
          <c:w val="0.90792869306877488"/>
          <c:h val="0.83043908627502994"/>
        </c:manualLayout>
      </c:layout>
      <c:lineChart>
        <c:grouping val="standard"/>
        <c:varyColors val="0"/>
        <c:ser>
          <c:idx val="0"/>
          <c:order val="0"/>
          <c:spPr>
            <a:ln w="12700">
              <a:solidFill>
                <a:srgbClr val="FF0000"/>
              </a:solidFill>
              <a:prstDash val="solid"/>
            </a:ln>
          </c:spPr>
          <c:marker>
            <c:symbol val="none"/>
          </c:marker>
          <c:cat>
            <c:numRef>
              <c:f>Operacional_9_meses!$A$24:$A$68</c:f>
              <c:numCache>
                <c:formatCode>m/d/yyyy</c:formatCode>
                <c:ptCount val="45"/>
                <c:pt idx="0">
                  <c:v>42429</c:v>
                </c:pt>
                <c:pt idx="1">
                  <c:v>42430</c:v>
                </c:pt>
                <c:pt idx="2">
                  <c:v>42431</c:v>
                </c:pt>
                <c:pt idx="3">
                  <c:v>42432</c:v>
                </c:pt>
                <c:pt idx="4">
                  <c:v>42433</c:v>
                </c:pt>
                <c:pt idx="5">
                  <c:v>42434</c:v>
                </c:pt>
                <c:pt idx="6">
                  <c:v>42435</c:v>
                </c:pt>
                <c:pt idx="7">
                  <c:v>42436</c:v>
                </c:pt>
                <c:pt idx="8">
                  <c:v>42437</c:v>
                </c:pt>
                <c:pt idx="9">
                  <c:v>42438</c:v>
                </c:pt>
                <c:pt idx="10">
                  <c:v>42439</c:v>
                </c:pt>
                <c:pt idx="11">
                  <c:v>42440</c:v>
                </c:pt>
                <c:pt idx="12">
                  <c:v>42441</c:v>
                </c:pt>
                <c:pt idx="13">
                  <c:v>42442</c:v>
                </c:pt>
                <c:pt idx="14">
                  <c:v>42443</c:v>
                </c:pt>
                <c:pt idx="15">
                  <c:v>42444</c:v>
                </c:pt>
                <c:pt idx="16">
                  <c:v>42445</c:v>
                </c:pt>
                <c:pt idx="17">
                  <c:v>42446</c:v>
                </c:pt>
                <c:pt idx="18">
                  <c:v>42447</c:v>
                </c:pt>
                <c:pt idx="19">
                  <c:v>42448</c:v>
                </c:pt>
                <c:pt idx="20">
                  <c:v>42449</c:v>
                </c:pt>
                <c:pt idx="21">
                  <c:v>42450</c:v>
                </c:pt>
                <c:pt idx="22">
                  <c:v>42451</c:v>
                </c:pt>
                <c:pt idx="23">
                  <c:v>42452</c:v>
                </c:pt>
                <c:pt idx="24">
                  <c:v>42453</c:v>
                </c:pt>
                <c:pt idx="25">
                  <c:v>42454</c:v>
                </c:pt>
                <c:pt idx="26">
                  <c:v>42455</c:v>
                </c:pt>
                <c:pt idx="27">
                  <c:v>42456</c:v>
                </c:pt>
                <c:pt idx="28">
                  <c:v>42457</c:v>
                </c:pt>
                <c:pt idx="29">
                  <c:v>42458</c:v>
                </c:pt>
                <c:pt idx="30">
                  <c:v>42459</c:v>
                </c:pt>
                <c:pt idx="31">
                  <c:v>42460</c:v>
                </c:pt>
                <c:pt idx="32">
                  <c:v>42461</c:v>
                </c:pt>
                <c:pt idx="33">
                  <c:v>42462</c:v>
                </c:pt>
                <c:pt idx="34">
                  <c:v>42463</c:v>
                </c:pt>
                <c:pt idx="35">
                  <c:v>42464</c:v>
                </c:pt>
                <c:pt idx="36">
                  <c:v>42465</c:v>
                </c:pt>
                <c:pt idx="37">
                  <c:v>42466</c:v>
                </c:pt>
                <c:pt idx="38">
                  <c:v>42467</c:v>
                </c:pt>
                <c:pt idx="39">
                  <c:v>42468</c:v>
                </c:pt>
                <c:pt idx="40">
                  <c:v>42469</c:v>
                </c:pt>
                <c:pt idx="41">
                  <c:v>42470</c:v>
                </c:pt>
                <c:pt idx="42">
                  <c:v>42471</c:v>
                </c:pt>
                <c:pt idx="43">
                  <c:v>42472</c:v>
                </c:pt>
                <c:pt idx="44">
                  <c:v>42473</c:v>
                </c:pt>
              </c:numCache>
            </c:numRef>
          </c:cat>
          <c:val>
            <c:numRef>
              <c:f>Operacional_9_meses!$F$24:$F$68</c:f>
              <c:numCache>
                <c:formatCode>0.00</c:formatCode>
                <c:ptCount val="45"/>
                <c:pt idx="0">
                  <c:v>249.8449596097982</c:v>
                </c:pt>
                <c:pt idx="1">
                  <c:v>250.00754634773659</c:v>
                </c:pt>
                <c:pt idx="2">
                  <c:v>249.21185308259496</c:v>
                </c:pt>
                <c:pt idx="3">
                  <c:v>248.143835730674</c:v>
                </c:pt>
                <c:pt idx="4">
                  <c:v>247.52851275148947</c:v>
                </c:pt>
                <c:pt idx="5">
                  <c:v>251.76213945349801</c:v>
                </c:pt>
                <c:pt idx="6">
                  <c:v>258.79078079509446</c:v>
                </c:pt>
                <c:pt idx="7">
                  <c:v>265.75039767062344</c:v>
                </c:pt>
                <c:pt idx="8">
                  <c:v>270.8291002228458</c:v>
                </c:pt>
                <c:pt idx="9">
                  <c:v>273.75061278692425</c:v>
                </c:pt>
                <c:pt idx="10">
                  <c:v>275.87593399071278</c:v>
                </c:pt>
                <c:pt idx="11">
                  <c:v>279.834878425569</c:v>
                </c:pt>
                <c:pt idx="12">
                  <c:v>286.59828962859422</c:v>
                </c:pt>
                <c:pt idx="13">
                  <c:v>296.10649094486013</c:v>
                </c:pt>
                <c:pt idx="14">
                  <c:v>305.23046549854746</c:v>
                </c:pt>
                <c:pt idx="15">
                  <c:v>313.43087380556437</c:v>
                </c:pt>
                <c:pt idx="16">
                  <c:v>318.77118421592644</c:v>
                </c:pt>
                <c:pt idx="17">
                  <c:v>321.73633732982518</c:v>
                </c:pt>
                <c:pt idx="18">
                  <c:v>322.72809361252524</c:v>
                </c:pt>
                <c:pt idx="19">
                  <c:v>322.16022813526422</c:v>
                </c:pt>
                <c:pt idx="20">
                  <c:v>321.57019299747486</c:v>
                </c:pt>
                <c:pt idx="21">
                  <c:v>321.82918876354728</c:v>
                </c:pt>
                <c:pt idx="22">
                  <c:v>322.32107607714011</c:v>
                </c:pt>
                <c:pt idx="23">
                  <c:v>324.4469187804396</c:v>
                </c:pt>
                <c:pt idx="24">
                  <c:v>330.8304488518869</c:v>
                </c:pt>
                <c:pt idx="25">
                  <c:v>338.36449651818793</c:v>
                </c:pt>
                <c:pt idx="26">
                  <c:v>343.93605125661549</c:v>
                </c:pt>
                <c:pt idx="27">
                  <c:v>349.99296704631161</c:v>
                </c:pt>
                <c:pt idx="28">
                  <c:v>358.64357013483868</c:v>
                </c:pt>
                <c:pt idx="29">
                  <c:v>368.18781792913114</c:v>
                </c:pt>
                <c:pt idx="30">
                  <c:v>376.9762816713199</c:v>
                </c:pt>
                <c:pt idx="31">
                  <c:v>383.06148024917815</c:v>
                </c:pt>
                <c:pt idx="32">
                  <c:v>386.47455705326007</c:v>
                </c:pt>
                <c:pt idx="33">
                  <c:v>387.87361425408511</c:v>
                </c:pt>
                <c:pt idx="34">
                  <c:v>388.170779097197</c:v>
                </c:pt>
                <c:pt idx="35">
                  <c:v>388.42798198626224</c:v>
                </c:pt>
                <c:pt idx="36">
                  <c:v>390.68599902970271</c:v>
                </c:pt>
                <c:pt idx="37">
                  <c:v>396.60420465863183</c:v>
                </c:pt>
                <c:pt idx="38">
                  <c:v>405.20966160926884</c:v>
                </c:pt>
                <c:pt idx="39">
                  <c:v>414.44279099773058</c:v>
                </c:pt>
                <c:pt idx="40">
                  <c:v>422.5820750314673</c:v>
                </c:pt>
                <c:pt idx="41">
                  <c:v>430.93332164802706</c:v>
                </c:pt>
                <c:pt idx="42">
                  <c:v>439.67417261399186</c:v>
                </c:pt>
                <c:pt idx="43">
                  <c:v>448.14511279129931</c:v>
                </c:pt>
                <c:pt idx="44">
                  <c:v>456.46248217336858</c:v>
                </c:pt>
              </c:numCache>
            </c:numRef>
          </c:val>
          <c:smooth val="1"/>
          <c:extLst>
            <c:ext xmlns:c16="http://schemas.microsoft.com/office/drawing/2014/chart" uri="{C3380CC4-5D6E-409C-BE32-E72D297353CC}">
              <c16:uniqueId val="{00000000-BCFD-4C5F-B5D5-3245A523EAAD}"/>
            </c:ext>
          </c:extLst>
        </c:ser>
        <c:ser>
          <c:idx val="1"/>
          <c:order val="1"/>
          <c:tx>
            <c:v>Q obs</c:v>
          </c:tx>
          <c:spPr>
            <a:ln w="12700">
              <a:solidFill>
                <a:srgbClr val="0000FF"/>
              </a:solidFill>
              <a:prstDash val="solid"/>
            </a:ln>
          </c:spPr>
          <c:marker>
            <c:symbol val="none"/>
          </c:marker>
          <c:cat>
            <c:numRef>
              <c:f>Operacional_9_meses!$A$24:$A$68</c:f>
              <c:numCache>
                <c:formatCode>m/d/yyyy</c:formatCode>
                <c:ptCount val="45"/>
                <c:pt idx="0">
                  <c:v>42429</c:v>
                </c:pt>
                <c:pt idx="1">
                  <c:v>42430</c:v>
                </c:pt>
                <c:pt idx="2">
                  <c:v>42431</c:v>
                </c:pt>
                <c:pt idx="3">
                  <c:v>42432</c:v>
                </c:pt>
                <c:pt idx="4">
                  <c:v>42433</c:v>
                </c:pt>
                <c:pt idx="5">
                  <c:v>42434</c:v>
                </c:pt>
                <c:pt idx="6">
                  <c:v>42435</c:v>
                </c:pt>
                <c:pt idx="7">
                  <c:v>42436</c:v>
                </c:pt>
                <c:pt idx="8">
                  <c:v>42437</c:v>
                </c:pt>
                <c:pt idx="9">
                  <c:v>42438</c:v>
                </c:pt>
                <c:pt idx="10">
                  <c:v>42439</c:v>
                </c:pt>
                <c:pt idx="11">
                  <c:v>42440</c:v>
                </c:pt>
                <c:pt idx="12">
                  <c:v>42441</c:v>
                </c:pt>
                <c:pt idx="13">
                  <c:v>42442</c:v>
                </c:pt>
                <c:pt idx="14">
                  <c:v>42443</c:v>
                </c:pt>
                <c:pt idx="15">
                  <c:v>42444</c:v>
                </c:pt>
                <c:pt idx="16">
                  <c:v>42445</c:v>
                </c:pt>
                <c:pt idx="17">
                  <c:v>42446</c:v>
                </c:pt>
                <c:pt idx="18">
                  <c:v>42447</c:v>
                </c:pt>
                <c:pt idx="19">
                  <c:v>42448</c:v>
                </c:pt>
                <c:pt idx="20">
                  <c:v>42449</c:v>
                </c:pt>
                <c:pt idx="21">
                  <c:v>42450</c:v>
                </c:pt>
                <c:pt idx="22">
                  <c:v>42451</c:v>
                </c:pt>
                <c:pt idx="23">
                  <c:v>42452</c:v>
                </c:pt>
                <c:pt idx="24">
                  <c:v>42453</c:v>
                </c:pt>
                <c:pt idx="25">
                  <c:v>42454</c:v>
                </c:pt>
                <c:pt idx="26">
                  <c:v>42455</c:v>
                </c:pt>
                <c:pt idx="27">
                  <c:v>42456</c:v>
                </c:pt>
                <c:pt idx="28">
                  <c:v>42457</c:v>
                </c:pt>
                <c:pt idx="29">
                  <c:v>42458</c:v>
                </c:pt>
                <c:pt idx="30">
                  <c:v>42459</c:v>
                </c:pt>
                <c:pt idx="31">
                  <c:v>42460</c:v>
                </c:pt>
                <c:pt idx="32">
                  <c:v>42461</c:v>
                </c:pt>
                <c:pt idx="33">
                  <c:v>42462</c:v>
                </c:pt>
                <c:pt idx="34">
                  <c:v>42463</c:v>
                </c:pt>
                <c:pt idx="35">
                  <c:v>42464</c:v>
                </c:pt>
                <c:pt idx="36">
                  <c:v>42465</c:v>
                </c:pt>
                <c:pt idx="37">
                  <c:v>42466</c:v>
                </c:pt>
                <c:pt idx="38">
                  <c:v>42467</c:v>
                </c:pt>
                <c:pt idx="39">
                  <c:v>42468</c:v>
                </c:pt>
                <c:pt idx="40">
                  <c:v>42469</c:v>
                </c:pt>
                <c:pt idx="41">
                  <c:v>42470</c:v>
                </c:pt>
                <c:pt idx="42">
                  <c:v>42471</c:v>
                </c:pt>
                <c:pt idx="43">
                  <c:v>42472</c:v>
                </c:pt>
                <c:pt idx="44">
                  <c:v>42473</c:v>
                </c:pt>
              </c:numCache>
            </c:numRef>
          </c:cat>
          <c:val>
            <c:numRef>
              <c:f>Operacional_9_meses!$B$24:$B$68</c:f>
              <c:numCache>
                <c:formatCode>0</c:formatCode>
                <c:ptCount val="45"/>
                <c:pt idx="0">
                  <c:v>1035.03556978713</c:v>
                </c:pt>
                <c:pt idx="1">
                  <c:v>894.423546771171</c:v>
                </c:pt>
                <c:pt idx="2">
                  <c:v>770.51679494953601</c:v>
                </c:pt>
                <c:pt idx="3">
                  <c:v>2008.20300002503</c:v>
                </c:pt>
                <c:pt idx="4">
                  <c:v>2064.5436128544702</c:v>
                </c:pt>
                <c:pt idx="5">
                  <c:v>1933.3914916014901</c:v>
                </c:pt>
                <c:pt idx="6">
                  <c:v>1700.6263589523101</c:v>
                </c:pt>
                <c:pt idx="7">
                  <c:v>1339.08532292257</c:v>
                </c:pt>
                <c:pt idx="8">
                  <c:v>1099.2439515618901</c:v>
                </c:pt>
                <c:pt idx="9">
                  <c:v>1180.2527855814201</c:v>
                </c:pt>
                <c:pt idx="10">
                  <c:v>1709.14781201286</c:v>
                </c:pt>
                <c:pt idx="11">
                  <c:v>2064.19808210052</c:v>
                </c:pt>
                <c:pt idx="12">
                  <c:v>2041.8017553371501</c:v>
                </c:pt>
                <c:pt idx="13">
                  <c:v>1897.4468000433001</c:v>
                </c:pt>
                <c:pt idx="14">
                  <c:v>1561.3107932038799</c:v>
                </c:pt>
                <c:pt idx="15">
                  <c:v>1289.2214994701901</c:v>
                </c:pt>
                <c:pt idx="16">
                  <c:v>1090.66473545695</c:v>
                </c:pt>
                <c:pt idx="17">
                  <c:v>929.17803163181395</c:v>
                </c:pt>
                <c:pt idx="18">
                  <c:v>832.586682242763</c:v>
                </c:pt>
                <c:pt idx="19">
                  <c:v>760.89026976625405</c:v>
                </c:pt>
                <c:pt idx="20">
                  <c:v>671.57040358134805</c:v>
                </c:pt>
                <c:pt idx="21">
                  <c:v>907.67806605403598</c:v>
                </c:pt>
                <c:pt idx="22">
                  <c:v>2079.9068913917499</c:v>
                </c:pt>
                <c:pt idx="23">
                  <c:v>2114</c:v>
                </c:pt>
                <c:pt idx="24">
                  <c:v>1609</c:v>
                </c:pt>
                <c:pt idx="25">
                  <c:v>1553</c:v>
                </c:pt>
                <c:pt idx="26">
                  <c:v>2283</c:v>
                </c:pt>
                <c:pt idx="27">
                  <c:v>2411</c:v>
                </c:pt>
                <c:pt idx="28">
                  <c:v>2110</c:v>
                </c:pt>
              </c:numCache>
            </c:numRef>
          </c:val>
          <c:smooth val="1"/>
          <c:extLst>
            <c:ext xmlns:c16="http://schemas.microsoft.com/office/drawing/2014/chart" uri="{C3380CC4-5D6E-409C-BE32-E72D297353CC}">
              <c16:uniqueId val="{00000001-BCFD-4C5F-B5D5-3245A523EAAD}"/>
            </c:ext>
          </c:extLst>
        </c:ser>
        <c:ser>
          <c:idx val="2"/>
          <c:order val="2"/>
          <c:tx>
            <c:v>Base</c:v>
          </c:tx>
          <c:spPr>
            <a:ln w="25400">
              <a:solidFill>
                <a:srgbClr val="999933"/>
              </a:solidFill>
              <a:prstDash val="solid"/>
            </a:ln>
          </c:spPr>
          <c:marker>
            <c:symbol val="none"/>
          </c:marker>
          <c:cat>
            <c:numRef>
              <c:f>Operacional_9_meses!$A$24:$A$68</c:f>
              <c:numCache>
                <c:formatCode>m/d/yyyy</c:formatCode>
                <c:ptCount val="45"/>
                <c:pt idx="0">
                  <c:v>42429</c:v>
                </c:pt>
                <c:pt idx="1">
                  <c:v>42430</c:v>
                </c:pt>
                <c:pt idx="2">
                  <c:v>42431</c:v>
                </c:pt>
                <c:pt idx="3">
                  <c:v>42432</c:v>
                </c:pt>
                <c:pt idx="4">
                  <c:v>42433</c:v>
                </c:pt>
                <c:pt idx="5">
                  <c:v>42434</c:v>
                </c:pt>
                <c:pt idx="6">
                  <c:v>42435</c:v>
                </c:pt>
                <c:pt idx="7">
                  <c:v>42436</c:v>
                </c:pt>
                <c:pt idx="8">
                  <c:v>42437</c:v>
                </c:pt>
                <c:pt idx="9">
                  <c:v>42438</c:v>
                </c:pt>
                <c:pt idx="10">
                  <c:v>42439</c:v>
                </c:pt>
                <c:pt idx="11">
                  <c:v>42440</c:v>
                </c:pt>
                <c:pt idx="12">
                  <c:v>42441</c:v>
                </c:pt>
                <c:pt idx="13">
                  <c:v>42442</c:v>
                </c:pt>
                <c:pt idx="14">
                  <c:v>42443</c:v>
                </c:pt>
                <c:pt idx="15">
                  <c:v>42444</c:v>
                </c:pt>
                <c:pt idx="16">
                  <c:v>42445</c:v>
                </c:pt>
                <c:pt idx="17">
                  <c:v>42446</c:v>
                </c:pt>
                <c:pt idx="18">
                  <c:v>42447</c:v>
                </c:pt>
                <c:pt idx="19">
                  <c:v>42448</c:v>
                </c:pt>
                <c:pt idx="20">
                  <c:v>42449</c:v>
                </c:pt>
                <c:pt idx="21">
                  <c:v>42450</c:v>
                </c:pt>
                <c:pt idx="22">
                  <c:v>42451</c:v>
                </c:pt>
                <c:pt idx="23">
                  <c:v>42452</c:v>
                </c:pt>
                <c:pt idx="24">
                  <c:v>42453</c:v>
                </c:pt>
                <c:pt idx="25">
                  <c:v>42454</c:v>
                </c:pt>
                <c:pt idx="26">
                  <c:v>42455</c:v>
                </c:pt>
                <c:pt idx="27">
                  <c:v>42456</c:v>
                </c:pt>
                <c:pt idx="28">
                  <c:v>42457</c:v>
                </c:pt>
                <c:pt idx="29">
                  <c:v>42458</c:v>
                </c:pt>
                <c:pt idx="30">
                  <c:v>42459</c:v>
                </c:pt>
                <c:pt idx="31">
                  <c:v>42460</c:v>
                </c:pt>
                <c:pt idx="32">
                  <c:v>42461</c:v>
                </c:pt>
                <c:pt idx="33">
                  <c:v>42462</c:v>
                </c:pt>
                <c:pt idx="34">
                  <c:v>42463</c:v>
                </c:pt>
                <c:pt idx="35">
                  <c:v>42464</c:v>
                </c:pt>
                <c:pt idx="36">
                  <c:v>42465</c:v>
                </c:pt>
                <c:pt idx="37">
                  <c:v>42466</c:v>
                </c:pt>
                <c:pt idx="38">
                  <c:v>42467</c:v>
                </c:pt>
                <c:pt idx="39">
                  <c:v>42468</c:v>
                </c:pt>
                <c:pt idx="40">
                  <c:v>42469</c:v>
                </c:pt>
                <c:pt idx="41">
                  <c:v>42470</c:v>
                </c:pt>
                <c:pt idx="42">
                  <c:v>42471</c:v>
                </c:pt>
                <c:pt idx="43">
                  <c:v>42472</c:v>
                </c:pt>
                <c:pt idx="44">
                  <c:v>42473</c:v>
                </c:pt>
              </c:numCache>
            </c:numRef>
          </c:cat>
          <c:val>
            <c:numRef>
              <c:f>Operacional_10_dias!#REF!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smooth val="1"/>
          <c:extLst>
            <c:ext xmlns:c16="http://schemas.microsoft.com/office/drawing/2014/chart" uri="{C3380CC4-5D6E-409C-BE32-E72D297353CC}">
              <c16:uniqueId val="{00000002-BCFD-4C5F-B5D5-3245A523EAA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666219136"/>
        <c:axId val="666219680"/>
      </c:lineChart>
      <c:dateAx>
        <c:axId val="666219136"/>
        <c:scaling>
          <c:orientation val="minMax"/>
        </c:scaling>
        <c:delete val="0"/>
        <c:axPos val="b"/>
        <c:numFmt formatCode="[$-416]mmm\-yy;@" sourceLinked="0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-5400000" vert="horz"/>
          <a:lstStyle/>
          <a:p>
            <a:pPr>
              <a:defRPr lang="en-US" sz="900"/>
            </a:pPr>
            <a:endParaRPr lang="pt-BR"/>
          </a:p>
        </c:txPr>
        <c:crossAx val="666219680"/>
        <c:crosses val="autoZero"/>
        <c:auto val="1"/>
        <c:lblOffset val="100"/>
        <c:baseTimeUnit val="days"/>
        <c:majorUnit val="1"/>
        <c:majorTimeUnit val="months"/>
      </c:dateAx>
      <c:valAx>
        <c:axId val="666219680"/>
        <c:scaling>
          <c:orientation val="minMax"/>
          <c:min val="0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 lang="en-US"/>
                </a:pPr>
                <a:r>
                  <a:rPr lang="pt-BR"/>
                  <a:t>Vazões (m3/s)</a:t>
                </a:r>
              </a:p>
            </c:rich>
          </c:tx>
          <c:overlay val="0"/>
        </c:title>
        <c:numFmt formatCode="0.0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lang="en-US"/>
            </a:pPr>
            <a:endParaRPr lang="pt-BR"/>
          </a:p>
        </c:txPr>
        <c:crossAx val="666219136"/>
        <c:crosses val="autoZero"/>
        <c:crossBetween val="between"/>
      </c:valAx>
      <c:spPr>
        <a:solidFill>
          <a:srgbClr val="FFFFFF"/>
        </a:solidFill>
        <a:ln w="12700">
          <a:solidFill>
            <a:srgbClr val="808080"/>
          </a:solidFill>
          <a:prstDash val="solid"/>
        </a:ln>
      </c:spPr>
    </c:plotArea>
    <c:legend>
      <c:legendPos val="r"/>
      <c:layout>
        <c:manualLayout>
          <c:xMode val="edge"/>
          <c:yMode val="edge"/>
          <c:x val="0"/>
          <c:y val="0.94880165835303421"/>
          <c:w val="1"/>
          <c:h val="5.1198341646965767E-2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lang="en-US"/>
          </a:pPr>
          <a:endParaRPr lang="pt-BR"/>
        </a:p>
      </c:txPr>
    </c:legend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05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3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6.8702359434622134E-2"/>
          <c:y val="1.5777554121524279E-2"/>
          <c:w val="0.90645724693384289"/>
          <c:h val="0.80089399301880337"/>
        </c:manualLayout>
      </c:layout>
      <c:areaChart>
        <c:grouping val="standard"/>
        <c:varyColors val="0"/>
        <c:ser>
          <c:idx val="4"/>
          <c:order val="3"/>
          <c:tx>
            <c:v>Chuva Esq</c:v>
          </c:tx>
          <c:spPr>
            <a:solidFill>
              <a:srgbClr val="FF5050"/>
            </a:solidFill>
            <a:ln w="0">
              <a:solidFill>
                <a:srgbClr val="7A0000"/>
              </a:solidFill>
            </a:ln>
          </c:spPr>
          <c:val>
            <c:numRef>
              <c:f>Operacional_9_meses!$AC$24:$AC$68</c:f>
              <c:numCache>
                <c:formatCode>0.0</c:formatCode>
                <c:ptCount val="45"/>
                <c:pt idx="0">
                  <c:v>1.8739810199400995</c:v>
                </c:pt>
                <c:pt idx="1">
                  <c:v>3.5743669305951831</c:v>
                </c:pt>
                <c:pt idx="2">
                  <c:v>6.0902894020061362</c:v>
                </c:pt>
                <c:pt idx="3">
                  <c:v>23.379420429365496</c:v>
                </c:pt>
                <c:pt idx="4">
                  <c:v>14.628482023902196</c:v>
                </c:pt>
                <c:pt idx="5">
                  <c:v>6.3365742618437073</c:v>
                </c:pt>
                <c:pt idx="6">
                  <c:v>1.9112568381984532</c:v>
                </c:pt>
                <c:pt idx="7">
                  <c:v>0.42522718957934413</c:v>
                </c:pt>
                <c:pt idx="8">
                  <c:v>3.235732341488867</c:v>
                </c:pt>
                <c:pt idx="9">
                  <c:v>10.696820386751661</c:v>
                </c:pt>
                <c:pt idx="10">
                  <c:v>14.698274516498451</c:v>
                </c:pt>
                <c:pt idx="11">
                  <c:v>16.539364215000159</c:v>
                </c:pt>
                <c:pt idx="12">
                  <c:v>6.616338004985983</c:v>
                </c:pt>
                <c:pt idx="13">
                  <c:v>5.2141017624034536</c:v>
                </c:pt>
                <c:pt idx="14">
                  <c:v>0.604633352342139</c:v>
                </c:pt>
                <c:pt idx="15">
                  <c:v>0.35864688280172424</c:v>
                </c:pt>
                <c:pt idx="16">
                  <c:v>0.10451122861875817</c:v>
                </c:pt>
                <c:pt idx="17">
                  <c:v>0.10893418164959043</c:v>
                </c:pt>
                <c:pt idx="18">
                  <c:v>5.1415960175666218</c:v>
                </c:pt>
                <c:pt idx="19">
                  <c:v>7.3898745664426038</c:v>
                </c:pt>
                <c:pt idx="20">
                  <c:v>5.7233457425335121</c:v>
                </c:pt>
                <c:pt idx="21">
                  <c:v>9.9126409843517127</c:v>
                </c:pt>
                <c:pt idx="22">
                  <c:v>20.714867868449449</c:v>
                </c:pt>
                <c:pt idx="23">
                  <c:v>10.037475437603732</c:v>
                </c:pt>
                <c:pt idx="24">
                  <c:v>2.2946317768124884</c:v>
                </c:pt>
                <c:pt idx="25">
                  <c:v>7.7064400084301132</c:v>
                </c:pt>
                <c:pt idx="26">
                  <c:v>15.943710435198005</c:v>
                </c:pt>
                <c:pt idx="27">
                  <c:v>10.996606365718334</c:v>
                </c:pt>
                <c:pt idx="28">
                  <c:v>6.0648584285925313</c:v>
                </c:pt>
                <c:pt idx="29">
                  <c:v>1.4801711811336007</c:v>
                </c:pt>
                <c:pt idx="30">
                  <c:v>0.46888020443170064</c:v>
                </c:pt>
                <c:pt idx="31">
                  <c:v>0.73511848811006164</c:v>
                </c:pt>
                <c:pt idx="32">
                  <c:v>1.1831855775902631</c:v>
                </c:pt>
                <c:pt idx="33">
                  <c:v>3.8441017801190442</c:v>
                </c:pt>
                <c:pt idx="34">
                  <c:v>9.2533486083234475</c:v>
                </c:pt>
                <c:pt idx="35">
                  <c:v>15.267277305645143</c:v>
                </c:pt>
                <c:pt idx="36">
                  <c:v>13.357198013702236</c:v>
                </c:pt>
                <c:pt idx="37">
                  <c:v>7.6460209658791349</c:v>
                </c:pt>
                <c:pt idx="38">
                  <c:v>3.7061585551638769</c:v>
                </c:pt>
                <c:pt idx="39">
                  <c:v>6.3274940323261433</c:v>
                </c:pt>
                <c:pt idx="40">
                  <c:v>6.9701559408082634</c:v>
                </c:pt>
                <c:pt idx="41">
                  <c:v>5.409312572508</c:v>
                </c:pt>
                <c:pt idx="42">
                  <c:v>5.639999469504021</c:v>
                </c:pt>
                <c:pt idx="43">
                  <c:v>8.6596207902264606</c:v>
                </c:pt>
                <c:pt idx="44">
                  <c:v>7.7292108731617439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3685-4B84-9CFD-D3FFE18A4E04}"/>
            </c:ext>
          </c:extLst>
        </c:ser>
        <c:ser>
          <c:idx val="5"/>
          <c:order val="4"/>
          <c:tx>
            <c:v>Chuva Dir</c:v>
          </c:tx>
          <c:spPr>
            <a:solidFill>
              <a:srgbClr val="FFFF99">
                <a:alpha val="81000"/>
              </a:srgbClr>
            </a:solidFill>
            <a:ln w="0">
              <a:solidFill>
                <a:srgbClr val="FFC000"/>
              </a:solidFill>
            </a:ln>
          </c:spPr>
          <c:val>
            <c:numRef>
              <c:f>Operacional_10_dias!#REF!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3685-4B84-9CFD-D3FFE18A4E0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66222944"/>
        <c:axId val="666222400"/>
      </c:areaChart>
      <c:lineChart>
        <c:grouping val="standard"/>
        <c:varyColors val="0"/>
        <c:ser>
          <c:idx val="0"/>
          <c:order val="0"/>
          <c:spPr>
            <a:ln w="12700">
              <a:solidFill>
                <a:srgbClr val="FF0000"/>
              </a:solidFill>
              <a:prstDash val="solid"/>
            </a:ln>
          </c:spPr>
          <c:marker>
            <c:symbol val="none"/>
          </c:marker>
          <c:cat>
            <c:numRef>
              <c:f>Operacional_9_meses!$A$24:$A$68</c:f>
              <c:numCache>
                <c:formatCode>m/d/yyyy</c:formatCode>
                <c:ptCount val="45"/>
                <c:pt idx="0">
                  <c:v>42429</c:v>
                </c:pt>
                <c:pt idx="1">
                  <c:v>42430</c:v>
                </c:pt>
                <c:pt idx="2">
                  <c:v>42431</c:v>
                </c:pt>
                <c:pt idx="3">
                  <c:v>42432</c:v>
                </c:pt>
                <c:pt idx="4">
                  <c:v>42433</c:v>
                </c:pt>
                <c:pt idx="5">
                  <c:v>42434</c:v>
                </c:pt>
                <c:pt idx="6">
                  <c:v>42435</c:v>
                </c:pt>
                <c:pt idx="7">
                  <c:v>42436</c:v>
                </c:pt>
                <c:pt idx="8">
                  <c:v>42437</c:v>
                </c:pt>
                <c:pt idx="9">
                  <c:v>42438</c:v>
                </c:pt>
                <c:pt idx="10">
                  <c:v>42439</c:v>
                </c:pt>
                <c:pt idx="11">
                  <c:v>42440</c:v>
                </c:pt>
                <c:pt idx="12">
                  <c:v>42441</c:v>
                </c:pt>
                <c:pt idx="13">
                  <c:v>42442</c:v>
                </c:pt>
                <c:pt idx="14">
                  <c:v>42443</c:v>
                </c:pt>
                <c:pt idx="15">
                  <c:v>42444</c:v>
                </c:pt>
                <c:pt idx="16">
                  <c:v>42445</c:v>
                </c:pt>
                <c:pt idx="17">
                  <c:v>42446</c:v>
                </c:pt>
                <c:pt idx="18">
                  <c:v>42447</c:v>
                </c:pt>
                <c:pt idx="19">
                  <c:v>42448</c:v>
                </c:pt>
                <c:pt idx="20">
                  <c:v>42449</c:v>
                </c:pt>
                <c:pt idx="21">
                  <c:v>42450</c:v>
                </c:pt>
                <c:pt idx="22">
                  <c:v>42451</c:v>
                </c:pt>
                <c:pt idx="23">
                  <c:v>42452</c:v>
                </c:pt>
                <c:pt idx="24">
                  <c:v>42453</c:v>
                </c:pt>
                <c:pt idx="25">
                  <c:v>42454</c:v>
                </c:pt>
                <c:pt idx="26">
                  <c:v>42455</c:v>
                </c:pt>
                <c:pt idx="27">
                  <c:v>42456</c:v>
                </c:pt>
                <c:pt idx="28">
                  <c:v>42457</c:v>
                </c:pt>
                <c:pt idx="29">
                  <c:v>42458</c:v>
                </c:pt>
                <c:pt idx="30">
                  <c:v>42459</c:v>
                </c:pt>
                <c:pt idx="31">
                  <c:v>42460</c:v>
                </c:pt>
                <c:pt idx="32">
                  <c:v>42461</c:v>
                </c:pt>
                <c:pt idx="33">
                  <c:v>42462</c:v>
                </c:pt>
                <c:pt idx="34">
                  <c:v>42463</c:v>
                </c:pt>
                <c:pt idx="35">
                  <c:v>42464</c:v>
                </c:pt>
                <c:pt idx="36">
                  <c:v>42465</c:v>
                </c:pt>
                <c:pt idx="37">
                  <c:v>42466</c:v>
                </c:pt>
                <c:pt idx="38">
                  <c:v>42467</c:v>
                </c:pt>
                <c:pt idx="39">
                  <c:v>42468</c:v>
                </c:pt>
                <c:pt idx="40">
                  <c:v>42469</c:v>
                </c:pt>
                <c:pt idx="41">
                  <c:v>42470</c:v>
                </c:pt>
                <c:pt idx="42">
                  <c:v>42471</c:v>
                </c:pt>
                <c:pt idx="43">
                  <c:v>42472</c:v>
                </c:pt>
                <c:pt idx="44">
                  <c:v>42473</c:v>
                </c:pt>
              </c:numCache>
            </c:numRef>
          </c:cat>
          <c:val>
            <c:numRef>
              <c:f>Operacional_9_meses!$E$24:$E$68</c:f>
              <c:numCache>
                <c:formatCode>0</c:formatCode>
                <c:ptCount val="45"/>
                <c:pt idx="0">
                  <c:v>1049.422528724215</c:v>
                </c:pt>
                <c:pt idx="1">
                  <c:v>862.97064693653431</c:v>
                </c:pt>
                <c:pt idx="2">
                  <c:v>781.87694485499287</c:v>
                </c:pt>
                <c:pt idx="3">
                  <c:v>2015.2835387628393</c:v>
                </c:pt>
                <c:pt idx="4">
                  <c:v>2316.447365852468</c:v>
                </c:pt>
                <c:pt idx="5">
                  <c:v>1949.1376615096544</c:v>
                </c:pt>
                <c:pt idx="6">
                  <c:v>1535.3191391419666</c:v>
                </c:pt>
                <c:pt idx="7">
                  <c:v>1225.7764075248226</c:v>
                </c:pt>
                <c:pt idx="8">
                  <c:v>1002.62722551921</c:v>
                </c:pt>
                <c:pt idx="9">
                  <c:v>1181.3037124829168</c:v>
                </c:pt>
                <c:pt idx="10">
                  <c:v>1710.1463410102242</c:v>
                </c:pt>
                <c:pt idx="11">
                  <c:v>2440.2438718612666</c:v>
                </c:pt>
                <c:pt idx="12">
                  <c:v>2112.1861731406452</c:v>
                </c:pt>
                <c:pt idx="13">
                  <c:v>1772.7470839815267</c:v>
                </c:pt>
                <c:pt idx="14">
                  <c:v>1415.7528971016848</c:v>
                </c:pt>
                <c:pt idx="15">
                  <c:v>1148.6104543408542</c:v>
                </c:pt>
                <c:pt idx="16">
                  <c:v>946.87640018726324</c:v>
                </c:pt>
                <c:pt idx="17">
                  <c:v>794.10919165361429</c:v>
                </c:pt>
                <c:pt idx="18">
                  <c:v>726.41791195110068</c:v>
                </c:pt>
                <c:pt idx="19">
                  <c:v>758.86321682710786</c:v>
                </c:pt>
                <c:pt idx="20">
                  <c:v>720.69132105233962</c:v>
                </c:pt>
                <c:pt idx="21">
                  <c:v>907.72537981185394</c:v>
                </c:pt>
                <c:pt idx="22">
                  <c:v>2080.3405279106382</c:v>
                </c:pt>
                <c:pt idx="23">
                  <c:v>2071.0357635072796</c:v>
                </c:pt>
                <c:pt idx="24">
                  <c:v>1645.3172901389632</c:v>
                </c:pt>
                <c:pt idx="25">
                  <c:v>1553.3510188338412</c:v>
                </c:pt>
                <c:pt idx="26">
                  <c:v>2283.0119370215161</c:v>
                </c:pt>
                <c:pt idx="27">
                  <c:v>2416.4325795814093</c:v>
                </c:pt>
                <c:pt idx="28">
                  <c:v>2090.196038220738</c:v>
                </c:pt>
                <c:pt idx="29">
                  <c:v>1670.4192927883753</c:v>
                </c:pt>
                <c:pt idx="30">
                  <c:v>1356.3325791958575</c:v>
                </c:pt>
                <c:pt idx="31">
                  <c:v>1119.5962484666663</c:v>
                </c:pt>
                <c:pt idx="32">
                  <c:v>940.39294831126585</c:v>
                </c:pt>
                <c:pt idx="33">
                  <c:v>824.28666146461865</c:v>
                </c:pt>
                <c:pt idx="34">
                  <c:v>972.08745613345798</c:v>
                </c:pt>
                <c:pt idx="35">
                  <c:v>1630.6470637300861</c:v>
                </c:pt>
                <c:pt idx="36">
                  <c:v>2091.6370123989941</c:v>
                </c:pt>
                <c:pt idx="37">
                  <c:v>1975.0174366272831</c:v>
                </c:pt>
                <c:pt idx="38">
                  <c:v>1630.9529658125257</c:v>
                </c:pt>
                <c:pt idx="39">
                  <c:v>1523.1591402149256</c:v>
                </c:pt>
                <c:pt idx="40">
                  <c:v>1500.2988392910479</c:v>
                </c:pt>
                <c:pt idx="41">
                  <c:v>1375.0238405121861</c:v>
                </c:pt>
                <c:pt idx="42">
                  <c:v>1297.3332799734665</c:v>
                </c:pt>
                <c:pt idx="43">
                  <c:v>1500.366921231793</c:v>
                </c:pt>
                <c:pt idx="44">
                  <c:v>1594.656302100771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3685-4B84-9CFD-D3FFE18A4E04}"/>
            </c:ext>
          </c:extLst>
        </c:ser>
        <c:ser>
          <c:idx val="1"/>
          <c:order val="1"/>
          <c:tx>
            <c:v>Q nat</c:v>
          </c:tx>
          <c:spPr>
            <a:ln w="12700">
              <a:solidFill>
                <a:srgbClr val="0000FF"/>
              </a:solidFill>
              <a:prstDash val="solid"/>
            </a:ln>
          </c:spPr>
          <c:marker>
            <c:symbol val="none"/>
          </c:marker>
          <c:cat>
            <c:numRef>
              <c:f>Operacional_9_meses!$A$24:$A$68</c:f>
              <c:numCache>
                <c:formatCode>m/d/yyyy</c:formatCode>
                <c:ptCount val="45"/>
                <c:pt idx="0">
                  <c:v>42429</c:v>
                </c:pt>
                <c:pt idx="1">
                  <c:v>42430</c:v>
                </c:pt>
                <c:pt idx="2">
                  <c:v>42431</c:v>
                </c:pt>
                <c:pt idx="3">
                  <c:v>42432</c:v>
                </c:pt>
                <c:pt idx="4">
                  <c:v>42433</c:v>
                </c:pt>
                <c:pt idx="5">
                  <c:v>42434</c:v>
                </c:pt>
                <c:pt idx="6">
                  <c:v>42435</c:v>
                </c:pt>
                <c:pt idx="7">
                  <c:v>42436</c:v>
                </c:pt>
                <c:pt idx="8">
                  <c:v>42437</c:v>
                </c:pt>
                <c:pt idx="9">
                  <c:v>42438</c:v>
                </c:pt>
                <c:pt idx="10">
                  <c:v>42439</c:v>
                </c:pt>
                <c:pt idx="11">
                  <c:v>42440</c:v>
                </c:pt>
                <c:pt idx="12">
                  <c:v>42441</c:v>
                </c:pt>
                <c:pt idx="13">
                  <c:v>42442</c:v>
                </c:pt>
                <c:pt idx="14">
                  <c:v>42443</c:v>
                </c:pt>
                <c:pt idx="15">
                  <c:v>42444</c:v>
                </c:pt>
                <c:pt idx="16">
                  <c:v>42445</c:v>
                </c:pt>
                <c:pt idx="17">
                  <c:v>42446</c:v>
                </c:pt>
                <c:pt idx="18">
                  <c:v>42447</c:v>
                </c:pt>
                <c:pt idx="19">
                  <c:v>42448</c:v>
                </c:pt>
                <c:pt idx="20">
                  <c:v>42449</c:v>
                </c:pt>
                <c:pt idx="21">
                  <c:v>42450</c:v>
                </c:pt>
                <c:pt idx="22">
                  <c:v>42451</c:v>
                </c:pt>
                <c:pt idx="23">
                  <c:v>42452</c:v>
                </c:pt>
                <c:pt idx="24">
                  <c:v>42453</c:v>
                </c:pt>
                <c:pt idx="25">
                  <c:v>42454</c:v>
                </c:pt>
                <c:pt idx="26">
                  <c:v>42455</c:v>
                </c:pt>
                <c:pt idx="27">
                  <c:v>42456</c:v>
                </c:pt>
                <c:pt idx="28">
                  <c:v>42457</c:v>
                </c:pt>
                <c:pt idx="29">
                  <c:v>42458</c:v>
                </c:pt>
                <c:pt idx="30">
                  <c:v>42459</c:v>
                </c:pt>
                <c:pt idx="31">
                  <c:v>42460</c:v>
                </c:pt>
                <c:pt idx="32">
                  <c:v>42461</c:v>
                </c:pt>
                <c:pt idx="33">
                  <c:v>42462</c:v>
                </c:pt>
                <c:pt idx="34">
                  <c:v>42463</c:v>
                </c:pt>
                <c:pt idx="35">
                  <c:v>42464</c:v>
                </c:pt>
                <c:pt idx="36">
                  <c:v>42465</c:v>
                </c:pt>
                <c:pt idx="37">
                  <c:v>42466</c:v>
                </c:pt>
                <c:pt idx="38">
                  <c:v>42467</c:v>
                </c:pt>
                <c:pt idx="39">
                  <c:v>42468</c:v>
                </c:pt>
                <c:pt idx="40">
                  <c:v>42469</c:v>
                </c:pt>
                <c:pt idx="41">
                  <c:v>42470</c:v>
                </c:pt>
                <c:pt idx="42">
                  <c:v>42471</c:v>
                </c:pt>
                <c:pt idx="43">
                  <c:v>42472</c:v>
                </c:pt>
                <c:pt idx="44">
                  <c:v>42473</c:v>
                </c:pt>
              </c:numCache>
            </c:numRef>
          </c:cat>
          <c:val>
            <c:numRef>
              <c:f>Operacional_9_meses!$B$24:$B$68</c:f>
              <c:numCache>
                <c:formatCode>0</c:formatCode>
                <c:ptCount val="45"/>
                <c:pt idx="0">
                  <c:v>1035.03556978713</c:v>
                </c:pt>
                <c:pt idx="1">
                  <c:v>894.423546771171</c:v>
                </c:pt>
                <c:pt idx="2">
                  <c:v>770.51679494953601</c:v>
                </c:pt>
                <c:pt idx="3">
                  <c:v>2008.20300002503</c:v>
                </c:pt>
                <c:pt idx="4">
                  <c:v>2064.5436128544702</c:v>
                </c:pt>
                <c:pt idx="5">
                  <c:v>1933.3914916014901</c:v>
                </c:pt>
                <c:pt idx="6">
                  <c:v>1700.6263589523101</c:v>
                </c:pt>
                <c:pt idx="7">
                  <c:v>1339.08532292257</c:v>
                </c:pt>
                <c:pt idx="8">
                  <c:v>1099.2439515618901</c:v>
                </c:pt>
                <c:pt idx="9">
                  <c:v>1180.2527855814201</c:v>
                </c:pt>
                <c:pt idx="10">
                  <c:v>1709.14781201286</c:v>
                </c:pt>
                <c:pt idx="11">
                  <c:v>2064.19808210052</c:v>
                </c:pt>
                <c:pt idx="12">
                  <c:v>2041.8017553371501</c:v>
                </c:pt>
                <c:pt idx="13">
                  <c:v>1897.4468000433001</c:v>
                </c:pt>
                <c:pt idx="14">
                  <c:v>1561.3107932038799</c:v>
                </c:pt>
                <c:pt idx="15">
                  <c:v>1289.2214994701901</c:v>
                </c:pt>
                <c:pt idx="16">
                  <c:v>1090.66473545695</c:v>
                </c:pt>
                <c:pt idx="17">
                  <c:v>929.17803163181395</c:v>
                </c:pt>
                <c:pt idx="18">
                  <c:v>832.586682242763</c:v>
                </c:pt>
                <c:pt idx="19">
                  <c:v>760.89026976625405</c:v>
                </c:pt>
                <c:pt idx="20">
                  <c:v>671.57040358134805</c:v>
                </c:pt>
                <c:pt idx="21">
                  <c:v>907.67806605403598</c:v>
                </c:pt>
                <c:pt idx="22">
                  <c:v>2079.9068913917499</c:v>
                </c:pt>
                <c:pt idx="23">
                  <c:v>2114</c:v>
                </c:pt>
                <c:pt idx="24">
                  <c:v>1609</c:v>
                </c:pt>
                <c:pt idx="25">
                  <c:v>1553</c:v>
                </c:pt>
                <c:pt idx="26">
                  <c:v>2283</c:v>
                </c:pt>
                <c:pt idx="27">
                  <c:v>2411</c:v>
                </c:pt>
                <c:pt idx="28">
                  <c:v>2110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3685-4B84-9CFD-D3FFE18A4E04}"/>
            </c:ext>
          </c:extLst>
        </c:ser>
        <c:ser>
          <c:idx val="2"/>
          <c:order val="2"/>
          <c:spPr>
            <a:ln w="25400">
              <a:solidFill>
                <a:srgbClr val="999933"/>
              </a:solidFill>
              <a:prstDash val="solid"/>
            </a:ln>
          </c:spPr>
          <c:marker>
            <c:symbol val="none"/>
          </c:marker>
          <c:cat>
            <c:numRef>
              <c:f>Operacional_9_meses!$A$24:$A$68</c:f>
              <c:numCache>
                <c:formatCode>m/d/yyyy</c:formatCode>
                <c:ptCount val="45"/>
                <c:pt idx="0">
                  <c:v>42429</c:v>
                </c:pt>
                <c:pt idx="1">
                  <c:v>42430</c:v>
                </c:pt>
                <c:pt idx="2">
                  <c:v>42431</c:v>
                </c:pt>
                <c:pt idx="3">
                  <c:v>42432</c:v>
                </c:pt>
                <c:pt idx="4">
                  <c:v>42433</c:v>
                </c:pt>
                <c:pt idx="5">
                  <c:v>42434</c:v>
                </c:pt>
                <c:pt idx="6">
                  <c:v>42435</c:v>
                </c:pt>
                <c:pt idx="7">
                  <c:v>42436</c:v>
                </c:pt>
                <c:pt idx="8">
                  <c:v>42437</c:v>
                </c:pt>
                <c:pt idx="9">
                  <c:v>42438</c:v>
                </c:pt>
                <c:pt idx="10">
                  <c:v>42439</c:v>
                </c:pt>
                <c:pt idx="11">
                  <c:v>42440</c:v>
                </c:pt>
                <c:pt idx="12">
                  <c:v>42441</c:v>
                </c:pt>
                <c:pt idx="13">
                  <c:v>42442</c:v>
                </c:pt>
                <c:pt idx="14">
                  <c:v>42443</c:v>
                </c:pt>
                <c:pt idx="15">
                  <c:v>42444</c:v>
                </c:pt>
                <c:pt idx="16">
                  <c:v>42445</c:v>
                </c:pt>
                <c:pt idx="17">
                  <c:v>42446</c:v>
                </c:pt>
                <c:pt idx="18">
                  <c:v>42447</c:v>
                </c:pt>
                <c:pt idx="19">
                  <c:v>42448</c:v>
                </c:pt>
                <c:pt idx="20">
                  <c:v>42449</c:v>
                </c:pt>
                <c:pt idx="21">
                  <c:v>42450</c:v>
                </c:pt>
                <c:pt idx="22">
                  <c:v>42451</c:v>
                </c:pt>
                <c:pt idx="23">
                  <c:v>42452</c:v>
                </c:pt>
                <c:pt idx="24">
                  <c:v>42453</c:v>
                </c:pt>
                <c:pt idx="25">
                  <c:v>42454</c:v>
                </c:pt>
                <c:pt idx="26">
                  <c:v>42455</c:v>
                </c:pt>
                <c:pt idx="27">
                  <c:v>42456</c:v>
                </c:pt>
                <c:pt idx="28">
                  <c:v>42457</c:v>
                </c:pt>
                <c:pt idx="29">
                  <c:v>42458</c:v>
                </c:pt>
                <c:pt idx="30">
                  <c:v>42459</c:v>
                </c:pt>
                <c:pt idx="31">
                  <c:v>42460</c:v>
                </c:pt>
                <c:pt idx="32">
                  <c:v>42461</c:v>
                </c:pt>
                <c:pt idx="33">
                  <c:v>42462</c:v>
                </c:pt>
                <c:pt idx="34">
                  <c:v>42463</c:v>
                </c:pt>
                <c:pt idx="35">
                  <c:v>42464</c:v>
                </c:pt>
                <c:pt idx="36">
                  <c:v>42465</c:v>
                </c:pt>
                <c:pt idx="37">
                  <c:v>42466</c:v>
                </c:pt>
                <c:pt idx="38">
                  <c:v>42467</c:v>
                </c:pt>
                <c:pt idx="39">
                  <c:v>42468</c:v>
                </c:pt>
                <c:pt idx="40">
                  <c:v>42469</c:v>
                </c:pt>
                <c:pt idx="41">
                  <c:v>42470</c:v>
                </c:pt>
                <c:pt idx="42">
                  <c:v>42471</c:v>
                </c:pt>
                <c:pt idx="43">
                  <c:v>42472</c:v>
                </c:pt>
                <c:pt idx="44">
                  <c:v>42473</c:v>
                </c:pt>
              </c:numCache>
            </c:numRef>
          </c:cat>
          <c:val>
            <c:numRef>
              <c:f>Operacional_9_meses!$F$24:$F$68</c:f>
              <c:numCache>
                <c:formatCode>0.00</c:formatCode>
                <c:ptCount val="45"/>
                <c:pt idx="0">
                  <c:v>249.8449596097982</c:v>
                </c:pt>
                <c:pt idx="1">
                  <c:v>250.00754634773659</c:v>
                </c:pt>
                <c:pt idx="2">
                  <c:v>249.21185308259496</c:v>
                </c:pt>
                <c:pt idx="3">
                  <c:v>248.143835730674</c:v>
                </c:pt>
                <c:pt idx="4">
                  <c:v>247.52851275148947</c:v>
                </c:pt>
                <c:pt idx="5">
                  <c:v>251.76213945349801</c:v>
                </c:pt>
                <c:pt idx="6">
                  <c:v>258.79078079509446</c:v>
                </c:pt>
                <c:pt idx="7">
                  <c:v>265.75039767062344</c:v>
                </c:pt>
                <c:pt idx="8">
                  <c:v>270.8291002228458</c:v>
                </c:pt>
                <c:pt idx="9">
                  <c:v>273.75061278692425</c:v>
                </c:pt>
                <c:pt idx="10">
                  <c:v>275.87593399071278</c:v>
                </c:pt>
                <c:pt idx="11">
                  <c:v>279.834878425569</c:v>
                </c:pt>
                <c:pt idx="12">
                  <c:v>286.59828962859422</c:v>
                </c:pt>
                <c:pt idx="13">
                  <c:v>296.10649094486013</c:v>
                </c:pt>
                <c:pt idx="14">
                  <c:v>305.23046549854746</c:v>
                </c:pt>
                <c:pt idx="15">
                  <c:v>313.43087380556437</c:v>
                </c:pt>
                <c:pt idx="16">
                  <c:v>318.77118421592644</c:v>
                </c:pt>
                <c:pt idx="17">
                  <c:v>321.73633732982518</c:v>
                </c:pt>
                <c:pt idx="18">
                  <c:v>322.72809361252524</c:v>
                </c:pt>
                <c:pt idx="19">
                  <c:v>322.16022813526422</c:v>
                </c:pt>
                <c:pt idx="20">
                  <c:v>321.57019299747486</c:v>
                </c:pt>
                <c:pt idx="21">
                  <c:v>321.82918876354728</c:v>
                </c:pt>
                <c:pt idx="22">
                  <c:v>322.32107607714011</c:v>
                </c:pt>
                <c:pt idx="23">
                  <c:v>324.4469187804396</c:v>
                </c:pt>
                <c:pt idx="24">
                  <c:v>330.8304488518869</c:v>
                </c:pt>
                <c:pt idx="25">
                  <c:v>338.36449651818793</c:v>
                </c:pt>
                <c:pt idx="26">
                  <c:v>343.93605125661549</c:v>
                </c:pt>
                <c:pt idx="27">
                  <c:v>349.99296704631161</c:v>
                </c:pt>
                <c:pt idx="28">
                  <c:v>358.64357013483868</c:v>
                </c:pt>
                <c:pt idx="29">
                  <c:v>368.18781792913114</c:v>
                </c:pt>
                <c:pt idx="30">
                  <c:v>376.9762816713199</c:v>
                </c:pt>
                <c:pt idx="31">
                  <c:v>383.06148024917815</c:v>
                </c:pt>
                <c:pt idx="32">
                  <c:v>386.47455705326007</c:v>
                </c:pt>
                <c:pt idx="33">
                  <c:v>387.87361425408511</c:v>
                </c:pt>
                <c:pt idx="34">
                  <c:v>388.170779097197</c:v>
                </c:pt>
                <c:pt idx="35">
                  <c:v>388.42798198626224</c:v>
                </c:pt>
                <c:pt idx="36">
                  <c:v>390.68599902970271</c:v>
                </c:pt>
                <c:pt idx="37">
                  <c:v>396.60420465863183</c:v>
                </c:pt>
                <c:pt idx="38">
                  <c:v>405.20966160926884</c:v>
                </c:pt>
                <c:pt idx="39">
                  <c:v>414.44279099773058</c:v>
                </c:pt>
                <c:pt idx="40">
                  <c:v>422.5820750314673</c:v>
                </c:pt>
                <c:pt idx="41">
                  <c:v>430.93332164802706</c:v>
                </c:pt>
                <c:pt idx="42">
                  <c:v>439.67417261399186</c:v>
                </c:pt>
                <c:pt idx="43">
                  <c:v>448.14511279129931</c:v>
                </c:pt>
                <c:pt idx="44">
                  <c:v>456.46248217336858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3685-4B84-9CFD-D3FFE18A4E0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66221312"/>
        <c:axId val="666224576"/>
      </c:lineChart>
      <c:dateAx>
        <c:axId val="666221312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Meses/anos</a:t>
                </a:r>
              </a:p>
            </c:rich>
          </c:tx>
          <c:layout>
            <c:manualLayout>
              <c:xMode val="edge"/>
              <c:yMode val="edge"/>
              <c:x val="0.48698459130603405"/>
              <c:y val="0.90562437590038092"/>
            </c:manualLayout>
          </c:layout>
          <c:overlay val="0"/>
        </c:title>
        <c:numFmt formatCode="[$-416]mmm\-yy;@" sourceLinked="0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-1500000" vert="horz"/>
          <a:lstStyle/>
          <a:p>
            <a:pPr>
              <a:defRPr/>
            </a:pPr>
            <a:endParaRPr lang="pt-BR"/>
          </a:p>
        </c:txPr>
        <c:crossAx val="666224576"/>
        <c:crosses val="autoZero"/>
        <c:auto val="0"/>
        <c:lblOffset val="100"/>
        <c:baseTimeUnit val="days"/>
        <c:majorUnit val="1"/>
        <c:majorTimeUnit val="months"/>
        <c:minorUnit val="1"/>
      </c:dateAx>
      <c:valAx>
        <c:axId val="666224576"/>
        <c:scaling>
          <c:orientation val="minMax"/>
          <c:min val="0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 sz="1600"/>
                </a:pPr>
                <a:r>
                  <a:rPr lang="pt-BR" sz="1600"/>
                  <a:t>Vazões (m³/s)</a:t>
                </a:r>
              </a:p>
            </c:rich>
          </c:tx>
          <c:layout>
            <c:manualLayout>
              <c:xMode val="edge"/>
              <c:yMode val="edge"/>
              <c:x val="5.3936113587626873E-5"/>
              <c:y val="0.3198800936316068"/>
            </c:manualLayout>
          </c:layout>
          <c:overlay val="0"/>
        </c:title>
        <c:numFmt formatCode="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/>
            </a:pPr>
            <a:endParaRPr lang="pt-BR"/>
          </a:p>
        </c:txPr>
        <c:crossAx val="666221312"/>
        <c:crosses val="autoZero"/>
        <c:crossBetween val="between"/>
      </c:valAx>
      <c:valAx>
        <c:axId val="666222400"/>
        <c:scaling>
          <c:orientation val="maxMin"/>
          <c:max val="150"/>
          <c:min val="0"/>
        </c:scaling>
        <c:delete val="0"/>
        <c:axPos val="r"/>
        <c:title>
          <c:tx>
            <c:rich>
              <a:bodyPr/>
              <a:lstStyle/>
              <a:p>
                <a:pPr>
                  <a:defRPr/>
                </a:pPr>
                <a:r>
                  <a:rPr lang="pt-BR"/>
                  <a:t>Precipitação</a:t>
                </a:r>
              </a:p>
            </c:rich>
          </c:tx>
          <c:layout>
            <c:manualLayout>
              <c:xMode val="edge"/>
              <c:yMode val="edge"/>
              <c:x val="0.98839002300740897"/>
              <c:y val="0.14803108771576381"/>
            </c:manualLayout>
          </c:layout>
          <c:overlay val="0"/>
        </c:title>
        <c:numFmt formatCode="0" sourceLinked="0"/>
        <c:majorTickMark val="out"/>
        <c:minorTickMark val="none"/>
        <c:tickLblPos val="nextTo"/>
        <c:crossAx val="666222944"/>
        <c:crosses val="max"/>
        <c:crossBetween val="between"/>
        <c:majorUnit val="10"/>
      </c:valAx>
      <c:catAx>
        <c:axId val="666222944"/>
        <c:scaling>
          <c:orientation val="minMax"/>
        </c:scaling>
        <c:delete val="1"/>
        <c:axPos val="t"/>
        <c:numFmt formatCode="mmm\-yy" sourceLinked="1"/>
        <c:majorTickMark val="out"/>
        <c:minorTickMark val="none"/>
        <c:tickLblPos val="nextTo"/>
        <c:crossAx val="666222400"/>
        <c:crosses val="autoZero"/>
        <c:auto val="0"/>
        <c:lblAlgn val="ctr"/>
        <c:lblOffset val="100"/>
        <c:noMultiLvlLbl val="1"/>
      </c:catAx>
      <c:spPr>
        <a:solidFill>
          <a:srgbClr val="FFFFFF"/>
        </a:solidFill>
        <a:ln w="12700">
          <a:solidFill>
            <a:srgbClr val="808080"/>
          </a:solidFill>
          <a:prstDash val="solid"/>
        </a:ln>
      </c:spPr>
    </c:plotArea>
    <c:legend>
      <c:legendPos val="r"/>
      <c:layout>
        <c:manualLayout>
          <c:xMode val="edge"/>
          <c:yMode val="edge"/>
          <c:x val="0"/>
          <c:y val="0.95975211573283337"/>
          <c:w val="1"/>
          <c:h val="4.0247884267166655E-2"/>
        </c:manualLayout>
      </c:layout>
      <c:overlay val="0"/>
      <c:spPr>
        <a:noFill/>
        <a:ln w="3175">
          <a:noFill/>
          <a:prstDash val="solid"/>
        </a:ln>
      </c:spPr>
    </c:legend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400" b="0" i="0" u="none" strike="noStrike" baseline="0">
          <a:solidFill>
            <a:srgbClr val="000000"/>
          </a:solidFill>
          <a:latin typeface="Times New Roman" panose="02020603050405020304" pitchFamily="18" charset="0"/>
          <a:ea typeface="Arial"/>
          <a:cs typeface="Times New Roman" panose="02020603050405020304" pitchFamily="18" charset="0"/>
        </a:defRPr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3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lang="en-US"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r>
              <a:rPr lang="pt-BR"/>
              <a:t>Erro %</a:t>
            </a:r>
          </a:p>
        </c:rich>
      </c:tx>
      <c:layout>
        <c:manualLayout>
          <c:xMode val="edge"/>
          <c:yMode val="edge"/>
          <c:x val="0.13793125714567911"/>
          <c:y val="3.913954375881061E-2"/>
        </c:manualLayout>
      </c:layout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0.132822684721668"/>
          <c:y val="0.23483590344360997"/>
          <c:w val="0.85313032109687004"/>
          <c:h val="0.65754052964210941"/>
        </c:manualLayout>
      </c:layout>
      <c:lineChart>
        <c:grouping val="standard"/>
        <c:varyColors val="0"/>
        <c:ser>
          <c:idx val="0"/>
          <c:order val="0"/>
          <c:spPr>
            <a:ln w="12700">
              <a:solidFill>
                <a:srgbClr val="000080"/>
              </a:solidFill>
              <a:prstDash val="solid"/>
            </a:ln>
          </c:spPr>
          <c:marker>
            <c:symbol val="none"/>
          </c:marker>
          <c:cat>
            <c:numRef>
              <c:f>Operacional_9_meses!$A$22:$A$47</c:f>
              <c:numCache>
                <c:formatCode>m/d/yyyy</c:formatCode>
                <c:ptCount val="26"/>
                <c:pt idx="0">
                  <c:v>42427</c:v>
                </c:pt>
                <c:pt idx="1">
                  <c:v>42428</c:v>
                </c:pt>
                <c:pt idx="2">
                  <c:v>42429</c:v>
                </c:pt>
                <c:pt idx="3">
                  <c:v>42430</c:v>
                </c:pt>
                <c:pt idx="4">
                  <c:v>42431</c:v>
                </c:pt>
                <c:pt idx="5">
                  <c:v>42432</c:v>
                </c:pt>
                <c:pt idx="6">
                  <c:v>42433</c:v>
                </c:pt>
                <c:pt idx="7">
                  <c:v>42434</c:v>
                </c:pt>
                <c:pt idx="8">
                  <c:v>42435</c:v>
                </c:pt>
                <c:pt idx="9">
                  <c:v>42436</c:v>
                </c:pt>
                <c:pt idx="10">
                  <c:v>42437</c:v>
                </c:pt>
                <c:pt idx="11">
                  <c:v>42438</c:v>
                </c:pt>
                <c:pt idx="12">
                  <c:v>42439</c:v>
                </c:pt>
                <c:pt idx="13">
                  <c:v>42440</c:v>
                </c:pt>
                <c:pt idx="14">
                  <c:v>42441</c:v>
                </c:pt>
                <c:pt idx="15">
                  <c:v>42442</c:v>
                </c:pt>
                <c:pt idx="16">
                  <c:v>42443</c:v>
                </c:pt>
                <c:pt idx="17">
                  <c:v>42444</c:v>
                </c:pt>
                <c:pt idx="18">
                  <c:v>42445</c:v>
                </c:pt>
                <c:pt idx="19">
                  <c:v>42446</c:v>
                </c:pt>
                <c:pt idx="20">
                  <c:v>42447</c:v>
                </c:pt>
                <c:pt idx="21">
                  <c:v>42448</c:v>
                </c:pt>
                <c:pt idx="22">
                  <c:v>42449</c:v>
                </c:pt>
                <c:pt idx="23">
                  <c:v>42450</c:v>
                </c:pt>
                <c:pt idx="24">
                  <c:v>42451</c:v>
                </c:pt>
                <c:pt idx="25">
                  <c:v>42452</c:v>
                </c:pt>
              </c:numCache>
            </c:numRef>
          </c:cat>
          <c:val>
            <c:numRef>
              <c:f>Operacional_9_meses!$C$22:$C$47</c:f>
              <c:numCache>
                <c:formatCode>0.00</c:formatCode>
                <c:ptCount val="26"/>
                <c:pt idx="2">
                  <c:v>1.9320904696515425E-4</c:v>
                </c:pt>
                <c:pt idx="3">
                  <c:v>1.2366162118570292E-3</c:v>
                </c:pt>
                <c:pt idx="4">
                  <c:v>2.1737215230292778E-4</c:v>
                </c:pt>
                <c:pt idx="5">
                  <c:v>1.243132393040255E-5</c:v>
                </c:pt>
                <c:pt idx="6">
                  <c:v>1.4887478678581607E-2</c:v>
                </c:pt>
                <c:pt idx="7">
                  <c:v>6.6330040222668834E-5</c:v>
                </c:pt>
                <c:pt idx="8">
                  <c:v>9.4485644839026849E-3</c:v>
                </c:pt>
                <c:pt idx="9">
                  <c:v>7.1599776225109739E-3</c:v>
                </c:pt>
                <c:pt idx="10">
                  <c:v>7.7253197606676231E-3</c:v>
                </c:pt>
                <c:pt idx="11">
                  <c:v>7.9285715576180203E-7</c:v>
                </c:pt>
                <c:pt idx="12">
                  <c:v>3.4132029782806381E-7</c:v>
                </c:pt>
                <c:pt idx="13">
                  <c:v>3.3187819612905463E-2</c:v>
                </c:pt>
                <c:pt idx="14">
                  <c:v>1.188299459431427E-3</c:v>
                </c:pt>
                <c:pt idx="15">
                  <c:v>4.3190846204540041E-3</c:v>
                </c:pt>
                <c:pt idx="16">
                  <c:v>8.6914615930283792E-3</c:v>
                </c:pt>
                <c:pt idx="17">
                  <c:v>1.1895529924825867E-2</c:v>
                </c:pt>
                <c:pt idx="18">
                  <c:v>1.7380600157408266E-2</c:v>
                </c:pt>
                <c:pt idx="19">
                  <c:v>2.1130631354135062E-2</c:v>
                </c:pt>
                <c:pt idx="20">
                  <c:v>1.6260528416143664E-2</c:v>
                </c:pt>
                <c:pt idx="21">
                  <c:v>7.0971849222414083E-6</c:v>
                </c:pt>
                <c:pt idx="22">
                  <c:v>5.3499514772770264E-3</c:v>
                </c:pt>
                <c:pt idx="23">
                  <c:v>2.7171349160104145E-9</c:v>
                </c:pt>
                <c:pt idx="24">
                  <c:v>4.3467424753388476E-8</c:v>
                </c:pt>
                <c:pt idx="25">
                  <c:v>4.1305152598087024E-4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000A-49A3-B25B-A0FBFC9D564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668300736"/>
        <c:axId val="668295296"/>
      </c:lineChart>
      <c:dateAx>
        <c:axId val="668300736"/>
        <c:scaling>
          <c:orientation val="minMax"/>
        </c:scaling>
        <c:delete val="0"/>
        <c:axPos val="b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mmm/yy" sourceLinked="0"/>
        <c:majorTickMark val="out"/>
        <c:minorTickMark val="none"/>
        <c:tickLblPos val="low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lang="en-US"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pt-BR"/>
          </a:p>
        </c:txPr>
        <c:crossAx val="668295296"/>
        <c:crosses val="autoZero"/>
        <c:auto val="1"/>
        <c:lblOffset val="100"/>
        <c:baseTimeUnit val="months"/>
        <c:majorUnit val="1"/>
        <c:majorTimeUnit val="years"/>
      </c:dateAx>
      <c:valAx>
        <c:axId val="668295296"/>
        <c:scaling>
          <c:orientation val="minMax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0.0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lang="en-US"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pt-BR"/>
          </a:p>
        </c:txPr>
        <c:crossAx val="668300736"/>
        <c:crosses val="autoZero"/>
        <c:crossBetween val="between"/>
      </c:valAx>
      <c:spPr>
        <a:solidFill>
          <a:srgbClr val="FFFFFF"/>
        </a:solidFill>
        <a:ln w="12700">
          <a:solidFill>
            <a:srgbClr val="808080"/>
          </a:solidFill>
          <a:prstDash val="solid"/>
        </a:ln>
      </c:spPr>
    </c:plotArea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8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pt-BR"/>
    </a:p>
  </c:txPr>
  <c:printSettings>
    <c:headerFooter alignWithMargins="0"/>
    <c:pageMargins b="0.98425196899999956" l="0.78740157499999996" r="0.78740157499999996" t="0.98425196899999956" header="0.49212598500000138" footer="0.49212598500000138"/>
    <c:pageSetup/>
  </c:printSettings>
</c:chartSpace>
</file>

<file path=xl/charts/chart3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3537696712016201"/>
          <c:y val="0.126050420168067"/>
          <c:w val="0.82503321471344004"/>
          <c:h val="0.61344537815125999"/>
        </c:manualLayout>
      </c:layout>
      <c:barChart>
        <c:barDir val="col"/>
        <c:grouping val="clustered"/>
        <c:varyColors val="0"/>
        <c:ser>
          <c:idx val="0"/>
          <c:order val="0"/>
          <c:spPr>
            <a:solidFill>
              <a:srgbClr val="8080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val>
            <c:numRef>
              <c:f>Operacional_9_meses!$AB$22:$AB$47</c:f>
              <c:numCache>
                <c:formatCode>0.0</c:formatCode>
                <c:ptCount val="26"/>
                <c:pt idx="0">
                  <c:v>14.849999999999994</c:v>
                </c:pt>
                <c:pt idx="1">
                  <c:v>3.0499999999999994</c:v>
                </c:pt>
                <c:pt idx="2">
                  <c:v>0.45999999999999996</c:v>
                </c:pt>
                <c:pt idx="3">
                  <c:v>0.24000000000000002</c:v>
                </c:pt>
                <c:pt idx="4">
                  <c:v>9.3000000000000025</c:v>
                </c:pt>
                <c:pt idx="5">
                  <c:v>31.29</c:v>
                </c:pt>
                <c:pt idx="6">
                  <c:v>4.3499999999999996</c:v>
                </c:pt>
                <c:pt idx="7">
                  <c:v>1.3199999999999998</c:v>
                </c:pt>
                <c:pt idx="8">
                  <c:v>0.41000000000000009</c:v>
                </c:pt>
                <c:pt idx="9">
                  <c:v>0.32</c:v>
                </c:pt>
                <c:pt idx="10">
                  <c:v>6.9999999999999979E-2</c:v>
                </c:pt>
                <c:pt idx="11">
                  <c:v>9.34</c:v>
                </c:pt>
                <c:pt idx="12">
                  <c:v>23.519999999999989</c:v>
                </c:pt>
                <c:pt idx="13">
                  <c:v>3.0900000000000012</c:v>
                </c:pt>
                <c:pt idx="14">
                  <c:v>2.86</c:v>
                </c:pt>
                <c:pt idx="15">
                  <c:v>0.73000000000000009</c:v>
                </c:pt>
                <c:pt idx="16">
                  <c:v>0.59000000000000008</c:v>
                </c:pt>
                <c:pt idx="17">
                  <c:v>6.9999999999999979E-2</c:v>
                </c:pt>
                <c:pt idx="18">
                  <c:v>0.13000000000000003</c:v>
                </c:pt>
                <c:pt idx="19">
                  <c:v>6.0000000000000005E-2</c:v>
                </c:pt>
                <c:pt idx="20">
                  <c:v>9.9999999999999964E-2</c:v>
                </c:pt>
                <c:pt idx="21">
                  <c:v>12.710000000000003</c:v>
                </c:pt>
                <c:pt idx="22">
                  <c:v>2.6999999999999993</c:v>
                </c:pt>
                <c:pt idx="23">
                  <c:v>24.95000000000001</c:v>
                </c:pt>
                <c:pt idx="24">
                  <c:v>18.129999999999992</c:v>
                </c:pt>
                <c:pt idx="25">
                  <c:v>0.83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E5F4-4AED-BA46-C2E26C2B82B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668300192"/>
        <c:axId val="668296384"/>
      </c:barChart>
      <c:catAx>
        <c:axId val="668300192"/>
        <c:scaling>
          <c:orientation val="minMax"/>
        </c:scaling>
        <c:delete val="0"/>
        <c:axPos val="b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lang="en-US" sz="85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pt-BR"/>
          </a:p>
        </c:txPr>
        <c:crossAx val="668296384"/>
        <c:crosses val="autoZero"/>
        <c:auto val="1"/>
        <c:lblAlgn val="ctr"/>
        <c:lblOffset val="100"/>
        <c:tickLblSkip val="12"/>
        <c:tickMarkSkip val="12"/>
        <c:noMultiLvlLbl val="0"/>
      </c:catAx>
      <c:valAx>
        <c:axId val="668296384"/>
        <c:scaling>
          <c:orientation val="minMax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0.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lang="en-US" sz="85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pt-BR"/>
          </a:p>
        </c:txPr>
        <c:crossAx val="668300192"/>
        <c:crosses val="autoZero"/>
        <c:crossBetween val="between"/>
        <c:majorUnit val="100"/>
      </c:valAx>
      <c:spPr>
        <a:solidFill>
          <a:srgbClr val="FFFFFF"/>
        </a:solidFill>
        <a:ln w="12700">
          <a:solidFill>
            <a:srgbClr val="808080"/>
          </a:solidFill>
          <a:prstDash val="solid"/>
        </a:ln>
      </c:spPr>
    </c:plotArea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8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pt-BR"/>
    </a:p>
  </c:txPr>
  <c:printSettings>
    <c:headerFooter alignWithMargins="0"/>
    <c:pageMargins b="0.98425196899999956" l="0.78740157499999996" r="0.78740157499999996" t="0.98425196899999956" header="0.49212598500000138" footer="0.49212598500000138"/>
    <c:pageSetup/>
  </c:printSettings>
</c:chartSpace>
</file>

<file path=xl/charts/chart3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3537696712016201"/>
          <c:y val="0.126050420168067"/>
          <c:w val="0.82503321471344004"/>
          <c:h val="0.61344537815125999"/>
        </c:manualLayout>
      </c:layout>
      <c:barChart>
        <c:barDir val="col"/>
        <c:grouping val="clustered"/>
        <c:varyColors val="0"/>
        <c:ser>
          <c:idx val="0"/>
          <c:order val="0"/>
          <c:spPr>
            <a:solidFill>
              <a:srgbClr val="8080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val>
            <c:numRef>
              <c:f>'Rio Grande_MoFurnas_Ch-perfeita'!$S$19:$S$104</c:f>
              <c:numCache>
                <c:formatCode>0.0</c:formatCode>
                <c:ptCount val="8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E014-4652-A86C-F6C9C817DF6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668289312"/>
        <c:axId val="668301824"/>
      </c:barChart>
      <c:catAx>
        <c:axId val="668289312"/>
        <c:scaling>
          <c:orientation val="minMax"/>
        </c:scaling>
        <c:delete val="0"/>
        <c:axPos val="b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lang="en-US" sz="85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pt-BR"/>
          </a:p>
        </c:txPr>
        <c:crossAx val="668301824"/>
        <c:crosses val="autoZero"/>
        <c:auto val="1"/>
        <c:lblAlgn val="ctr"/>
        <c:lblOffset val="100"/>
        <c:tickLblSkip val="12"/>
        <c:tickMarkSkip val="12"/>
        <c:noMultiLvlLbl val="0"/>
      </c:catAx>
      <c:valAx>
        <c:axId val="668301824"/>
        <c:scaling>
          <c:orientation val="minMax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0.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lang="en-US" sz="85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pt-BR"/>
          </a:p>
        </c:txPr>
        <c:crossAx val="668289312"/>
        <c:crosses val="autoZero"/>
        <c:crossBetween val="between"/>
        <c:majorUnit val="100"/>
      </c:valAx>
      <c:spPr>
        <a:solidFill>
          <a:srgbClr val="FFFFFF"/>
        </a:solidFill>
        <a:ln w="12700">
          <a:solidFill>
            <a:srgbClr val="808080"/>
          </a:solidFill>
          <a:prstDash val="solid"/>
        </a:ln>
      </c:spPr>
    </c:plotArea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8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pt-BR"/>
    </a:p>
  </c:txPr>
  <c:printSettings>
    <c:headerFooter alignWithMargins="0"/>
    <c:pageMargins b="0.98425196899999956" l="0.78740157499999996" r="0.78740157499999996" t="0.98425196899999956" header="0.49212598500000138" footer="0.49212598500000138"/>
    <c:pageSetup/>
  </c:printSettings>
</c:chartSpace>
</file>

<file path=xl/charts/chart3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2400010416711881"/>
          <c:y val="0.2400010416711881"/>
          <c:w val="0.66666956019774404"/>
          <c:h val="0.62222492285122799"/>
        </c:manualLayout>
      </c:layout>
      <c:scatterChart>
        <c:scatterStyle val="lineMarker"/>
        <c:varyColors val="0"/>
        <c:ser>
          <c:idx val="0"/>
          <c:order val="0"/>
          <c:spPr>
            <a:ln w="28575">
              <a:noFill/>
            </a:ln>
          </c:spPr>
          <c:marker>
            <c:symbol val="diamond"/>
            <c:size val="5"/>
            <c:spPr>
              <a:solidFill>
                <a:srgbClr val="000080"/>
              </a:solidFill>
              <a:ln>
                <a:solidFill>
                  <a:srgbClr val="000080"/>
                </a:solidFill>
                <a:prstDash val="solid"/>
              </a:ln>
            </c:spPr>
          </c:marker>
          <c:trendline>
            <c:spPr>
              <a:ln w="12700">
                <a:solidFill>
                  <a:srgbClr val="FF0000"/>
                </a:solidFill>
                <a:prstDash val="solid"/>
              </a:ln>
            </c:spPr>
            <c:trendlineType val="linear"/>
            <c:dispRSqr val="1"/>
            <c:dispEq val="1"/>
            <c:trendlineLbl>
              <c:layout>
                <c:manualLayout>
                  <c:x val="-0.14035741661870191"/>
                  <c:y val="-0.2573605261689062"/>
                </c:manualLayout>
              </c:layout>
              <c:numFmt formatCode="General" sourceLinked="0"/>
              <c:spPr>
                <a:noFill/>
                <a:ln w="25400">
                  <a:noFill/>
                </a:ln>
              </c:spPr>
              <c:txPr>
                <a:bodyPr/>
                <a:lstStyle/>
                <a:p>
                  <a:pPr algn="ctr" rtl="1">
                    <a:defRPr lang="en-US" sz="800" b="0" i="0" u="none" strike="noStrike" baseline="0">
                      <a:solidFill>
                        <a:srgbClr val="000000"/>
                      </a:solidFill>
                      <a:latin typeface="Arial"/>
                      <a:ea typeface="Arial"/>
                      <a:cs typeface="Arial"/>
                    </a:defRPr>
                  </a:pPr>
                  <a:endParaRPr lang="pt-BR"/>
                </a:p>
              </c:txPr>
            </c:trendlineLbl>
          </c:trendline>
          <c:xVal>
            <c:numRef>
              <c:f>'Rio Grande_MoFurnas_Ch-perfeita'!$AD$19:$AD$104</c:f>
              <c:numCache>
                <c:formatCode>0</c:formatCode>
                <c:ptCount val="8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</c:numCache>
            </c:numRef>
          </c:xVal>
          <c:yVal>
            <c:numRef>
              <c:f>'Rio Grande_MoFurnas_Ch-perfeita'!$AE$19:$AE$104</c:f>
              <c:numCache>
                <c:formatCode>General</c:formatCode>
                <c:ptCount val="86"/>
                <c:pt idx="0">
                  <c:v>1654</c:v>
                </c:pt>
                <c:pt idx="1">
                  <c:v>1240</c:v>
                </c:pt>
                <c:pt idx="2">
                  <c:v>996</c:v>
                </c:pt>
                <c:pt idx="3">
                  <c:v>620</c:v>
                </c:pt>
                <c:pt idx="4">
                  <c:v>647</c:v>
                </c:pt>
                <c:pt idx="5">
                  <c:v>499</c:v>
                </c:pt>
                <c:pt idx="6">
                  <c:v>363</c:v>
                </c:pt>
                <c:pt idx="7">
                  <c:v>351</c:v>
                </c:pt>
                <c:pt idx="8">
                  <c:v>505</c:v>
                </c:pt>
                <c:pt idx="9">
                  <c:v>559</c:v>
                </c:pt>
                <c:pt idx="10">
                  <c:v>979</c:v>
                </c:pt>
                <c:pt idx="11">
                  <c:v>496</c:v>
                </c:pt>
                <c:pt idx="12">
                  <c:v>273</c:v>
                </c:pt>
                <c:pt idx="13">
                  <c:v>335</c:v>
                </c:pt>
                <c:pt idx="14">
                  <c:v>389</c:v>
                </c:pt>
                <c:pt idx="15">
                  <c:v>263</c:v>
                </c:pt>
                <c:pt idx="16">
                  <c:v>252</c:v>
                </c:pt>
                <c:pt idx="17">
                  <c:v>227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4A55-4E31-9141-64FA86BCFC0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68298560"/>
        <c:axId val="668289856"/>
      </c:scatterChart>
      <c:valAx>
        <c:axId val="668298560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lang="en-US"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pt-BR"/>
          </a:p>
        </c:txPr>
        <c:crossAx val="668289856"/>
        <c:crosses val="autoZero"/>
        <c:crossBetween val="midCat"/>
      </c:valAx>
      <c:valAx>
        <c:axId val="668289856"/>
        <c:scaling>
          <c:orientation val="minMax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lang="en-US"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pt-BR"/>
          </a:p>
        </c:txPr>
        <c:crossAx val="668298560"/>
        <c:crosses val="autoZero"/>
        <c:crossBetween val="midCat"/>
      </c:valAx>
      <c:spPr>
        <a:solidFill>
          <a:srgbClr val="FFFFFF"/>
        </a:solidFill>
        <a:ln w="12700">
          <a:solidFill>
            <a:srgbClr val="808080"/>
          </a:solidFill>
          <a:prstDash val="solid"/>
        </a:ln>
      </c:spPr>
    </c:plotArea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8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pt-BR"/>
    </a:p>
  </c:txPr>
  <c:printSettings>
    <c:headerFooter alignWithMargins="0"/>
    <c:pageMargins b="0.98425196899999956" l="0.78740157499999996" r="0.78740157499999996" t="0.98425196899999956" header="0.49212598500000138" footer="0.49212598500000138"/>
    <c:pageSetup/>
  </c:printSettings>
</c:chartSpace>
</file>

<file path=xl/charts/chart3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lang="en-US"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r>
              <a:rPr lang="pt-BR"/>
              <a:t>Diferenças em relação a média acumuladas</a:t>
            </a:r>
          </a:p>
        </c:rich>
      </c:tx>
      <c:layout>
        <c:manualLayout>
          <c:xMode val="edge"/>
          <c:yMode val="edge"/>
          <c:x val="0.2219770432887509"/>
          <c:y val="2.3781540581763735E-2"/>
        </c:manualLayout>
      </c:layout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0.19111194059002018"/>
          <c:y val="0.20588333851935212"/>
          <c:w val="0.79111454476798537"/>
          <c:h val="0.72549366906819446"/>
        </c:manualLayout>
      </c:layout>
      <c:lineChart>
        <c:grouping val="standard"/>
        <c:varyColors val="0"/>
        <c:ser>
          <c:idx val="0"/>
          <c:order val="0"/>
          <c:spPr>
            <a:ln w="12700">
              <a:solidFill>
                <a:srgbClr val="FF0000"/>
              </a:solidFill>
              <a:prstDash val="solid"/>
            </a:ln>
          </c:spPr>
          <c:marker>
            <c:symbol val="none"/>
          </c:marker>
          <c:val>
            <c:numRef>
              <c:f>'Rio Grande_MoFurnas_Ch-perfeita'!$AN$18:$AN$104</c:f>
              <c:numCache>
                <c:formatCode>0</c:formatCode>
                <c:ptCount val="87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738C-4B8C-814A-A78497F02FF6}"/>
            </c:ext>
          </c:extLst>
        </c:ser>
        <c:ser>
          <c:idx val="1"/>
          <c:order val="1"/>
          <c:spPr>
            <a:ln w="12700">
              <a:solidFill>
                <a:srgbClr val="0000FF"/>
              </a:solidFill>
              <a:prstDash val="solid"/>
            </a:ln>
          </c:spPr>
          <c:marker>
            <c:symbol val="none"/>
          </c:marker>
          <c:val>
            <c:numRef>
              <c:f>'Rio Grande_MoFurnas_Ch-perfeita'!$AO$18:$AO$104</c:f>
              <c:numCache>
                <c:formatCode>0</c:formatCode>
                <c:ptCount val="87"/>
                <c:pt idx="0">
                  <c:v>0</c:v>
                </c:pt>
                <c:pt idx="1">
                  <c:v>1062.4444444444443</c:v>
                </c:pt>
                <c:pt idx="2">
                  <c:v>1710.8888888888887</c:v>
                </c:pt>
                <c:pt idx="3">
                  <c:v>2115.333333333333</c:v>
                </c:pt>
                <c:pt idx="4">
                  <c:v>2143.7777777777774</c:v>
                </c:pt>
                <c:pt idx="5">
                  <c:v>2199.2222222222217</c:v>
                </c:pt>
                <c:pt idx="6">
                  <c:v>2106.6666666666661</c:v>
                </c:pt>
                <c:pt idx="7">
                  <c:v>1878.1111111111104</c:v>
                </c:pt>
                <c:pt idx="8">
                  <c:v>1637.5555555555547</c:v>
                </c:pt>
                <c:pt idx="9">
                  <c:v>1550.9999999999991</c:v>
                </c:pt>
                <c:pt idx="10">
                  <c:v>1518.4444444444434</c:v>
                </c:pt>
                <c:pt idx="11">
                  <c:v>1905.8888888888878</c:v>
                </c:pt>
                <c:pt idx="12">
                  <c:v>1810.3333333333321</c:v>
                </c:pt>
                <c:pt idx="13">
                  <c:v>1491.7777777777765</c:v>
                </c:pt>
                <c:pt idx="14">
                  <c:v>1235.2222222222208</c:v>
                </c:pt>
                <c:pt idx="15">
                  <c:v>1032.6666666666652</c:v>
                </c:pt>
                <c:pt idx="16">
                  <c:v>704.11111111110961</c:v>
                </c:pt>
                <c:pt idx="17">
                  <c:v>364.55555555555406</c:v>
                </c:pt>
                <c:pt idx="18">
                  <c:v>-1.4779288903810084E-12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738C-4B8C-814A-A78497F02FF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668288224"/>
        <c:axId val="668288768"/>
      </c:lineChart>
      <c:catAx>
        <c:axId val="668288224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lang="en-US"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pt-BR"/>
          </a:p>
        </c:txPr>
        <c:crossAx val="668288768"/>
        <c:crosses val="autoZero"/>
        <c:auto val="1"/>
        <c:lblAlgn val="ctr"/>
        <c:lblOffset val="100"/>
        <c:tickLblSkip val="12"/>
        <c:tickMarkSkip val="12"/>
        <c:noMultiLvlLbl val="0"/>
      </c:catAx>
      <c:valAx>
        <c:axId val="668288768"/>
        <c:scaling>
          <c:orientation val="minMax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lang="en-US"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pt-BR"/>
          </a:p>
        </c:txPr>
        <c:crossAx val="668288224"/>
        <c:crosses val="autoZero"/>
        <c:crossBetween val="between"/>
      </c:valAx>
      <c:spPr>
        <a:solidFill>
          <a:srgbClr val="FFFFFF"/>
        </a:solidFill>
        <a:ln w="12700">
          <a:solidFill>
            <a:srgbClr val="808080"/>
          </a:solidFill>
          <a:prstDash val="solid"/>
        </a:ln>
      </c:spPr>
    </c:plotArea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8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pt-BR"/>
    </a:p>
  </c:txPr>
  <c:printSettings>
    <c:headerFooter alignWithMargins="0"/>
    <c:pageMargins b="0.98425196899999956" l="0.78740157499999996" r="0.78740157499999996" t="0.98425196899999956" header="0.49212598500000138" footer="0.49212598500000138"/>
    <c:pageSetup/>
  </c:printSettings>
</c:chartSpace>
</file>

<file path=xl/charts/chart3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lang="en-US"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r>
              <a:rPr lang="pt-BR"/>
              <a:t>Teste de Sinal</a:t>
            </a:r>
          </a:p>
        </c:rich>
      </c:tx>
      <c:layout>
        <c:manualLayout>
          <c:xMode val="edge"/>
          <c:yMode val="edge"/>
          <c:x val="0.37292082501663437"/>
          <c:y val="4.2463377198957424E-2"/>
        </c:manualLayout>
      </c:layout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0.1377783757742001"/>
          <c:y val="0.271932154024072"/>
          <c:w val="0.84444810958381145"/>
          <c:h val="0.60526834282777198"/>
        </c:manualLayout>
      </c:layout>
      <c:lineChart>
        <c:grouping val="standard"/>
        <c:varyColors val="0"/>
        <c:ser>
          <c:idx val="0"/>
          <c:order val="0"/>
          <c:spPr>
            <a:ln w="12700">
              <a:solidFill>
                <a:srgbClr val="000080"/>
              </a:solidFill>
              <a:prstDash val="solid"/>
            </a:ln>
          </c:spPr>
          <c:marker>
            <c:symbol val="none"/>
          </c:marker>
          <c:val>
            <c:numRef>
              <c:f>'Rio Grande_MoFurnas_Ch-perfeita'!$AM$18:$AM$104</c:f>
              <c:numCache>
                <c:formatCode>0</c:formatCode>
                <c:ptCount val="87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2EB3-4998-AFBF-4C9A9DC8277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668291488"/>
        <c:axId val="668290944"/>
      </c:lineChart>
      <c:catAx>
        <c:axId val="668291488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lang="en-US"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pt-BR"/>
          </a:p>
        </c:txPr>
        <c:crossAx val="668290944"/>
        <c:crosses val="autoZero"/>
        <c:auto val="1"/>
        <c:lblAlgn val="ctr"/>
        <c:lblOffset val="100"/>
        <c:tickLblSkip val="12"/>
        <c:tickMarkSkip val="12"/>
        <c:noMultiLvlLbl val="0"/>
      </c:catAx>
      <c:valAx>
        <c:axId val="668290944"/>
        <c:scaling>
          <c:orientation val="minMax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lang="en-US"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pt-BR"/>
          </a:p>
        </c:txPr>
        <c:crossAx val="668291488"/>
        <c:crosses val="autoZero"/>
        <c:crossBetween val="between"/>
      </c:valAx>
      <c:spPr>
        <a:solidFill>
          <a:srgbClr val="FFFFFF"/>
        </a:solidFill>
        <a:ln w="12700">
          <a:solidFill>
            <a:srgbClr val="808080"/>
          </a:solidFill>
          <a:prstDash val="solid"/>
        </a:ln>
      </c:spPr>
    </c:plotArea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8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pt-BR"/>
    </a:p>
  </c:txPr>
  <c:printSettings>
    <c:headerFooter alignWithMargins="0"/>
    <c:pageMargins b="0.98425196899999956" l="0.78740157499999996" r="0.78740157499999996" t="0.98425196899999956" header="0.49212598500000138" footer="0.49212598500000138"/>
    <c:pageSetup/>
  </c:printSettings>
</c:chartSpace>
</file>

<file path=xl/charts/chart3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lang="en-US"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r>
              <a:rPr lang="pt-BR"/>
              <a:t>Erro %</a:t>
            </a:r>
          </a:p>
        </c:rich>
      </c:tx>
      <c:layout>
        <c:manualLayout>
          <c:xMode val="edge"/>
          <c:yMode val="edge"/>
          <c:x val="0.13793125714567911"/>
          <c:y val="3.913954375881061E-2"/>
        </c:manualLayout>
      </c:layout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0.132822684721668"/>
          <c:y val="0.23483590344360997"/>
          <c:w val="0.85313032109687004"/>
          <c:h val="0.65754052964210941"/>
        </c:manualLayout>
      </c:layout>
      <c:lineChart>
        <c:grouping val="standard"/>
        <c:varyColors val="0"/>
        <c:ser>
          <c:idx val="0"/>
          <c:order val="0"/>
          <c:spPr>
            <a:ln w="12700">
              <a:solidFill>
                <a:srgbClr val="000080"/>
              </a:solidFill>
              <a:prstDash val="solid"/>
            </a:ln>
          </c:spPr>
          <c:marker>
            <c:symbol val="none"/>
          </c:marker>
          <c:cat>
            <c:numRef>
              <c:f>'Rio Grande_MoFurnas_Ch-perfeita'!$A$19:$A$104</c:f>
              <c:numCache>
                <c:formatCode>mmm\-yy</c:formatCode>
                <c:ptCount val="86"/>
                <c:pt idx="0">
                  <c:v>41306</c:v>
                </c:pt>
                <c:pt idx="1">
                  <c:v>41334</c:v>
                </c:pt>
                <c:pt idx="2">
                  <c:v>41365</c:v>
                </c:pt>
                <c:pt idx="3">
                  <c:v>41395</c:v>
                </c:pt>
                <c:pt idx="4">
                  <c:v>41426</c:v>
                </c:pt>
                <c:pt idx="5">
                  <c:v>41456</c:v>
                </c:pt>
                <c:pt idx="6">
                  <c:v>41487</c:v>
                </c:pt>
                <c:pt idx="7">
                  <c:v>41518</c:v>
                </c:pt>
                <c:pt idx="8">
                  <c:v>41548</c:v>
                </c:pt>
                <c:pt idx="9">
                  <c:v>41579</c:v>
                </c:pt>
                <c:pt idx="10">
                  <c:v>41609</c:v>
                </c:pt>
                <c:pt idx="11">
                  <c:v>41640</c:v>
                </c:pt>
                <c:pt idx="12">
                  <c:v>41671</c:v>
                </c:pt>
                <c:pt idx="13">
                  <c:v>41699</c:v>
                </c:pt>
                <c:pt idx="14">
                  <c:v>41730</c:v>
                </c:pt>
                <c:pt idx="15">
                  <c:v>41760</c:v>
                </c:pt>
                <c:pt idx="16">
                  <c:v>41791</c:v>
                </c:pt>
                <c:pt idx="17">
                  <c:v>41821</c:v>
                </c:pt>
              </c:numCache>
            </c:numRef>
          </c:cat>
          <c:val>
            <c:numRef>
              <c:f>'Rio Grande_MoFurnas_Ch-perfeita'!$AF$19:$AF$104</c:f>
              <c:numCache>
                <c:formatCode>0%</c:formatCode>
                <c:ptCount val="8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E096-4144-9EAA-A92DC223A3F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668293664"/>
        <c:axId val="668294208"/>
      </c:lineChart>
      <c:dateAx>
        <c:axId val="668293664"/>
        <c:scaling>
          <c:orientation val="minMax"/>
        </c:scaling>
        <c:delete val="0"/>
        <c:axPos val="b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mmm/yy" sourceLinked="0"/>
        <c:majorTickMark val="out"/>
        <c:minorTickMark val="none"/>
        <c:tickLblPos val="low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lang="en-US"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pt-BR"/>
          </a:p>
        </c:txPr>
        <c:crossAx val="668294208"/>
        <c:crosses val="autoZero"/>
        <c:auto val="1"/>
        <c:lblOffset val="100"/>
        <c:baseTimeUnit val="months"/>
        <c:majorUnit val="1"/>
        <c:majorTimeUnit val="years"/>
      </c:dateAx>
      <c:valAx>
        <c:axId val="668294208"/>
        <c:scaling>
          <c:orientation val="minMax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0%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lang="en-US"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pt-BR"/>
          </a:p>
        </c:txPr>
        <c:crossAx val="668293664"/>
        <c:crosses val="autoZero"/>
        <c:crossBetween val="between"/>
      </c:valAx>
      <c:spPr>
        <a:solidFill>
          <a:srgbClr val="FFFFFF"/>
        </a:solidFill>
        <a:ln w="12700">
          <a:solidFill>
            <a:srgbClr val="808080"/>
          </a:solidFill>
          <a:prstDash val="solid"/>
        </a:ln>
      </c:spPr>
    </c:plotArea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8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pt-BR"/>
    </a:p>
  </c:txPr>
  <c:printSettings>
    <c:headerFooter alignWithMargins="0"/>
    <c:pageMargins b="0.98425196899999956" l="0.78740157499999996" r="0.78740157499999996" t="0.98425196899999956" header="0.49212598500000138" footer="0.49212598500000138"/>
    <c:pageSetup/>
  </c:printSettings>
</c:chartSpace>
</file>

<file path=xl/charts/chart3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8.2556166165310779E-2"/>
          <c:y val="2.5802646301541898E-2"/>
          <c:w val="0.85197146665226542"/>
          <c:h val="0.75954761904761903"/>
        </c:manualLayout>
      </c:layout>
      <c:lineChart>
        <c:grouping val="standard"/>
        <c:varyColors val="0"/>
        <c:ser>
          <c:idx val="0"/>
          <c:order val="0"/>
          <c:tx>
            <c:v>Q calc</c:v>
          </c:tx>
          <c:spPr>
            <a:ln w="12700">
              <a:solidFill>
                <a:srgbClr val="FF0000"/>
              </a:solidFill>
              <a:prstDash val="solid"/>
            </a:ln>
          </c:spPr>
          <c:marker>
            <c:symbol val="diamond"/>
            <c:size val="5"/>
            <c:spPr>
              <a:solidFill>
                <a:srgbClr val="FF0000"/>
              </a:solidFill>
              <a:ln>
                <a:solidFill>
                  <a:srgbClr val="FF0000"/>
                </a:solidFill>
                <a:prstDash val="solid"/>
              </a:ln>
            </c:spPr>
          </c:marker>
          <c:cat>
            <c:numRef>
              <c:f>'Rio Grande_MoFurnas_Ch-perfeita'!$A$19:$A$104</c:f>
              <c:numCache>
                <c:formatCode>mmm\-yy</c:formatCode>
                <c:ptCount val="86"/>
                <c:pt idx="0">
                  <c:v>41306</c:v>
                </c:pt>
                <c:pt idx="1">
                  <c:v>41334</c:v>
                </c:pt>
                <c:pt idx="2">
                  <c:v>41365</c:v>
                </c:pt>
                <c:pt idx="3">
                  <c:v>41395</c:v>
                </c:pt>
                <c:pt idx="4">
                  <c:v>41426</c:v>
                </c:pt>
                <c:pt idx="5">
                  <c:v>41456</c:v>
                </c:pt>
                <c:pt idx="6">
                  <c:v>41487</c:v>
                </c:pt>
                <c:pt idx="7">
                  <c:v>41518</c:v>
                </c:pt>
                <c:pt idx="8">
                  <c:v>41548</c:v>
                </c:pt>
                <c:pt idx="9">
                  <c:v>41579</c:v>
                </c:pt>
                <c:pt idx="10">
                  <c:v>41609</c:v>
                </c:pt>
                <c:pt idx="11">
                  <c:v>41640</c:v>
                </c:pt>
                <c:pt idx="12">
                  <c:v>41671</c:v>
                </c:pt>
                <c:pt idx="13">
                  <c:v>41699</c:v>
                </c:pt>
                <c:pt idx="14">
                  <c:v>41730</c:v>
                </c:pt>
                <c:pt idx="15">
                  <c:v>41760</c:v>
                </c:pt>
                <c:pt idx="16">
                  <c:v>41791</c:v>
                </c:pt>
                <c:pt idx="17">
                  <c:v>41821</c:v>
                </c:pt>
              </c:numCache>
            </c:numRef>
          </c:cat>
          <c:val>
            <c:numRef>
              <c:f>'Rio Grande_MoFurnas_Ch-perfeita'!$AD$19:$AD$104</c:f>
              <c:numCache>
                <c:formatCode>0</c:formatCode>
                <c:ptCount val="8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DC74-4C14-9531-8F899C691435}"/>
            </c:ext>
          </c:extLst>
        </c:ser>
        <c:ser>
          <c:idx val="1"/>
          <c:order val="1"/>
          <c:tx>
            <c:v>Q obs</c:v>
          </c:tx>
          <c:spPr>
            <a:ln w="12700">
              <a:solidFill>
                <a:srgbClr val="0000FF"/>
              </a:solidFill>
              <a:prstDash val="solid"/>
            </a:ln>
          </c:spPr>
          <c:marker>
            <c:symbol val="square"/>
            <c:size val="5"/>
            <c:spPr>
              <a:solidFill>
                <a:srgbClr val="0000FF"/>
              </a:solidFill>
              <a:ln>
                <a:solidFill>
                  <a:srgbClr val="0000FF"/>
                </a:solidFill>
                <a:prstDash val="solid"/>
              </a:ln>
            </c:spPr>
          </c:marker>
          <c:cat>
            <c:numRef>
              <c:f>'Rio Grande_MoFurnas_Ch-perfeita'!$A$19:$A$104</c:f>
              <c:numCache>
                <c:formatCode>mmm\-yy</c:formatCode>
                <c:ptCount val="86"/>
                <c:pt idx="0">
                  <c:v>41306</c:v>
                </c:pt>
                <c:pt idx="1">
                  <c:v>41334</c:v>
                </c:pt>
                <c:pt idx="2">
                  <c:v>41365</c:v>
                </c:pt>
                <c:pt idx="3">
                  <c:v>41395</c:v>
                </c:pt>
                <c:pt idx="4">
                  <c:v>41426</c:v>
                </c:pt>
                <c:pt idx="5">
                  <c:v>41456</c:v>
                </c:pt>
                <c:pt idx="6">
                  <c:v>41487</c:v>
                </c:pt>
                <c:pt idx="7">
                  <c:v>41518</c:v>
                </c:pt>
                <c:pt idx="8">
                  <c:v>41548</c:v>
                </c:pt>
                <c:pt idx="9">
                  <c:v>41579</c:v>
                </c:pt>
                <c:pt idx="10">
                  <c:v>41609</c:v>
                </c:pt>
                <c:pt idx="11">
                  <c:v>41640</c:v>
                </c:pt>
                <c:pt idx="12">
                  <c:v>41671</c:v>
                </c:pt>
                <c:pt idx="13">
                  <c:v>41699</c:v>
                </c:pt>
                <c:pt idx="14">
                  <c:v>41730</c:v>
                </c:pt>
                <c:pt idx="15">
                  <c:v>41760</c:v>
                </c:pt>
                <c:pt idx="16">
                  <c:v>41791</c:v>
                </c:pt>
                <c:pt idx="17">
                  <c:v>41821</c:v>
                </c:pt>
              </c:numCache>
            </c:numRef>
          </c:cat>
          <c:val>
            <c:numRef>
              <c:f>'Rio Grande_MoFurnas_Ch-perfeita'!$AE$19:$AE$104</c:f>
              <c:numCache>
                <c:formatCode>General</c:formatCode>
                <c:ptCount val="86"/>
                <c:pt idx="0">
                  <c:v>1654</c:v>
                </c:pt>
                <c:pt idx="1">
                  <c:v>1240</c:v>
                </c:pt>
                <c:pt idx="2">
                  <c:v>996</c:v>
                </c:pt>
                <c:pt idx="3">
                  <c:v>620</c:v>
                </c:pt>
                <c:pt idx="4">
                  <c:v>647</c:v>
                </c:pt>
                <c:pt idx="5">
                  <c:v>499</c:v>
                </c:pt>
                <c:pt idx="6">
                  <c:v>363</c:v>
                </c:pt>
                <c:pt idx="7">
                  <c:v>351</c:v>
                </c:pt>
                <c:pt idx="8">
                  <c:v>505</c:v>
                </c:pt>
                <c:pt idx="9">
                  <c:v>559</c:v>
                </c:pt>
                <c:pt idx="10">
                  <c:v>979</c:v>
                </c:pt>
                <c:pt idx="11">
                  <c:v>496</c:v>
                </c:pt>
                <c:pt idx="12">
                  <c:v>273</c:v>
                </c:pt>
                <c:pt idx="13">
                  <c:v>335</c:v>
                </c:pt>
                <c:pt idx="14">
                  <c:v>389</c:v>
                </c:pt>
                <c:pt idx="15">
                  <c:v>263</c:v>
                </c:pt>
                <c:pt idx="16">
                  <c:v>252</c:v>
                </c:pt>
                <c:pt idx="17">
                  <c:v>227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DC74-4C14-9531-8F899C691435}"/>
            </c:ext>
          </c:extLst>
        </c:ser>
        <c:ser>
          <c:idx val="2"/>
          <c:order val="2"/>
          <c:tx>
            <c:v>Qbase</c:v>
          </c:tx>
          <c:spPr>
            <a:ln w="25400">
              <a:solidFill>
                <a:srgbClr val="999933"/>
              </a:solidFill>
              <a:prstDash val="solid"/>
            </a:ln>
          </c:spPr>
          <c:marker>
            <c:symbol val="none"/>
          </c:marker>
          <c:val>
            <c:numRef>
              <c:f>'Rio Grande_MoFurnas_Ch-perfeita'!$AG$19:$AG$104</c:f>
              <c:numCache>
                <c:formatCode>0</c:formatCode>
                <c:ptCount val="86"/>
                <c:pt idx="0">
                  <c:v>400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DC74-4C14-9531-8F899C69143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69944656"/>
        <c:axId val="669954448"/>
      </c:lineChart>
      <c:dateAx>
        <c:axId val="669944656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 lang="en-US"/>
                </a:pPr>
                <a:r>
                  <a:rPr lang="en-US"/>
                  <a:t>Meses/anos</a:t>
                </a:r>
              </a:p>
            </c:rich>
          </c:tx>
          <c:overlay val="0"/>
        </c:title>
        <c:numFmt formatCode="mmm/yy" sourceLinked="0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-2700000" vert="horz"/>
          <a:lstStyle/>
          <a:p>
            <a:pPr>
              <a:defRPr lang="en-US"/>
            </a:pPr>
            <a:endParaRPr lang="pt-BR"/>
          </a:p>
        </c:txPr>
        <c:crossAx val="669954448"/>
        <c:crosses val="autoZero"/>
        <c:auto val="0"/>
        <c:lblOffset val="100"/>
        <c:baseTimeUnit val="months"/>
        <c:majorUnit val="3"/>
        <c:majorTimeUnit val="months"/>
      </c:dateAx>
      <c:valAx>
        <c:axId val="669954448"/>
        <c:scaling>
          <c:orientation val="minMax"/>
          <c:min val="0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 lang="en-US"/>
                </a:pPr>
                <a:r>
                  <a:rPr lang="pt-BR"/>
                  <a:t>Vazões (m3/s)</a:t>
                </a:r>
              </a:p>
            </c:rich>
          </c:tx>
          <c:overlay val="0"/>
        </c:title>
        <c:numFmt formatCode="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lang="en-US"/>
            </a:pPr>
            <a:endParaRPr lang="pt-BR"/>
          </a:p>
        </c:txPr>
        <c:crossAx val="669944656"/>
        <c:crosses val="autoZero"/>
        <c:crossBetween val="between"/>
      </c:valAx>
      <c:spPr>
        <a:solidFill>
          <a:srgbClr val="FFFFFF"/>
        </a:solidFill>
        <a:ln w="12700">
          <a:solidFill>
            <a:srgbClr val="808080"/>
          </a:solidFill>
          <a:prstDash val="solid"/>
        </a:ln>
      </c:spPr>
    </c:plotArea>
    <c:legend>
      <c:legendPos val="r"/>
      <c:layout>
        <c:manualLayout>
          <c:xMode val="edge"/>
          <c:yMode val="edge"/>
          <c:x val="0.10256973251390605"/>
          <c:y val="0.95873015873015899"/>
          <c:w val="0.80179879074001703"/>
          <c:h val="2.5396825396825404E-2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lang="en-US"/>
          </a:pPr>
          <a:endParaRPr lang="pt-BR"/>
        </a:p>
      </c:txPr>
    </c:legend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05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pt-BR"/>
    </a:p>
  </c:txPr>
  <c:printSettings>
    <c:headerFooter/>
    <c:pageMargins b="0.78740157499999996" l="0.511811024" r="0.511811024" t="0.78740157499999996" header="0.31496062000000136" footer="0.31496062000000136"/>
    <c:pageSetup/>
  </c:printSettings>
</c:chartSpace>
</file>

<file path=xl/charts/chart3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3537696712016201"/>
          <c:y val="0.126050420168067"/>
          <c:w val="0.82503321471344004"/>
          <c:h val="0.61344537815125999"/>
        </c:manualLayout>
      </c:layout>
      <c:barChart>
        <c:barDir val="col"/>
        <c:grouping val="clustered"/>
        <c:varyColors val="0"/>
        <c:ser>
          <c:idx val="0"/>
          <c:order val="0"/>
          <c:spPr>
            <a:solidFill>
              <a:srgbClr val="8080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val>
            <c:numRef>
              <c:f>'Rio Grande_MoFurnas_Teste2013'!$T$19:$T$104</c:f>
              <c:numCache>
                <c:formatCode>0.0</c:formatCode>
                <c:ptCount val="86"/>
                <c:pt idx="0">
                  <c:v>146.15999999999994</c:v>
                </c:pt>
                <c:pt idx="1">
                  <c:v>123.83999999999996</c:v>
                </c:pt>
                <c:pt idx="2">
                  <c:v>58.319999999999979</c:v>
                </c:pt>
                <c:pt idx="3">
                  <c:v>42.48</c:v>
                </c:pt>
                <c:pt idx="4">
                  <c:v>22.319999999999997</c:v>
                </c:pt>
                <c:pt idx="5">
                  <c:v>19.439999999999994</c:v>
                </c:pt>
                <c:pt idx="6">
                  <c:v>20.879999999999995</c:v>
                </c:pt>
                <c:pt idx="7">
                  <c:v>48.239999999999981</c:v>
                </c:pt>
                <c:pt idx="8">
                  <c:v>99.359999999999971</c:v>
                </c:pt>
                <c:pt idx="9">
                  <c:v>128.15999999999997</c:v>
                </c:pt>
                <c:pt idx="10">
                  <c:v>191.51999999999992</c:v>
                </c:pt>
                <c:pt idx="11">
                  <c:v>192.23999999999992</c:v>
                </c:pt>
                <c:pt idx="12">
                  <c:v>146.15999999999994</c:v>
                </c:pt>
                <c:pt idx="13">
                  <c:v>123.83999999999996</c:v>
                </c:pt>
                <c:pt idx="14">
                  <c:v>58.319999999999979</c:v>
                </c:pt>
                <c:pt idx="15">
                  <c:v>42.48</c:v>
                </c:pt>
                <c:pt idx="16">
                  <c:v>22.319999999999997</c:v>
                </c:pt>
                <c:pt idx="17">
                  <c:v>19.439999999999994</c:v>
                </c:pt>
                <c:pt idx="18">
                  <c:v>20.879999999999995</c:v>
                </c:pt>
                <c:pt idx="19">
                  <c:v>48.239999999999981</c:v>
                </c:pt>
                <c:pt idx="20">
                  <c:v>99.359999999999971</c:v>
                </c:pt>
                <c:pt idx="21">
                  <c:v>128.15999999999997</c:v>
                </c:pt>
                <c:pt idx="22">
                  <c:v>191.51999999999992</c:v>
                </c:pt>
                <c:pt idx="23">
                  <c:v>192.23999999999992</c:v>
                </c:pt>
                <c:pt idx="24">
                  <c:v>146.15999999999994</c:v>
                </c:pt>
                <c:pt idx="25">
                  <c:v>123.83999999999996</c:v>
                </c:pt>
                <c:pt idx="26">
                  <c:v>58.319999999999979</c:v>
                </c:pt>
                <c:pt idx="27">
                  <c:v>42.48</c:v>
                </c:pt>
                <c:pt idx="28">
                  <c:v>22.319999999999997</c:v>
                </c:pt>
                <c:pt idx="29">
                  <c:v>19.439999999999994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48BE-4761-AAD6-88D75EB31FE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669941936"/>
        <c:axId val="669945744"/>
      </c:barChart>
      <c:catAx>
        <c:axId val="669941936"/>
        <c:scaling>
          <c:orientation val="minMax"/>
        </c:scaling>
        <c:delete val="0"/>
        <c:axPos val="b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lang="en-US" sz="85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pt-BR"/>
          </a:p>
        </c:txPr>
        <c:crossAx val="669945744"/>
        <c:crosses val="autoZero"/>
        <c:auto val="1"/>
        <c:lblAlgn val="ctr"/>
        <c:lblOffset val="100"/>
        <c:tickLblSkip val="12"/>
        <c:tickMarkSkip val="12"/>
        <c:noMultiLvlLbl val="0"/>
      </c:catAx>
      <c:valAx>
        <c:axId val="669945744"/>
        <c:scaling>
          <c:orientation val="minMax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0.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lang="en-US" sz="85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pt-BR"/>
          </a:p>
        </c:txPr>
        <c:crossAx val="669941936"/>
        <c:crosses val="autoZero"/>
        <c:crossBetween val="between"/>
        <c:majorUnit val="100"/>
      </c:valAx>
      <c:spPr>
        <a:solidFill>
          <a:srgbClr val="FFFFFF"/>
        </a:solidFill>
        <a:ln w="12700">
          <a:solidFill>
            <a:srgbClr val="808080"/>
          </a:solidFill>
          <a:prstDash val="solid"/>
        </a:ln>
      </c:spPr>
    </c:plotArea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8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pt-BR"/>
    </a:p>
  </c:txPr>
  <c:printSettings>
    <c:headerFooter alignWithMargins="0"/>
    <c:pageMargins b="0.98425196899999956" l="0.78740157499999996" r="0.78740157499999996" t="0.98425196899999956" header="0.49212598500000138" footer="0.49212598500000138"/>
    <c:pageSetup/>
  </c:printSettings>
</c:chartSpace>
</file>

<file path=xl/charts/chart4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2400010416711881"/>
          <c:y val="0.2400010416711881"/>
          <c:w val="0.66666956019774404"/>
          <c:h val="0.62222492285122799"/>
        </c:manualLayout>
      </c:layout>
      <c:scatterChart>
        <c:scatterStyle val="lineMarker"/>
        <c:varyColors val="0"/>
        <c:ser>
          <c:idx val="0"/>
          <c:order val="0"/>
          <c:spPr>
            <a:ln w="28575">
              <a:noFill/>
            </a:ln>
          </c:spPr>
          <c:marker>
            <c:symbol val="diamond"/>
            <c:size val="5"/>
            <c:spPr>
              <a:solidFill>
                <a:srgbClr val="000080"/>
              </a:solidFill>
              <a:ln>
                <a:solidFill>
                  <a:srgbClr val="000080"/>
                </a:solidFill>
                <a:prstDash val="solid"/>
              </a:ln>
            </c:spPr>
          </c:marker>
          <c:trendline>
            <c:spPr>
              <a:ln w="12700">
                <a:solidFill>
                  <a:srgbClr val="FF0000"/>
                </a:solidFill>
                <a:prstDash val="solid"/>
              </a:ln>
            </c:spPr>
            <c:trendlineType val="linear"/>
            <c:dispRSqr val="1"/>
            <c:dispEq val="1"/>
            <c:trendlineLbl>
              <c:layout>
                <c:manualLayout>
                  <c:x val="-0.14035741661870191"/>
                  <c:y val="-0.2573605261689062"/>
                </c:manualLayout>
              </c:layout>
              <c:numFmt formatCode="General" sourceLinked="0"/>
              <c:spPr>
                <a:noFill/>
                <a:ln w="25400">
                  <a:noFill/>
                </a:ln>
              </c:spPr>
              <c:txPr>
                <a:bodyPr/>
                <a:lstStyle/>
                <a:p>
                  <a:pPr algn="ctr" rtl="1">
                    <a:defRPr lang="en-US" sz="800" b="0" i="0" u="none" strike="noStrike" baseline="0">
                      <a:solidFill>
                        <a:srgbClr val="000000"/>
                      </a:solidFill>
                      <a:latin typeface="Arial"/>
                      <a:ea typeface="Arial"/>
                      <a:cs typeface="Arial"/>
                    </a:defRPr>
                  </a:pPr>
                  <a:endParaRPr lang="pt-BR"/>
                </a:p>
              </c:txPr>
            </c:trendlineLbl>
          </c:trendline>
          <c:xVal>
            <c:numRef>
              <c:f>'Rio Grande_MoFurnas_Teste2013'!$AE$19:$AE$104</c:f>
              <c:numCache>
                <c:formatCode>0</c:formatCode>
                <c:ptCount val="8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</c:numCache>
            </c:numRef>
          </c:xVal>
          <c:yVal>
            <c:numRef>
              <c:f>'Rio Grande_MoFurnas_Teste2013'!$AF$19:$AF$104</c:f>
              <c:numCache>
                <c:formatCode>General</c:formatCode>
                <c:ptCount val="86"/>
                <c:pt idx="0">
                  <c:v>1654</c:v>
                </c:pt>
                <c:pt idx="1">
                  <c:v>1240</c:v>
                </c:pt>
                <c:pt idx="2">
                  <c:v>996</c:v>
                </c:pt>
                <c:pt idx="3">
                  <c:v>620</c:v>
                </c:pt>
                <c:pt idx="4">
                  <c:v>647</c:v>
                </c:pt>
                <c:pt idx="5">
                  <c:v>499</c:v>
                </c:pt>
                <c:pt idx="6">
                  <c:v>363</c:v>
                </c:pt>
                <c:pt idx="7">
                  <c:v>351</c:v>
                </c:pt>
                <c:pt idx="8">
                  <c:v>505</c:v>
                </c:pt>
                <c:pt idx="9">
                  <c:v>559</c:v>
                </c:pt>
                <c:pt idx="10">
                  <c:v>979</c:v>
                </c:pt>
                <c:pt idx="11">
                  <c:v>496</c:v>
                </c:pt>
                <c:pt idx="12">
                  <c:v>273</c:v>
                </c:pt>
                <c:pt idx="13">
                  <c:v>335</c:v>
                </c:pt>
                <c:pt idx="14">
                  <c:v>389</c:v>
                </c:pt>
                <c:pt idx="15">
                  <c:v>263</c:v>
                </c:pt>
                <c:pt idx="16">
                  <c:v>252</c:v>
                </c:pt>
                <c:pt idx="17">
                  <c:v>227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7901-424D-B7C3-9E8B51708A4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69942480"/>
        <c:axId val="669957168"/>
      </c:scatterChart>
      <c:valAx>
        <c:axId val="669942480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lang="en-US"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pt-BR"/>
          </a:p>
        </c:txPr>
        <c:crossAx val="669957168"/>
        <c:crosses val="autoZero"/>
        <c:crossBetween val="midCat"/>
      </c:valAx>
      <c:valAx>
        <c:axId val="669957168"/>
        <c:scaling>
          <c:orientation val="minMax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lang="en-US"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pt-BR"/>
          </a:p>
        </c:txPr>
        <c:crossAx val="669942480"/>
        <c:crosses val="autoZero"/>
        <c:crossBetween val="midCat"/>
      </c:valAx>
      <c:spPr>
        <a:solidFill>
          <a:srgbClr val="FFFFFF"/>
        </a:solidFill>
        <a:ln w="12700">
          <a:solidFill>
            <a:srgbClr val="808080"/>
          </a:solidFill>
          <a:prstDash val="solid"/>
        </a:ln>
      </c:spPr>
    </c:plotArea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8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pt-BR"/>
    </a:p>
  </c:txPr>
  <c:printSettings>
    <c:headerFooter alignWithMargins="0"/>
    <c:pageMargins b="0.98425196899999956" l="0.78740157499999996" r="0.78740157499999996" t="0.98425196899999956" header="0.49212598500000138" footer="0.49212598500000138"/>
    <c:pageSetup/>
  </c:printSettings>
</c:chartSpace>
</file>

<file path=xl/charts/chart4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lang="en-US"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r>
              <a:rPr lang="pt-BR"/>
              <a:t>Diferenças em relação a média acumuladas</a:t>
            </a:r>
          </a:p>
        </c:rich>
      </c:tx>
      <c:layout>
        <c:manualLayout>
          <c:xMode val="edge"/>
          <c:yMode val="edge"/>
          <c:x val="0.2219770432887509"/>
          <c:y val="2.3781540581763735E-2"/>
        </c:manualLayout>
      </c:layout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0.19111194059002018"/>
          <c:y val="0.20588333851935212"/>
          <c:w val="0.79111454476798537"/>
          <c:h val="0.72549366906819446"/>
        </c:manualLayout>
      </c:layout>
      <c:lineChart>
        <c:grouping val="standard"/>
        <c:varyColors val="0"/>
        <c:ser>
          <c:idx val="0"/>
          <c:order val="0"/>
          <c:spPr>
            <a:ln w="12700">
              <a:solidFill>
                <a:srgbClr val="FF0000"/>
              </a:solidFill>
              <a:prstDash val="solid"/>
            </a:ln>
          </c:spPr>
          <c:marker>
            <c:symbol val="none"/>
          </c:marker>
          <c:val>
            <c:numRef>
              <c:f>'Rio Grande_MoFurnas_Teste2013'!$AO$18:$AO$104</c:f>
              <c:numCache>
                <c:formatCode>0</c:formatCode>
                <c:ptCount val="87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4256-4C49-A0BE-C07ABC9D8A64}"/>
            </c:ext>
          </c:extLst>
        </c:ser>
        <c:ser>
          <c:idx val="1"/>
          <c:order val="1"/>
          <c:spPr>
            <a:ln w="12700">
              <a:solidFill>
                <a:srgbClr val="0000FF"/>
              </a:solidFill>
              <a:prstDash val="solid"/>
            </a:ln>
          </c:spPr>
          <c:marker>
            <c:symbol val="none"/>
          </c:marker>
          <c:val>
            <c:numRef>
              <c:f>'Rio Grande_MoFurnas_Teste2013'!$AP$18:$AP$104</c:f>
              <c:numCache>
                <c:formatCode>0</c:formatCode>
                <c:ptCount val="87"/>
                <c:pt idx="0">
                  <c:v>0</c:v>
                </c:pt>
                <c:pt idx="1">
                  <c:v>1062.4444444444443</c:v>
                </c:pt>
                <c:pt idx="2">
                  <c:v>1710.8888888888887</c:v>
                </c:pt>
                <c:pt idx="3">
                  <c:v>2115.333333333333</c:v>
                </c:pt>
                <c:pt idx="4">
                  <c:v>2143.7777777777774</c:v>
                </c:pt>
                <c:pt idx="5">
                  <c:v>2199.2222222222217</c:v>
                </c:pt>
                <c:pt idx="6">
                  <c:v>2106.6666666666661</c:v>
                </c:pt>
                <c:pt idx="7">
                  <c:v>1878.1111111111104</c:v>
                </c:pt>
                <c:pt idx="8">
                  <c:v>1637.5555555555547</c:v>
                </c:pt>
                <c:pt idx="9">
                  <c:v>1550.9999999999991</c:v>
                </c:pt>
                <c:pt idx="10">
                  <c:v>1518.4444444444434</c:v>
                </c:pt>
                <c:pt idx="11">
                  <c:v>1905.8888888888878</c:v>
                </c:pt>
                <c:pt idx="12">
                  <c:v>1810.3333333333321</c:v>
                </c:pt>
                <c:pt idx="13">
                  <c:v>1491.7777777777765</c:v>
                </c:pt>
                <c:pt idx="14">
                  <c:v>1235.2222222222208</c:v>
                </c:pt>
                <c:pt idx="15">
                  <c:v>1032.6666666666652</c:v>
                </c:pt>
                <c:pt idx="16">
                  <c:v>704.11111111110961</c:v>
                </c:pt>
                <c:pt idx="17">
                  <c:v>364.55555555555406</c:v>
                </c:pt>
                <c:pt idx="18">
                  <c:v>-1.4779288903810084E-12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4256-4C49-A0BE-C07ABC9D8A6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669952272"/>
        <c:axId val="669953360"/>
      </c:lineChart>
      <c:catAx>
        <c:axId val="669952272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lang="en-US"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pt-BR"/>
          </a:p>
        </c:txPr>
        <c:crossAx val="669953360"/>
        <c:crosses val="autoZero"/>
        <c:auto val="1"/>
        <c:lblAlgn val="ctr"/>
        <c:lblOffset val="100"/>
        <c:tickLblSkip val="12"/>
        <c:tickMarkSkip val="12"/>
        <c:noMultiLvlLbl val="0"/>
      </c:catAx>
      <c:valAx>
        <c:axId val="669953360"/>
        <c:scaling>
          <c:orientation val="minMax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lang="en-US"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pt-BR"/>
          </a:p>
        </c:txPr>
        <c:crossAx val="669952272"/>
        <c:crosses val="autoZero"/>
        <c:crossBetween val="between"/>
      </c:valAx>
      <c:spPr>
        <a:solidFill>
          <a:srgbClr val="FFFFFF"/>
        </a:solidFill>
        <a:ln w="12700">
          <a:solidFill>
            <a:srgbClr val="808080"/>
          </a:solidFill>
          <a:prstDash val="solid"/>
        </a:ln>
      </c:spPr>
    </c:plotArea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8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pt-BR"/>
    </a:p>
  </c:txPr>
  <c:printSettings>
    <c:headerFooter alignWithMargins="0"/>
    <c:pageMargins b="0.98425196899999956" l="0.78740157499999996" r="0.78740157499999996" t="0.98425196899999956" header="0.49212598500000138" footer="0.49212598500000138"/>
    <c:pageSetup/>
  </c:printSettings>
</c:chartSpace>
</file>

<file path=xl/charts/chart4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lang="en-US"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r>
              <a:rPr lang="pt-BR"/>
              <a:t>Teste de Sinal</a:t>
            </a:r>
          </a:p>
        </c:rich>
      </c:tx>
      <c:layout>
        <c:manualLayout>
          <c:xMode val="edge"/>
          <c:yMode val="edge"/>
          <c:x val="0.37292082501663437"/>
          <c:y val="4.2463377198957424E-2"/>
        </c:manualLayout>
      </c:layout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0.1377783757742001"/>
          <c:y val="0.271932154024072"/>
          <c:w val="0.84444810958381145"/>
          <c:h val="0.60526834282777198"/>
        </c:manualLayout>
      </c:layout>
      <c:lineChart>
        <c:grouping val="standard"/>
        <c:varyColors val="0"/>
        <c:ser>
          <c:idx val="0"/>
          <c:order val="0"/>
          <c:spPr>
            <a:ln w="12700">
              <a:solidFill>
                <a:srgbClr val="000080"/>
              </a:solidFill>
              <a:prstDash val="solid"/>
            </a:ln>
          </c:spPr>
          <c:marker>
            <c:symbol val="none"/>
          </c:marker>
          <c:val>
            <c:numRef>
              <c:f>'Rio Grande_MoFurnas_Teste2013'!$AN$18:$AN$104</c:f>
              <c:numCache>
                <c:formatCode>0</c:formatCode>
                <c:ptCount val="87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7B47-417E-9FEC-73940A07BD4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669944112"/>
        <c:axId val="669947376"/>
      </c:lineChart>
      <c:catAx>
        <c:axId val="669944112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lang="en-US"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pt-BR"/>
          </a:p>
        </c:txPr>
        <c:crossAx val="669947376"/>
        <c:crosses val="autoZero"/>
        <c:auto val="1"/>
        <c:lblAlgn val="ctr"/>
        <c:lblOffset val="100"/>
        <c:tickLblSkip val="12"/>
        <c:tickMarkSkip val="12"/>
        <c:noMultiLvlLbl val="0"/>
      </c:catAx>
      <c:valAx>
        <c:axId val="669947376"/>
        <c:scaling>
          <c:orientation val="minMax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lang="en-US"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pt-BR"/>
          </a:p>
        </c:txPr>
        <c:crossAx val="669944112"/>
        <c:crosses val="autoZero"/>
        <c:crossBetween val="between"/>
      </c:valAx>
      <c:spPr>
        <a:solidFill>
          <a:srgbClr val="FFFFFF"/>
        </a:solidFill>
        <a:ln w="12700">
          <a:solidFill>
            <a:srgbClr val="808080"/>
          </a:solidFill>
          <a:prstDash val="solid"/>
        </a:ln>
      </c:spPr>
    </c:plotArea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8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pt-BR"/>
    </a:p>
  </c:txPr>
  <c:printSettings>
    <c:headerFooter alignWithMargins="0"/>
    <c:pageMargins b="0.98425196899999956" l="0.78740157499999996" r="0.78740157499999996" t="0.98425196899999956" header="0.49212598500000138" footer="0.49212598500000138"/>
    <c:pageSetup/>
  </c:printSettings>
</c:chartSpace>
</file>

<file path=xl/charts/chart4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lang="en-US"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r>
              <a:rPr lang="pt-BR"/>
              <a:t>Erro %</a:t>
            </a:r>
          </a:p>
        </c:rich>
      </c:tx>
      <c:layout>
        <c:manualLayout>
          <c:xMode val="edge"/>
          <c:yMode val="edge"/>
          <c:x val="0.13793125714567911"/>
          <c:y val="3.913954375881061E-2"/>
        </c:manualLayout>
      </c:layout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0.132822684721668"/>
          <c:y val="0.23483590344360997"/>
          <c:w val="0.85313032109687004"/>
          <c:h val="0.65754052964210941"/>
        </c:manualLayout>
      </c:layout>
      <c:lineChart>
        <c:grouping val="standard"/>
        <c:varyColors val="0"/>
        <c:ser>
          <c:idx val="0"/>
          <c:order val="0"/>
          <c:spPr>
            <a:ln w="12700">
              <a:solidFill>
                <a:srgbClr val="000080"/>
              </a:solidFill>
              <a:prstDash val="solid"/>
            </a:ln>
          </c:spPr>
          <c:marker>
            <c:symbol val="none"/>
          </c:marker>
          <c:cat>
            <c:numRef>
              <c:f>'Rio Grande_MoFurnas_Teste2013'!$A$19:$A$104</c:f>
              <c:numCache>
                <c:formatCode>mmm\-yy</c:formatCode>
                <c:ptCount val="86"/>
                <c:pt idx="0">
                  <c:v>41306</c:v>
                </c:pt>
                <c:pt idx="1">
                  <c:v>41334</c:v>
                </c:pt>
                <c:pt idx="2">
                  <c:v>41365</c:v>
                </c:pt>
                <c:pt idx="3">
                  <c:v>41395</c:v>
                </c:pt>
                <c:pt idx="4">
                  <c:v>41426</c:v>
                </c:pt>
                <c:pt idx="5">
                  <c:v>41456</c:v>
                </c:pt>
                <c:pt idx="6">
                  <c:v>41487</c:v>
                </c:pt>
                <c:pt idx="7">
                  <c:v>41518</c:v>
                </c:pt>
                <c:pt idx="8">
                  <c:v>41548</c:v>
                </c:pt>
                <c:pt idx="9">
                  <c:v>41579</c:v>
                </c:pt>
                <c:pt idx="10">
                  <c:v>41609</c:v>
                </c:pt>
                <c:pt idx="11">
                  <c:v>41640</c:v>
                </c:pt>
                <c:pt idx="12">
                  <c:v>41671</c:v>
                </c:pt>
                <c:pt idx="13">
                  <c:v>41699</c:v>
                </c:pt>
                <c:pt idx="14">
                  <c:v>41730</c:v>
                </c:pt>
                <c:pt idx="15">
                  <c:v>41760</c:v>
                </c:pt>
                <c:pt idx="16">
                  <c:v>41791</c:v>
                </c:pt>
                <c:pt idx="17">
                  <c:v>41821</c:v>
                </c:pt>
                <c:pt idx="18">
                  <c:v>41852</c:v>
                </c:pt>
                <c:pt idx="19">
                  <c:v>41883</c:v>
                </c:pt>
                <c:pt idx="20">
                  <c:v>41913</c:v>
                </c:pt>
                <c:pt idx="21">
                  <c:v>41944</c:v>
                </c:pt>
                <c:pt idx="22">
                  <c:v>41974</c:v>
                </c:pt>
                <c:pt idx="23">
                  <c:v>42005</c:v>
                </c:pt>
                <c:pt idx="24">
                  <c:v>42036</c:v>
                </c:pt>
                <c:pt idx="25">
                  <c:v>42064</c:v>
                </c:pt>
                <c:pt idx="26">
                  <c:v>42095</c:v>
                </c:pt>
                <c:pt idx="27">
                  <c:v>42125</c:v>
                </c:pt>
                <c:pt idx="28">
                  <c:v>42156</c:v>
                </c:pt>
                <c:pt idx="29">
                  <c:v>42186</c:v>
                </c:pt>
              </c:numCache>
            </c:numRef>
          </c:cat>
          <c:val>
            <c:numRef>
              <c:f>'Rio Grande_MoFurnas_Teste2013'!$AG$19:$AG$104</c:f>
              <c:numCache>
                <c:formatCode>0%</c:formatCode>
                <c:ptCount val="8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D1C6-4F87-8A18-F5E29A5BA59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669953904"/>
        <c:axId val="669954992"/>
      </c:lineChart>
      <c:dateAx>
        <c:axId val="669953904"/>
        <c:scaling>
          <c:orientation val="minMax"/>
        </c:scaling>
        <c:delete val="0"/>
        <c:axPos val="b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mmm/yy" sourceLinked="0"/>
        <c:majorTickMark val="out"/>
        <c:minorTickMark val="none"/>
        <c:tickLblPos val="low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lang="en-US"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pt-BR"/>
          </a:p>
        </c:txPr>
        <c:crossAx val="669954992"/>
        <c:crosses val="autoZero"/>
        <c:auto val="1"/>
        <c:lblOffset val="100"/>
        <c:baseTimeUnit val="months"/>
        <c:majorUnit val="1"/>
        <c:majorTimeUnit val="years"/>
      </c:dateAx>
      <c:valAx>
        <c:axId val="669954992"/>
        <c:scaling>
          <c:orientation val="minMax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0%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lang="en-US"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pt-BR"/>
          </a:p>
        </c:txPr>
        <c:crossAx val="669953904"/>
        <c:crosses val="autoZero"/>
        <c:crossBetween val="between"/>
      </c:valAx>
      <c:spPr>
        <a:solidFill>
          <a:srgbClr val="FFFFFF"/>
        </a:solidFill>
        <a:ln w="12700">
          <a:solidFill>
            <a:srgbClr val="808080"/>
          </a:solidFill>
          <a:prstDash val="solid"/>
        </a:ln>
      </c:spPr>
    </c:plotArea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8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pt-BR"/>
    </a:p>
  </c:txPr>
  <c:printSettings>
    <c:headerFooter alignWithMargins="0"/>
    <c:pageMargins b="0.98425196899999956" l="0.78740157499999996" r="0.78740157499999996" t="0.98425196899999956" header="0.49212598500000138" footer="0.49212598500000138"/>
    <c:pageSetup/>
  </c:printSettings>
</c:chartSpace>
</file>

<file path=xl/charts/chart4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8.2556166165310779E-2"/>
          <c:y val="2.5802646301541898E-2"/>
          <c:w val="0.85197146665226542"/>
          <c:h val="0.75954761904761903"/>
        </c:manualLayout>
      </c:layout>
      <c:lineChart>
        <c:grouping val="standard"/>
        <c:varyColors val="0"/>
        <c:ser>
          <c:idx val="0"/>
          <c:order val="0"/>
          <c:tx>
            <c:v>Q calc</c:v>
          </c:tx>
          <c:spPr>
            <a:ln w="12700">
              <a:solidFill>
                <a:srgbClr val="FF0000"/>
              </a:solidFill>
              <a:prstDash val="solid"/>
            </a:ln>
          </c:spPr>
          <c:marker>
            <c:symbol val="diamond"/>
            <c:size val="5"/>
            <c:spPr>
              <a:solidFill>
                <a:srgbClr val="FF0000"/>
              </a:solidFill>
              <a:ln>
                <a:solidFill>
                  <a:srgbClr val="FF0000"/>
                </a:solidFill>
                <a:prstDash val="solid"/>
              </a:ln>
            </c:spPr>
          </c:marker>
          <c:cat>
            <c:numRef>
              <c:f>'Rio Grande_MoFurnas_Teste2013'!$A$19:$A$104</c:f>
              <c:numCache>
                <c:formatCode>mmm\-yy</c:formatCode>
                <c:ptCount val="86"/>
                <c:pt idx="0">
                  <c:v>41306</c:v>
                </c:pt>
                <c:pt idx="1">
                  <c:v>41334</c:v>
                </c:pt>
                <c:pt idx="2">
                  <c:v>41365</c:v>
                </c:pt>
                <c:pt idx="3">
                  <c:v>41395</c:v>
                </c:pt>
                <c:pt idx="4">
                  <c:v>41426</c:v>
                </c:pt>
                <c:pt idx="5">
                  <c:v>41456</c:v>
                </c:pt>
                <c:pt idx="6">
                  <c:v>41487</c:v>
                </c:pt>
                <c:pt idx="7">
                  <c:v>41518</c:v>
                </c:pt>
                <c:pt idx="8">
                  <c:v>41548</c:v>
                </c:pt>
                <c:pt idx="9">
                  <c:v>41579</c:v>
                </c:pt>
                <c:pt idx="10">
                  <c:v>41609</c:v>
                </c:pt>
                <c:pt idx="11">
                  <c:v>41640</c:v>
                </c:pt>
                <c:pt idx="12">
                  <c:v>41671</c:v>
                </c:pt>
                <c:pt idx="13">
                  <c:v>41699</c:v>
                </c:pt>
                <c:pt idx="14">
                  <c:v>41730</c:v>
                </c:pt>
                <c:pt idx="15">
                  <c:v>41760</c:v>
                </c:pt>
                <c:pt idx="16">
                  <c:v>41791</c:v>
                </c:pt>
                <c:pt idx="17">
                  <c:v>41821</c:v>
                </c:pt>
                <c:pt idx="18">
                  <c:v>41852</c:v>
                </c:pt>
                <c:pt idx="19">
                  <c:v>41883</c:v>
                </c:pt>
                <c:pt idx="20">
                  <c:v>41913</c:v>
                </c:pt>
                <c:pt idx="21">
                  <c:v>41944</c:v>
                </c:pt>
                <c:pt idx="22">
                  <c:v>41974</c:v>
                </c:pt>
                <c:pt idx="23">
                  <c:v>42005</c:v>
                </c:pt>
                <c:pt idx="24">
                  <c:v>42036</c:v>
                </c:pt>
                <c:pt idx="25">
                  <c:v>42064</c:v>
                </c:pt>
                <c:pt idx="26">
                  <c:v>42095</c:v>
                </c:pt>
                <c:pt idx="27">
                  <c:v>42125</c:v>
                </c:pt>
                <c:pt idx="28">
                  <c:v>42156</c:v>
                </c:pt>
                <c:pt idx="29">
                  <c:v>42186</c:v>
                </c:pt>
              </c:numCache>
            </c:numRef>
          </c:cat>
          <c:val>
            <c:numRef>
              <c:f>'Rio Grande_MoFurnas_Teste2013'!$AE$19:$AE$104</c:f>
              <c:numCache>
                <c:formatCode>0</c:formatCode>
                <c:ptCount val="8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032A-4D0B-96ED-12E8237D1352}"/>
            </c:ext>
          </c:extLst>
        </c:ser>
        <c:ser>
          <c:idx val="1"/>
          <c:order val="1"/>
          <c:tx>
            <c:v>Q obs</c:v>
          </c:tx>
          <c:spPr>
            <a:ln w="12700">
              <a:solidFill>
                <a:srgbClr val="0000FF"/>
              </a:solidFill>
              <a:prstDash val="solid"/>
            </a:ln>
          </c:spPr>
          <c:marker>
            <c:symbol val="square"/>
            <c:size val="5"/>
            <c:spPr>
              <a:solidFill>
                <a:srgbClr val="0000FF"/>
              </a:solidFill>
              <a:ln>
                <a:solidFill>
                  <a:srgbClr val="0000FF"/>
                </a:solidFill>
                <a:prstDash val="solid"/>
              </a:ln>
            </c:spPr>
          </c:marker>
          <c:cat>
            <c:numRef>
              <c:f>'Rio Grande_MoFurnas_Teste2013'!$A$19:$A$104</c:f>
              <c:numCache>
                <c:formatCode>mmm\-yy</c:formatCode>
                <c:ptCount val="86"/>
                <c:pt idx="0">
                  <c:v>41306</c:v>
                </c:pt>
                <c:pt idx="1">
                  <c:v>41334</c:v>
                </c:pt>
                <c:pt idx="2">
                  <c:v>41365</c:v>
                </c:pt>
                <c:pt idx="3">
                  <c:v>41395</c:v>
                </c:pt>
                <c:pt idx="4">
                  <c:v>41426</c:v>
                </c:pt>
                <c:pt idx="5">
                  <c:v>41456</c:v>
                </c:pt>
                <c:pt idx="6">
                  <c:v>41487</c:v>
                </c:pt>
                <c:pt idx="7">
                  <c:v>41518</c:v>
                </c:pt>
                <c:pt idx="8">
                  <c:v>41548</c:v>
                </c:pt>
                <c:pt idx="9">
                  <c:v>41579</c:v>
                </c:pt>
                <c:pt idx="10">
                  <c:v>41609</c:v>
                </c:pt>
                <c:pt idx="11">
                  <c:v>41640</c:v>
                </c:pt>
                <c:pt idx="12">
                  <c:v>41671</c:v>
                </c:pt>
                <c:pt idx="13">
                  <c:v>41699</c:v>
                </c:pt>
                <c:pt idx="14">
                  <c:v>41730</c:v>
                </c:pt>
                <c:pt idx="15">
                  <c:v>41760</c:v>
                </c:pt>
                <c:pt idx="16">
                  <c:v>41791</c:v>
                </c:pt>
                <c:pt idx="17">
                  <c:v>41821</c:v>
                </c:pt>
                <c:pt idx="18">
                  <c:v>41852</c:v>
                </c:pt>
                <c:pt idx="19">
                  <c:v>41883</c:v>
                </c:pt>
                <c:pt idx="20">
                  <c:v>41913</c:v>
                </c:pt>
                <c:pt idx="21">
                  <c:v>41944</c:v>
                </c:pt>
                <c:pt idx="22">
                  <c:v>41974</c:v>
                </c:pt>
                <c:pt idx="23">
                  <c:v>42005</c:v>
                </c:pt>
                <c:pt idx="24">
                  <c:v>42036</c:v>
                </c:pt>
                <c:pt idx="25">
                  <c:v>42064</c:v>
                </c:pt>
                <c:pt idx="26">
                  <c:v>42095</c:v>
                </c:pt>
                <c:pt idx="27">
                  <c:v>42125</c:v>
                </c:pt>
                <c:pt idx="28">
                  <c:v>42156</c:v>
                </c:pt>
                <c:pt idx="29">
                  <c:v>42186</c:v>
                </c:pt>
              </c:numCache>
            </c:numRef>
          </c:cat>
          <c:val>
            <c:numRef>
              <c:f>'Rio Grande_MoFurnas_Teste2013'!$AF$19:$AF$104</c:f>
              <c:numCache>
                <c:formatCode>General</c:formatCode>
                <c:ptCount val="86"/>
                <c:pt idx="0">
                  <c:v>1654</c:v>
                </c:pt>
                <c:pt idx="1">
                  <c:v>1240</c:v>
                </c:pt>
                <c:pt idx="2">
                  <c:v>996</c:v>
                </c:pt>
                <c:pt idx="3">
                  <c:v>620</c:v>
                </c:pt>
                <c:pt idx="4">
                  <c:v>647</c:v>
                </c:pt>
                <c:pt idx="5">
                  <c:v>499</c:v>
                </c:pt>
                <c:pt idx="6">
                  <c:v>363</c:v>
                </c:pt>
                <c:pt idx="7">
                  <c:v>351</c:v>
                </c:pt>
                <c:pt idx="8">
                  <c:v>505</c:v>
                </c:pt>
                <c:pt idx="9">
                  <c:v>559</c:v>
                </c:pt>
                <c:pt idx="10">
                  <c:v>979</c:v>
                </c:pt>
                <c:pt idx="11">
                  <c:v>496</c:v>
                </c:pt>
                <c:pt idx="12">
                  <c:v>273</c:v>
                </c:pt>
                <c:pt idx="13">
                  <c:v>335</c:v>
                </c:pt>
                <c:pt idx="14">
                  <c:v>389</c:v>
                </c:pt>
                <c:pt idx="15">
                  <c:v>263</c:v>
                </c:pt>
                <c:pt idx="16">
                  <c:v>252</c:v>
                </c:pt>
                <c:pt idx="17">
                  <c:v>227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032A-4D0B-96ED-12E8237D1352}"/>
            </c:ext>
          </c:extLst>
        </c:ser>
        <c:ser>
          <c:idx val="2"/>
          <c:order val="2"/>
          <c:tx>
            <c:v>Qbase</c:v>
          </c:tx>
          <c:spPr>
            <a:ln w="25400">
              <a:solidFill>
                <a:srgbClr val="999933"/>
              </a:solidFill>
              <a:prstDash val="solid"/>
            </a:ln>
          </c:spPr>
          <c:marker>
            <c:symbol val="none"/>
          </c:marker>
          <c:val>
            <c:numRef>
              <c:f>'Rio Grande_MoFurnas_Teste2013'!$AH$19:$AH$104</c:f>
              <c:numCache>
                <c:formatCode>0</c:formatCode>
                <c:ptCount val="86"/>
                <c:pt idx="0">
                  <c:v>400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032A-4D0B-96ED-12E8237D135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69956624"/>
        <c:axId val="669950096"/>
      </c:lineChart>
      <c:dateAx>
        <c:axId val="669956624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 lang="en-US"/>
                </a:pPr>
                <a:r>
                  <a:rPr lang="en-US"/>
                  <a:t>Meses/anos</a:t>
                </a:r>
              </a:p>
            </c:rich>
          </c:tx>
          <c:overlay val="0"/>
        </c:title>
        <c:numFmt formatCode="mmm/yy" sourceLinked="0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-2700000" vert="horz"/>
          <a:lstStyle/>
          <a:p>
            <a:pPr>
              <a:defRPr lang="en-US"/>
            </a:pPr>
            <a:endParaRPr lang="pt-BR"/>
          </a:p>
        </c:txPr>
        <c:crossAx val="669950096"/>
        <c:crosses val="autoZero"/>
        <c:auto val="0"/>
        <c:lblOffset val="100"/>
        <c:baseTimeUnit val="months"/>
        <c:majorUnit val="3"/>
        <c:majorTimeUnit val="months"/>
      </c:dateAx>
      <c:valAx>
        <c:axId val="669950096"/>
        <c:scaling>
          <c:orientation val="minMax"/>
          <c:min val="0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 lang="en-US"/>
                </a:pPr>
                <a:r>
                  <a:rPr lang="pt-BR"/>
                  <a:t>Vazões (m3/s)</a:t>
                </a:r>
              </a:p>
            </c:rich>
          </c:tx>
          <c:overlay val="0"/>
        </c:title>
        <c:numFmt formatCode="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lang="en-US"/>
            </a:pPr>
            <a:endParaRPr lang="pt-BR"/>
          </a:p>
        </c:txPr>
        <c:crossAx val="669956624"/>
        <c:crosses val="autoZero"/>
        <c:crossBetween val="between"/>
      </c:valAx>
      <c:spPr>
        <a:solidFill>
          <a:srgbClr val="FFFFFF"/>
        </a:solidFill>
        <a:ln w="12700">
          <a:solidFill>
            <a:srgbClr val="808080"/>
          </a:solidFill>
          <a:prstDash val="solid"/>
        </a:ln>
      </c:spPr>
    </c:plotArea>
    <c:legend>
      <c:legendPos val="r"/>
      <c:layout>
        <c:manualLayout>
          <c:xMode val="edge"/>
          <c:yMode val="edge"/>
          <c:x val="0.10256973251390605"/>
          <c:y val="0.95873015873015899"/>
          <c:w val="0.80179879074001703"/>
          <c:h val="2.5396825396825404E-2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lang="en-US"/>
          </a:pPr>
          <a:endParaRPr lang="pt-BR"/>
        </a:p>
      </c:txPr>
    </c:legend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05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pt-BR"/>
    </a:p>
  </c:txPr>
  <c:printSettings>
    <c:headerFooter/>
    <c:pageMargins b="0.78740157499999996" l="0.511811024" r="0.511811024" t="0.78740157499999996" header="0.31496062000000136" footer="0.31496062000000136"/>
    <c:pageSetup/>
  </c:printSettings>
</c:chartSpace>
</file>

<file path=xl/charts/chart4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'Rio Grande_MoFurnas_Teste2013'!$C$15</c:f>
              <c:strCache>
                <c:ptCount val="1"/>
                <c:pt idx="0">
                  <c:v>obs</c:v>
                </c:pt>
              </c:strCache>
            </c:strRef>
          </c:tx>
          <c:marker>
            <c:symbol val="none"/>
          </c:marker>
          <c:val>
            <c:numRef>
              <c:f>'Rio Grande_MoFurnas_Teste2013'!$C$16:$C$36</c:f>
              <c:numCache>
                <c:formatCode>General</c:formatCode>
                <c:ptCount val="2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3E07-4B99-808F-4ECBE105431F}"/>
            </c:ext>
          </c:extLst>
        </c:ser>
        <c:ser>
          <c:idx val="1"/>
          <c:order val="1"/>
          <c:tx>
            <c:strRef>
              <c:f>'Rio Grande_MoFurnas_Teste2013'!$D$15</c:f>
              <c:strCache>
                <c:ptCount val="1"/>
                <c:pt idx="0">
                  <c:v>média</c:v>
                </c:pt>
              </c:strCache>
            </c:strRef>
          </c:tx>
          <c:marker>
            <c:symbol val="none"/>
          </c:marker>
          <c:val>
            <c:numRef>
              <c:f>'Rio Grande_MoFurnas_Teste2013'!$D$16:$D$36</c:f>
              <c:numCache>
                <c:formatCode>General</c:formatCode>
                <c:ptCount val="21"/>
                <c:pt idx="0">
                  <c:v>178</c:v>
                </c:pt>
                <c:pt idx="1">
                  <c:v>266</c:v>
                </c:pt>
                <c:pt idx="2">
                  <c:v>267</c:v>
                </c:pt>
                <c:pt idx="3">
                  <c:v>203</c:v>
                </c:pt>
                <c:pt idx="4">
                  <c:v>172</c:v>
                </c:pt>
                <c:pt idx="5">
                  <c:v>81</c:v>
                </c:pt>
                <c:pt idx="6">
                  <c:v>59</c:v>
                </c:pt>
                <c:pt idx="7">
                  <c:v>31</c:v>
                </c:pt>
                <c:pt idx="8">
                  <c:v>27</c:v>
                </c:pt>
                <c:pt idx="9">
                  <c:v>29</c:v>
                </c:pt>
                <c:pt idx="10">
                  <c:v>67</c:v>
                </c:pt>
                <c:pt idx="11">
                  <c:v>138</c:v>
                </c:pt>
                <c:pt idx="12">
                  <c:v>178</c:v>
                </c:pt>
                <c:pt idx="13">
                  <c:v>266</c:v>
                </c:pt>
                <c:pt idx="14">
                  <c:v>267</c:v>
                </c:pt>
                <c:pt idx="15">
                  <c:v>203</c:v>
                </c:pt>
                <c:pt idx="16">
                  <c:v>172</c:v>
                </c:pt>
                <c:pt idx="17">
                  <c:v>81</c:v>
                </c:pt>
                <c:pt idx="18">
                  <c:v>59</c:v>
                </c:pt>
                <c:pt idx="19">
                  <c:v>31</c:v>
                </c:pt>
                <c:pt idx="20">
                  <c:v>27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3E07-4B99-808F-4ECBE105431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669951184"/>
        <c:axId val="670782768"/>
      </c:lineChart>
      <c:catAx>
        <c:axId val="669951184"/>
        <c:scaling>
          <c:orientation val="minMax"/>
        </c:scaling>
        <c:delete val="0"/>
        <c:axPos val="b"/>
        <c:majorTickMark val="out"/>
        <c:minorTickMark val="none"/>
        <c:tickLblPos val="nextTo"/>
        <c:txPr>
          <a:bodyPr/>
          <a:lstStyle/>
          <a:p>
            <a:pPr>
              <a:defRPr lang="en-US"/>
            </a:pPr>
            <a:endParaRPr lang="pt-BR"/>
          </a:p>
        </c:txPr>
        <c:crossAx val="670782768"/>
        <c:crosses val="autoZero"/>
        <c:auto val="1"/>
        <c:lblAlgn val="ctr"/>
        <c:lblOffset val="100"/>
        <c:noMultiLvlLbl val="0"/>
      </c:catAx>
      <c:valAx>
        <c:axId val="670782768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lang="en-US"/>
            </a:pPr>
            <a:endParaRPr lang="pt-BR"/>
          </a:p>
        </c:txPr>
        <c:crossAx val="669951184"/>
        <c:crosses val="autoZero"/>
        <c:crossBetween val="between"/>
      </c:valAx>
    </c:plotArea>
    <c:legend>
      <c:legendPos val="b"/>
      <c:overlay val="0"/>
      <c:txPr>
        <a:bodyPr/>
        <a:lstStyle/>
        <a:p>
          <a:pPr>
            <a:defRPr lang="en-US"/>
          </a:pPr>
          <a:endParaRPr lang="pt-BR"/>
        </a:p>
      </c:txPr>
    </c:legend>
    <c:plotVisOnly val="1"/>
    <c:dispBlanksAs val="gap"/>
    <c:showDLblsOverMax val="0"/>
  </c:chart>
  <c:printSettings>
    <c:headerFooter/>
    <c:pageMargins b="0.78740157499999996" l="0.511811024" r="0.511811024" t="0.78740157499999996" header="0.31496062000000136" footer="0.31496062000000136"/>
    <c:pageSetup/>
  </c:printSettings>
</c:chartSpace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2" Type="http://schemas.openxmlformats.org/officeDocument/2006/relationships/chart" Target="../charts/chart4.xml"/><Relationship Id="rId1" Type="http://schemas.openxmlformats.org/officeDocument/2006/relationships/chart" Target="../charts/chart3.xml"/></Relationships>
</file>

<file path=xl/drawings/_rels/drawing3.xml.rels><?xml version="1.0" encoding="UTF-8" standalone="yes"?>
<Relationships xmlns="http://schemas.openxmlformats.org/package/2006/relationships"><Relationship Id="rId2" Type="http://schemas.openxmlformats.org/officeDocument/2006/relationships/chart" Target="../charts/chart6.xml"/><Relationship Id="rId1" Type="http://schemas.openxmlformats.org/officeDocument/2006/relationships/chart" Target="../charts/chart5.xml"/></Relationships>
</file>

<file path=xl/drawings/_rels/drawing4.xml.rels><?xml version="1.0" encoding="UTF-8" standalone="yes"?>
<Relationships xmlns="http://schemas.openxmlformats.org/package/2006/relationships"><Relationship Id="rId2" Type="http://schemas.openxmlformats.org/officeDocument/2006/relationships/chart" Target="../charts/chart8.xml"/><Relationship Id="rId1" Type="http://schemas.openxmlformats.org/officeDocument/2006/relationships/chart" Target="../charts/chart7.xml"/></Relationships>
</file>

<file path=xl/drawings/_rels/drawing5.xml.rels><?xml version="1.0" encoding="UTF-8" standalone="yes"?>
<Relationships xmlns="http://schemas.openxmlformats.org/package/2006/relationships"><Relationship Id="rId8" Type="http://schemas.openxmlformats.org/officeDocument/2006/relationships/chart" Target="../charts/chart16.xml"/><Relationship Id="rId3" Type="http://schemas.openxmlformats.org/officeDocument/2006/relationships/chart" Target="../charts/chart11.xml"/><Relationship Id="rId7" Type="http://schemas.openxmlformats.org/officeDocument/2006/relationships/chart" Target="../charts/chart15.xml"/><Relationship Id="rId2" Type="http://schemas.openxmlformats.org/officeDocument/2006/relationships/chart" Target="../charts/chart10.xml"/><Relationship Id="rId1" Type="http://schemas.openxmlformats.org/officeDocument/2006/relationships/chart" Target="../charts/chart9.xml"/><Relationship Id="rId6" Type="http://schemas.openxmlformats.org/officeDocument/2006/relationships/chart" Target="../charts/chart14.xml"/><Relationship Id="rId5" Type="http://schemas.openxmlformats.org/officeDocument/2006/relationships/chart" Target="../charts/chart13.xml"/><Relationship Id="rId4" Type="http://schemas.openxmlformats.org/officeDocument/2006/relationships/chart" Target="../charts/chart12.xml"/></Relationships>
</file>

<file path=xl/drawings/_rels/drawing6.xml.rels><?xml version="1.0" encoding="UTF-8" standalone="yes"?>
<Relationships xmlns="http://schemas.openxmlformats.org/package/2006/relationships"><Relationship Id="rId8" Type="http://schemas.openxmlformats.org/officeDocument/2006/relationships/chart" Target="../charts/chart24.xml"/><Relationship Id="rId3" Type="http://schemas.openxmlformats.org/officeDocument/2006/relationships/chart" Target="../charts/chart19.xml"/><Relationship Id="rId7" Type="http://schemas.openxmlformats.org/officeDocument/2006/relationships/chart" Target="../charts/chart23.xml"/><Relationship Id="rId2" Type="http://schemas.openxmlformats.org/officeDocument/2006/relationships/chart" Target="../charts/chart18.xml"/><Relationship Id="rId1" Type="http://schemas.openxmlformats.org/officeDocument/2006/relationships/chart" Target="../charts/chart17.xml"/><Relationship Id="rId6" Type="http://schemas.openxmlformats.org/officeDocument/2006/relationships/chart" Target="../charts/chart22.xml"/><Relationship Id="rId5" Type="http://schemas.openxmlformats.org/officeDocument/2006/relationships/chart" Target="../charts/chart21.xml"/><Relationship Id="rId4" Type="http://schemas.openxmlformats.org/officeDocument/2006/relationships/chart" Target="../charts/chart20.xml"/></Relationships>
</file>

<file path=xl/drawings/_rels/drawing7.xml.rels><?xml version="1.0" encoding="UTF-8" standalone="yes"?>
<Relationships xmlns="http://schemas.openxmlformats.org/package/2006/relationships"><Relationship Id="rId8" Type="http://schemas.openxmlformats.org/officeDocument/2006/relationships/chart" Target="../charts/chart32.xml"/><Relationship Id="rId3" Type="http://schemas.openxmlformats.org/officeDocument/2006/relationships/chart" Target="../charts/chart27.xml"/><Relationship Id="rId7" Type="http://schemas.openxmlformats.org/officeDocument/2006/relationships/chart" Target="../charts/chart31.xml"/><Relationship Id="rId2" Type="http://schemas.openxmlformats.org/officeDocument/2006/relationships/chart" Target="../charts/chart26.xml"/><Relationship Id="rId1" Type="http://schemas.openxmlformats.org/officeDocument/2006/relationships/chart" Target="../charts/chart25.xml"/><Relationship Id="rId6" Type="http://schemas.openxmlformats.org/officeDocument/2006/relationships/chart" Target="../charts/chart30.xml"/><Relationship Id="rId5" Type="http://schemas.openxmlformats.org/officeDocument/2006/relationships/chart" Target="../charts/chart29.xml"/><Relationship Id="rId4" Type="http://schemas.openxmlformats.org/officeDocument/2006/relationships/chart" Target="../charts/chart28.xml"/></Relationships>
</file>

<file path=xl/drawings/_rels/drawing8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4.xml"/><Relationship Id="rId7" Type="http://schemas.openxmlformats.org/officeDocument/2006/relationships/chart" Target="../charts/chart38.xml"/><Relationship Id="rId2" Type="http://schemas.openxmlformats.org/officeDocument/2006/relationships/image" Target="../media/image1.emf"/><Relationship Id="rId1" Type="http://schemas.openxmlformats.org/officeDocument/2006/relationships/chart" Target="../charts/chart33.xml"/><Relationship Id="rId6" Type="http://schemas.openxmlformats.org/officeDocument/2006/relationships/chart" Target="../charts/chart37.xml"/><Relationship Id="rId5" Type="http://schemas.openxmlformats.org/officeDocument/2006/relationships/chart" Target="../charts/chart36.xml"/><Relationship Id="rId4" Type="http://schemas.openxmlformats.org/officeDocument/2006/relationships/chart" Target="../charts/chart35.xml"/></Relationships>
</file>

<file path=xl/drawings/_rels/drawing9.xml.rels><?xml version="1.0" encoding="UTF-8" standalone="yes"?>
<Relationships xmlns="http://schemas.openxmlformats.org/package/2006/relationships"><Relationship Id="rId8" Type="http://schemas.openxmlformats.org/officeDocument/2006/relationships/chart" Target="../charts/chart45.xml"/><Relationship Id="rId3" Type="http://schemas.openxmlformats.org/officeDocument/2006/relationships/chart" Target="../charts/chart40.xml"/><Relationship Id="rId7" Type="http://schemas.openxmlformats.org/officeDocument/2006/relationships/chart" Target="../charts/chart44.xml"/><Relationship Id="rId2" Type="http://schemas.openxmlformats.org/officeDocument/2006/relationships/image" Target="../media/image1.emf"/><Relationship Id="rId1" Type="http://schemas.openxmlformats.org/officeDocument/2006/relationships/chart" Target="../charts/chart39.xml"/><Relationship Id="rId6" Type="http://schemas.openxmlformats.org/officeDocument/2006/relationships/chart" Target="../charts/chart43.xml"/><Relationship Id="rId5" Type="http://schemas.openxmlformats.org/officeDocument/2006/relationships/chart" Target="../charts/chart42.xml"/><Relationship Id="rId4" Type="http://schemas.openxmlformats.org/officeDocument/2006/relationships/chart" Target="../charts/chart4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66675</xdr:colOff>
      <xdr:row>4</xdr:row>
      <xdr:rowOff>57149</xdr:rowOff>
    </xdr:from>
    <xdr:to>
      <xdr:col>3</xdr:col>
      <xdr:colOff>952499</xdr:colOff>
      <xdr:row>7</xdr:row>
      <xdr:rowOff>104174</xdr:rowOff>
    </xdr:to>
    <xdr:sp macro="[0]!carregar_observados" textlink="">
      <xdr:nvSpPr>
        <xdr:cNvPr id="4" name="Bisel 3"/>
        <xdr:cNvSpPr/>
      </xdr:nvSpPr>
      <xdr:spPr bwMode="auto">
        <a:xfrm>
          <a:off x="1895475" y="704849"/>
          <a:ext cx="542924" cy="532800"/>
        </a:xfrm>
        <a:prstGeom prst="bevel">
          <a:avLst/>
        </a:prstGeom>
        <a:solidFill>
          <a:schemeClr val="tx2">
            <a:lumMod val="60000"/>
            <a:lumOff val="40000"/>
          </a:schemeClr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horzOverflow="clip" wrap="square" lIns="18288" tIns="0" rIns="0" bIns="0" rtlCol="0" anchor="ctr" upright="1"/>
        <a:lstStyle/>
        <a:p>
          <a:pPr algn="ctr"/>
          <a:r>
            <a:rPr lang="pt-BR" sz="1100" b="1">
              <a:solidFill>
                <a:schemeClr val="bg1"/>
              </a:solidFill>
            </a:rPr>
            <a:t>Carregar Observados</a:t>
          </a:r>
        </a:p>
      </xdr:txBody>
    </xdr:sp>
    <xdr:clientData/>
  </xdr:twoCellAnchor>
  <xdr:twoCellAnchor>
    <xdr:from>
      <xdr:col>13</xdr:col>
      <xdr:colOff>66675</xdr:colOff>
      <xdr:row>4</xdr:row>
      <xdr:rowOff>57149</xdr:rowOff>
    </xdr:from>
    <xdr:to>
      <xdr:col>13</xdr:col>
      <xdr:colOff>952499</xdr:colOff>
      <xdr:row>7</xdr:row>
      <xdr:rowOff>104174</xdr:rowOff>
    </xdr:to>
    <xdr:sp macro="[0]!Previsão_10_dias" textlink="">
      <xdr:nvSpPr>
        <xdr:cNvPr id="5" name="Bisel 4"/>
        <xdr:cNvSpPr/>
      </xdr:nvSpPr>
      <xdr:spPr bwMode="auto">
        <a:xfrm>
          <a:off x="7381875" y="704849"/>
          <a:ext cx="542924" cy="532800"/>
        </a:xfrm>
        <a:prstGeom prst="bevel">
          <a:avLst/>
        </a:prstGeom>
        <a:solidFill>
          <a:schemeClr val="tx2">
            <a:lumMod val="60000"/>
            <a:lumOff val="40000"/>
          </a:schemeClr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horzOverflow="clip" wrap="square" lIns="18288" tIns="0" rIns="0" bIns="0" rtlCol="0" anchor="ctr" upright="1"/>
        <a:lstStyle/>
        <a:p>
          <a:pPr algn="ctr"/>
          <a:r>
            <a:rPr lang="pt-BR" sz="1100" b="1">
              <a:solidFill>
                <a:schemeClr val="bg1"/>
              </a:solidFill>
            </a:rPr>
            <a:t>10 dias</a:t>
          </a:r>
        </a:p>
      </xdr:txBody>
    </xdr:sp>
    <xdr:clientData/>
  </xdr:twoCellAnchor>
  <xdr:twoCellAnchor>
    <xdr:from>
      <xdr:col>13</xdr:col>
      <xdr:colOff>77219</xdr:colOff>
      <xdr:row>8</xdr:row>
      <xdr:rowOff>66675</xdr:rowOff>
    </xdr:from>
    <xdr:to>
      <xdr:col>13</xdr:col>
      <xdr:colOff>963043</xdr:colOff>
      <xdr:row>11</xdr:row>
      <xdr:rowOff>104775</xdr:rowOff>
    </xdr:to>
    <xdr:sp macro="[0]!Previsão_15_dias" textlink="">
      <xdr:nvSpPr>
        <xdr:cNvPr id="6" name="Bisel 5"/>
        <xdr:cNvSpPr/>
      </xdr:nvSpPr>
      <xdr:spPr bwMode="auto">
        <a:xfrm>
          <a:off x="7392419" y="1362075"/>
          <a:ext cx="533399" cy="523875"/>
        </a:xfrm>
        <a:prstGeom prst="bevel">
          <a:avLst/>
        </a:prstGeom>
        <a:solidFill>
          <a:schemeClr val="tx2">
            <a:lumMod val="60000"/>
            <a:lumOff val="40000"/>
          </a:schemeClr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horzOverflow="clip" wrap="square" lIns="18288" tIns="0" rIns="0" bIns="0" rtlCol="0" anchor="ctr" upright="1"/>
        <a:lstStyle/>
        <a:p>
          <a:pPr algn="ctr"/>
          <a:r>
            <a:rPr lang="pt-BR" sz="1100" b="1">
              <a:solidFill>
                <a:schemeClr val="bg1"/>
              </a:solidFill>
            </a:rPr>
            <a:t>15 dias</a:t>
          </a:r>
        </a:p>
      </xdr:txBody>
    </xdr:sp>
    <xdr:clientData/>
  </xdr:twoCellAnchor>
  <xdr:twoCellAnchor>
    <xdr:from>
      <xdr:col>13</xdr:col>
      <xdr:colOff>77219</xdr:colOff>
      <xdr:row>12</xdr:row>
      <xdr:rowOff>66675</xdr:rowOff>
    </xdr:from>
    <xdr:to>
      <xdr:col>13</xdr:col>
      <xdr:colOff>963043</xdr:colOff>
      <xdr:row>15</xdr:row>
      <xdr:rowOff>104775</xdr:rowOff>
    </xdr:to>
    <xdr:sp macro="[0]!Previsão_9_meses" textlink="">
      <xdr:nvSpPr>
        <xdr:cNvPr id="7" name="Bisel 6"/>
        <xdr:cNvSpPr/>
      </xdr:nvSpPr>
      <xdr:spPr bwMode="auto">
        <a:xfrm>
          <a:off x="7392419" y="2009775"/>
          <a:ext cx="533399" cy="523875"/>
        </a:xfrm>
        <a:prstGeom prst="bevel">
          <a:avLst/>
        </a:prstGeom>
        <a:solidFill>
          <a:schemeClr val="tx2">
            <a:lumMod val="60000"/>
            <a:lumOff val="40000"/>
          </a:schemeClr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horzOverflow="clip" wrap="square" lIns="18288" tIns="0" rIns="0" bIns="0" rtlCol="0" anchor="ctr" upright="1"/>
        <a:lstStyle/>
        <a:p>
          <a:pPr algn="ctr"/>
          <a:r>
            <a:rPr lang="pt-BR" sz="1100" b="1">
              <a:solidFill>
                <a:schemeClr val="bg1"/>
              </a:solidFill>
            </a:rPr>
            <a:t>9 meses</a:t>
          </a:r>
        </a:p>
      </xdr:txBody>
    </xdr:sp>
    <xdr:clientData/>
  </xdr:twoCellAnchor>
  <xdr:twoCellAnchor>
    <xdr:from>
      <xdr:col>11</xdr:col>
      <xdr:colOff>76199</xdr:colOff>
      <xdr:row>4</xdr:row>
      <xdr:rowOff>57149</xdr:rowOff>
    </xdr:from>
    <xdr:to>
      <xdr:col>11</xdr:col>
      <xdr:colOff>952499</xdr:colOff>
      <xdr:row>7</xdr:row>
      <xdr:rowOff>104174</xdr:rowOff>
    </xdr:to>
    <xdr:sp macro="[0]!Zerar_chuva_perfeita" textlink="">
      <xdr:nvSpPr>
        <xdr:cNvPr id="8" name="Bisel 7"/>
        <xdr:cNvSpPr/>
      </xdr:nvSpPr>
      <xdr:spPr bwMode="auto">
        <a:xfrm>
          <a:off x="6172199" y="704849"/>
          <a:ext cx="533400" cy="532800"/>
        </a:xfrm>
        <a:prstGeom prst="bevel">
          <a:avLst/>
        </a:prstGeom>
        <a:solidFill>
          <a:schemeClr val="tx2">
            <a:lumMod val="60000"/>
            <a:lumOff val="40000"/>
          </a:schemeClr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horzOverflow="clip" wrap="square" lIns="18288" tIns="0" rIns="0" bIns="0" rtlCol="0" anchor="ctr" upright="1"/>
        <a:lstStyle/>
        <a:p>
          <a:pPr algn="ctr"/>
          <a:r>
            <a:rPr lang="pt-BR" sz="1100" b="1">
              <a:solidFill>
                <a:schemeClr val="bg1"/>
              </a:solidFill>
            </a:rPr>
            <a:t>Zerar chuva perfeita</a:t>
          </a:r>
        </a:p>
      </xdr:txBody>
    </xdr:sp>
    <xdr:clientData/>
  </xdr:twoCellAnchor>
  <xdr:twoCellAnchor>
    <xdr:from>
      <xdr:col>0</xdr:col>
      <xdr:colOff>85724</xdr:colOff>
      <xdr:row>13</xdr:row>
      <xdr:rowOff>133350</xdr:rowOff>
    </xdr:from>
    <xdr:to>
      <xdr:col>12</xdr:col>
      <xdr:colOff>104774</xdr:colOff>
      <xdr:row>28</xdr:row>
      <xdr:rowOff>47625</xdr:rowOff>
    </xdr:to>
    <xdr:graphicFrame macro="">
      <xdr:nvGraphicFramePr>
        <xdr:cNvPr id="9" name="Gráfico 8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0</xdr:col>
      <xdr:colOff>85725</xdr:colOff>
      <xdr:row>28</xdr:row>
      <xdr:rowOff>47625</xdr:rowOff>
    </xdr:from>
    <xdr:to>
      <xdr:col>12</xdr:col>
      <xdr:colOff>114300</xdr:colOff>
      <xdr:row>43</xdr:row>
      <xdr:rowOff>112725</xdr:rowOff>
    </xdr:to>
    <xdr:graphicFrame macro="">
      <xdr:nvGraphicFramePr>
        <xdr:cNvPr id="10" name="Gráfico 9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0</xdr:col>
      <xdr:colOff>85725</xdr:colOff>
      <xdr:row>11</xdr:row>
      <xdr:rowOff>9525</xdr:rowOff>
    </xdr:from>
    <xdr:to>
      <xdr:col>1</xdr:col>
      <xdr:colOff>552451</xdr:colOff>
      <xdr:row>13</xdr:row>
      <xdr:rowOff>28574</xdr:rowOff>
    </xdr:to>
    <xdr:sp macro="[0]!importar_parametros.importar_parametros" textlink="">
      <xdr:nvSpPr>
        <xdr:cNvPr id="11" name="Retângulo de cantos arredondados 10"/>
        <xdr:cNvSpPr/>
      </xdr:nvSpPr>
      <xdr:spPr bwMode="auto">
        <a:xfrm>
          <a:off x="85725" y="1809750"/>
          <a:ext cx="666751" cy="361949"/>
        </a:xfrm>
        <a:prstGeom prst="roundRect">
          <a:avLst/>
        </a:prstGeom>
        <a:solidFill>
          <a:schemeClr val="accent2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horzOverflow="clip" wrap="square" lIns="18288" tIns="0" rIns="0" bIns="0" rtlCol="0" anchor="ctr" upright="1"/>
        <a:lstStyle/>
        <a:p>
          <a:pPr algn="ctr"/>
          <a:r>
            <a:rPr lang="pt-BR" sz="1000">
              <a:solidFill>
                <a:schemeClr val="bg1"/>
              </a:solidFill>
            </a:rPr>
            <a:t>Importar </a:t>
          </a:r>
          <a:r>
            <a:rPr lang="pt-BR" sz="1000" baseline="0">
              <a:solidFill>
                <a:schemeClr val="bg1"/>
              </a:solidFill>
            </a:rPr>
            <a:t>parâmetros</a:t>
          </a:r>
          <a:endParaRPr lang="pt-BR" sz="1000">
            <a:solidFill>
              <a:schemeClr val="bg1"/>
            </a:solidFill>
          </a:endParaRPr>
        </a:p>
      </xdr:txBody>
    </xdr:sp>
    <xdr:clientData/>
  </xdr:twoCellAnchor>
  <xdr:twoCellAnchor>
    <xdr:from>
      <xdr:col>5</xdr:col>
      <xdr:colOff>66675</xdr:colOff>
      <xdr:row>4</xdr:row>
      <xdr:rowOff>66675</xdr:rowOff>
    </xdr:from>
    <xdr:to>
      <xdr:col>5</xdr:col>
      <xdr:colOff>1038224</xdr:colOff>
      <xdr:row>7</xdr:row>
      <xdr:rowOff>113700</xdr:rowOff>
    </xdr:to>
    <xdr:sp macro="[0]!carregar_previsão_chuva" textlink="">
      <xdr:nvSpPr>
        <xdr:cNvPr id="12" name="Bisel 11"/>
        <xdr:cNvSpPr/>
      </xdr:nvSpPr>
      <xdr:spPr bwMode="auto">
        <a:xfrm>
          <a:off x="2609850" y="723900"/>
          <a:ext cx="971549" cy="532800"/>
        </a:xfrm>
        <a:prstGeom prst="bevel">
          <a:avLst/>
        </a:prstGeom>
        <a:solidFill>
          <a:schemeClr val="tx2">
            <a:lumMod val="60000"/>
            <a:lumOff val="40000"/>
          </a:schemeClr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horzOverflow="clip" wrap="square" lIns="18288" tIns="0" rIns="0" bIns="0" rtlCol="0" anchor="ctr" upright="1"/>
        <a:lstStyle/>
        <a:p>
          <a:pPr algn="ctr"/>
          <a:r>
            <a:rPr lang="pt-BR" sz="1100" b="1">
              <a:solidFill>
                <a:schemeClr val="bg1"/>
              </a:solidFill>
            </a:rPr>
            <a:t>Carregar Previsões</a:t>
          </a:r>
        </a:p>
      </xdr:txBody>
    </xdr:sp>
    <xdr:clientData/>
  </xdr:twoCellAnchor>
  <xdr:twoCellAnchor>
    <xdr:from>
      <xdr:col>15</xdr:col>
      <xdr:colOff>66675</xdr:colOff>
      <xdr:row>4</xdr:row>
      <xdr:rowOff>9524</xdr:rowOff>
    </xdr:from>
    <xdr:to>
      <xdr:col>15</xdr:col>
      <xdr:colOff>952275</xdr:colOff>
      <xdr:row>7</xdr:row>
      <xdr:rowOff>56549</xdr:rowOff>
    </xdr:to>
    <xdr:sp macro="[0]!Salvarfechar" textlink="">
      <xdr:nvSpPr>
        <xdr:cNvPr id="13" name="Bisel 12"/>
        <xdr:cNvSpPr/>
      </xdr:nvSpPr>
      <xdr:spPr bwMode="auto">
        <a:xfrm>
          <a:off x="8162925" y="666749"/>
          <a:ext cx="885600" cy="532800"/>
        </a:xfrm>
        <a:prstGeom prst="bevel">
          <a:avLst/>
        </a:prstGeom>
        <a:solidFill>
          <a:schemeClr val="tx2">
            <a:lumMod val="60000"/>
            <a:lumOff val="40000"/>
          </a:schemeClr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horzOverflow="clip" wrap="square" lIns="18288" tIns="0" rIns="0" bIns="0" rtlCol="0" anchor="ctr" upright="1"/>
        <a:lstStyle/>
        <a:p>
          <a:pPr algn="ctr"/>
          <a:r>
            <a:rPr lang="pt-BR" sz="1100" b="1">
              <a:solidFill>
                <a:schemeClr val="bg1"/>
              </a:solidFill>
            </a:rPr>
            <a:t>Selecionar outra Bacia</a:t>
          </a:r>
        </a:p>
      </xdr:txBody>
    </xdr:sp>
    <xdr:clientData/>
  </xdr:twoCellAnchor>
  <xdr:twoCellAnchor>
    <xdr:from>
      <xdr:col>11</xdr:col>
      <xdr:colOff>76199</xdr:colOff>
      <xdr:row>8</xdr:row>
      <xdr:rowOff>66674</xdr:rowOff>
    </xdr:from>
    <xdr:to>
      <xdr:col>11</xdr:col>
      <xdr:colOff>952499</xdr:colOff>
      <xdr:row>11</xdr:row>
      <xdr:rowOff>104174</xdr:rowOff>
    </xdr:to>
    <xdr:sp macro="[0]!carregar_obs.Solver" textlink="">
      <xdr:nvSpPr>
        <xdr:cNvPr id="14" name="Bisel 13"/>
        <xdr:cNvSpPr/>
      </xdr:nvSpPr>
      <xdr:spPr bwMode="auto">
        <a:xfrm>
          <a:off x="5857874" y="1371599"/>
          <a:ext cx="876300" cy="532800"/>
        </a:xfrm>
        <a:prstGeom prst="bevel">
          <a:avLst/>
        </a:prstGeom>
        <a:solidFill>
          <a:schemeClr val="tx2">
            <a:lumMod val="60000"/>
            <a:lumOff val="40000"/>
          </a:schemeClr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horzOverflow="clip" wrap="square" lIns="18288" tIns="0" rIns="0" bIns="0" rtlCol="0" anchor="ctr" upright="1"/>
        <a:lstStyle/>
        <a:p>
          <a:pPr algn="ctr"/>
          <a:r>
            <a:rPr lang="pt-BR" sz="1100" b="1">
              <a:solidFill>
                <a:schemeClr val="bg1"/>
              </a:solidFill>
            </a:rPr>
            <a:t>Solver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115359</xdr:colOff>
      <xdr:row>4</xdr:row>
      <xdr:rowOff>134409</xdr:rowOff>
    </xdr:from>
    <xdr:to>
      <xdr:col>14</xdr:col>
      <xdr:colOff>39159</xdr:colOff>
      <xdr:row>20</xdr:row>
      <xdr:rowOff>137584</xdr:rowOff>
    </xdr:to>
    <xdr:graphicFrame macro="">
      <xdr:nvGraphicFramePr>
        <xdr:cNvPr id="4" name="Gráfico 3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4</xdr:col>
      <xdr:colOff>202142</xdr:colOff>
      <xdr:row>0</xdr:row>
      <xdr:rowOff>116417</xdr:rowOff>
    </xdr:from>
    <xdr:to>
      <xdr:col>6</xdr:col>
      <xdr:colOff>338666</xdr:colOff>
      <xdr:row>4</xdr:row>
      <xdr:rowOff>84667</xdr:rowOff>
    </xdr:to>
    <xdr:sp macro="[0]!Salvar_previsão_10" textlink="">
      <xdr:nvSpPr>
        <xdr:cNvPr id="5" name="Bisel 4"/>
        <xdr:cNvSpPr/>
      </xdr:nvSpPr>
      <xdr:spPr bwMode="auto">
        <a:xfrm>
          <a:off x="2805642" y="116417"/>
          <a:ext cx="1364191" cy="603250"/>
        </a:xfrm>
        <a:prstGeom prst="bevel">
          <a:avLst/>
        </a:prstGeom>
        <a:solidFill>
          <a:schemeClr val="tx2">
            <a:lumMod val="60000"/>
            <a:lumOff val="40000"/>
          </a:schemeClr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horzOverflow="clip" wrap="square" lIns="18288" tIns="0" rIns="0" bIns="0" rtlCol="0" anchor="ctr" upright="1"/>
        <a:lstStyle/>
        <a:p>
          <a:pPr algn="ctr"/>
          <a:r>
            <a:rPr lang="pt-BR" sz="1100" b="1">
              <a:solidFill>
                <a:schemeClr val="bg1"/>
              </a:solidFill>
            </a:rPr>
            <a:t>Salvar e continuar nesta Bacia</a:t>
          </a:r>
        </a:p>
      </xdr:txBody>
    </xdr:sp>
    <xdr:clientData/>
  </xdr:twoCellAnchor>
  <xdr:twoCellAnchor>
    <xdr:from>
      <xdr:col>4</xdr:col>
      <xdr:colOff>95250</xdr:colOff>
      <xdr:row>21</xdr:row>
      <xdr:rowOff>137583</xdr:rowOff>
    </xdr:from>
    <xdr:to>
      <xdr:col>14</xdr:col>
      <xdr:colOff>19050</xdr:colOff>
      <xdr:row>37</xdr:row>
      <xdr:rowOff>140758</xdr:rowOff>
    </xdr:to>
    <xdr:graphicFrame macro="">
      <xdr:nvGraphicFramePr>
        <xdr:cNvPr id="7" name="Gráfico 6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7</xdr:col>
      <xdr:colOff>0</xdr:colOff>
      <xdr:row>0</xdr:row>
      <xdr:rowOff>127000</xdr:rowOff>
    </xdr:from>
    <xdr:to>
      <xdr:col>9</xdr:col>
      <xdr:colOff>136524</xdr:colOff>
      <xdr:row>4</xdr:row>
      <xdr:rowOff>95250</xdr:rowOff>
    </xdr:to>
    <xdr:sp macro="[0]!Salvar_previsão_10_e_fechar" textlink="">
      <xdr:nvSpPr>
        <xdr:cNvPr id="6" name="Bisel 5"/>
        <xdr:cNvSpPr/>
      </xdr:nvSpPr>
      <xdr:spPr bwMode="auto">
        <a:xfrm>
          <a:off x="4445000" y="127000"/>
          <a:ext cx="1364191" cy="603250"/>
        </a:xfrm>
        <a:prstGeom prst="bevel">
          <a:avLst/>
        </a:prstGeom>
        <a:solidFill>
          <a:schemeClr val="tx2">
            <a:lumMod val="60000"/>
            <a:lumOff val="40000"/>
          </a:schemeClr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horzOverflow="clip" wrap="square" lIns="18288" tIns="0" rIns="0" bIns="0" rtlCol="0" anchor="ctr" upright="1"/>
        <a:lstStyle/>
        <a:p>
          <a:pPr algn="ctr"/>
          <a:r>
            <a:rPr lang="pt-BR" sz="1100" b="1">
              <a:solidFill>
                <a:schemeClr val="bg1"/>
              </a:solidFill>
            </a:rPr>
            <a:t>Salvar e selecionar outra Bacia</a:t>
          </a:r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74083</xdr:colOff>
      <xdr:row>5</xdr:row>
      <xdr:rowOff>148167</xdr:rowOff>
    </xdr:from>
    <xdr:to>
      <xdr:col>13</xdr:col>
      <xdr:colOff>611716</xdr:colOff>
      <xdr:row>21</xdr:row>
      <xdr:rowOff>151342</xdr:rowOff>
    </xdr:to>
    <xdr:graphicFrame macro="">
      <xdr:nvGraphicFramePr>
        <xdr:cNvPr id="6" name="Gráfico 5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4</xdr:col>
      <xdr:colOff>0</xdr:colOff>
      <xdr:row>23</xdr:row>
      <xdr:rowOff>0</xdr:rowOff>
    </xdr:from>
    <xdr:to>
      <xdr:col>13</xdr:col>
      <xdr:colOff>537633</xdr:colOff>
      <xdr:row>39</xdr:row>
      <xdr:rowOff>3175</xdr:rowOff>
    </xdr:to>
    <xdr:graphicFrame macro="">
      <xdr:nvGraphicFramePr>
        <xdr:cNvPr id="7" name="Gráfico 6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4</xdr:col>
      <xdr:colOff>243387</xdr:colOff>
      <xdr:row>0</xdr:row>
      <xdr:rowOff>105834</xdr:rowOff>
    </xdr:from>
    <xdr:to>
      <xdr:col>6</xdr:col>
      <xdr:colOff>379911</xdr:colOff>
      <xdr:row>4</xdr:row>
      <xdr:rowOff>74084</xdr:rowOff>
    </xdr:to>
    <xdr:sp macro="[0]!Salvar_previsão_15" textlink="">
      <xdr:nvSpPr>
        <xdr:cNvPr id="5" name="Bisel 4"/>
        <xdr:cNvSpPr/>
      </xdr:nvSpPr>
      <xdr:spPr bwMode="auto">
        <a:xfrm>
          <a:off x="2910387" y="105834"/>
          <a:ext cx="1364191" cy="603250"/>
        </a:xfrm>
        <a:prstGeom prst="bevel">
          <a:avLst/>
        </a:prstGeom>
        <a:solidFill>
          <a:schemeClr val="tx2">
            <a:lumMod val="60000"/>
            <a:lumOff val="40000"/>
          </a:schemeClr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horzOverflow="clip" wrap="square" lIns="18288" tIns="0" rIns="0" bIns="0" rtlCol="0" anchor="ctr" upright="1"/>
        <a:lstStyle/>
        <a:p>
          <a:pPr algn="ctr"/>
          <a:r>
            <a:rPr lang="pt-BR" sz="1100" b="1">
              <a:solidFill>
                <a:schemeClr val="bg1"/>
              </a:solidFill>
            </a:rPr>
            <a:t>Salvar e continuar nesta Bacia</a:t>
          </a:r>
        </a:p>
      </xdr:txBody>
    </xdr:sp>
    <xdr:clientData/>
  </xdr:twoCellAnchor>
  <xdr:twoCellAnchor>
    <xdr:from>
      <xdr:col>7</xdr:col>
      <xdr:colOff>41245</xdr:colOff>
      <xdr:row>0</xdr:row>
      <xdr:rowOff>116417</xdr:rowOff>
    </xdr:from>
    <xdr:to>
      <xdr:col>9</xdr:col>
      <xdr:colOff>177769</xdr:colOff>
      <xdr:row>4</xdr:row>
      <xdr:rowOff>84667</xdr:rowOff>
    </xdr:to>
    <xdr:sp macro="[0]!Salvar_previsão_15_e_fechar" textlink="">
      <xdr:nvSpPr>
        <xdr:cNvPr id="8" name="Bisel 7"/>
        <xdr:cNvSpPr/>
      </xdr:nvSpPr>
      <xdr:spPr bwMode="auto">
        <a:xfrm>
          <a:off x="4549745" y="116417"/>
          <a:ext cx="1364191" cy="603250"/>
        </a:xfrm>
        <a:prstGeom prst="bevel">
          <a:avLst/>
        </a:prstGeom>
        <a:solidFill>
          <a:schemeClr val="tx2">
            <a:lumMod val="60000"/>
            <a:lumOff val="40000"/>
          </a:schemeClr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horzOverflow="clip" wrap="square" lIns="18288" tIns="0" rIns="0" bIns="0" rtlCol="0" anchor="ctr" upright="1"/>
        <a:lstStyle/>
        <a:p>
          <a:pPr algn="ctr"/>
          <a:r>
            <a:rPr lang="pt-BR" sz="1100" b="1">
              <a:solidFill>
                <a:schemeClr val="bg1"/>
              </a:solidFill>
            </a:rPr>
            <a:t>Salvar e selecionar outra Bacia</a:t>
          </a:r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104775</xdr:colOff>
      <xdr:row>4</xdr:row>
      <xdr:rowOff>123825</xdr:rowOff>
    </xdr:from>
    <xdr:to>
      <xdr:col>14</xdr:col>
      <xdr:colOff>70908</xdr:colOff>
      <xdr:row>20</xdr:row>
      <xdr:rowOff>76200</xdr:rowOff>
    </xdr:to>
    <xdr:graphicFrame macro="">
      <xdr:nvGraphicFramePr>
        <xdr:cNvPr id="5" name="Gráfico 4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4</xdr:col>
      <xdr:colOff>66675</xdr:colOff>
      <xdr:row>21</xdr:row>
      <xdr:rowOff>123825</xdr:rowOff>
    </xdr:from>
    <xdr:to>
      <xdr:col>14</xdr:col>
      <xdr:colOff>32808</xdr:colOff>
      <xdr:row>37</xdr:row>
      <xdr:rowOff>76200</xdr:rowOff>
    </xdr:to>
    <xdr:graphicFrame macro="">
      <xdr:nvGraphicFramePr>
        <xdr:cNvPr id="6" name="Gráfico 5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4</xdr:col>
      <xdr:colOff>228600</xdr:colOff>
      <xdr:row>0</xdr:row>
      <xdr:rowOff>95250</xdr:rowOff>
    </xdr:from>
    <xdr:to>
      <xdr:col>6</xdr:col>
      <xdr:colOff>373591</xdr:colOff>
      <xdr:row>4</xdr:row>
      <xdr:rowOff>50800</xdr:rowOff>
    </xdr:to>
    <xdr:sp macro="[0]!Salvar_previsão_09M" textlink="">
      <xdr:nvSpPr>
        <xdr:cNvPr id="7" name="Bisel 6"/>
        <xdr:cNvSpPr/>
      </xdr:nvSpPr>
      <xdr:spPr bwMode="auto">
        <a:xfrm>
          <a:off x="2867025" y="95250"/>
          <a:ext cx="1364191" cy="603250"/>
        </a:xfrm>
        <a:prstGeom prst="bevel">
          <a:avLst/>
        </a:prstGeom>
        <a:solidFill>
          <a:schemeClr val="tx2">
            <a:lumMod val="60000"/>
            <a:lumOff val="40000"/>
          </a:schemeClr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horzOverflow="clip" wrap="square" lIns="18288" tIns="0" rIns="0" bIns="0" rtlCol="0" anchor="ctr" upright="1"/>
        <a:lstStyle/>
        <a:p>
          <a:pPr algn="ctr"/>
          <a:r>
            <a:rPr lang="pt-BR" sz="1100" b="1">
              <a:solidFill>
                <a:schemeClr val="bg1"/>
              </a:solidFill>
            </a:rPr>
            <a:t>Salvar e continuar nesta Bacia</a:t>
          </a:r>
        </a:p>
      </xdr:txBody>
    </xdr:sp>
    <xdr:clientData/>
  </xdr:twoCellAnchor>
  <xdr:twoCellAnchor>
    <xdr:from>
      <xdr:col>7</xdr:col>
      <xdr:colOff>39158</xdr:colOff>
      <xdr:row>0</xdr:row>
      <xdr:rowOff>105833</xdr:rowOff>
    </xdr:from>
    <xdr:to>
      <xdr:col>9</xdr:col>
      <xdr:colOff>184149</xdr:colOff>
      <xdr:row>4</xdr:row>
      <xdr:rowOff>61383</xdr:rowOff>
    </xdr:to>
    <xdr:sp macro="[0]!Salvar_previsão_09M_e_fechar" textlink="">
      <xdr:nvSpPr>
        <xdr:cNvPr id="8" name="Bisel 7"/>
        <xdr:cNvSpPr/>
      </xdr:nvSpPr>
      <xdr:spPr bwMode="auto">
        <a:xfrm>
          <a:off x="4506383" y="105833"/>
          <a:ext cx="1364191" cy="603250"/>
        </a:xfrm>
        <a:prstGeom prst="bevel">
          <a:avLst/>
        </a:prstGeom>
        <a:solidFill>
          <a:schemeClr val="tx2">
            <a:lumMod val="60000"/>
            <a:lumOff val="40000"/>
          </a:schemeClr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horzOverflow="clip" wrap="square" lIns="18288" tIns="0" rIns="0" bIns="0" rtlCol="0" anchor="ctr" upright="1"/>
        <a:lstStyle/>
        <a:p>
          <a:pPr algn="ctr"/>
          <a:r>
            <a:rPr lang="pt-BR" sz="1100" b="1">
              <a:solidFill>
                <a:schemeClr val="bg1"/>
              </a:solidFill>
            </a:rPr>
            <a:t>Salvar e selecionar outra Bacia</a:t>
          </a:r>
        </a:p>
      </xdr:txBody>
    </xdr: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41</xdr:col>
      <xdr:colOff>25400</xdr:colOff>
      <xdr:row>43</xdr:row>
      <xdr:rowOff>19050</xdr:rowOff>
    </xdr:from>
    <xdr:to>
      <xdr:col>43</xdr:col>
      <xdr:colOff>571500</xdr:colOff>
      <xdr:row>60</xdr:row>
      <xdr:rowOff>127000</xdr:rowOff>
    </xdr:to>
    <xdr:graphicFrame macro="">
      <xdr:nvGraphicFramePr>
        <xdr:cNvPr id="3" name="Chart 4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41</xdr:col>
      <xdr:colOff>29369</xdr:colOff>
      <xdr:row>60</xdr:row>
      <xdr:rowOff>122238</xdr:rowOff>
    </xdr:from>
    <xdr:to>
      <xdr:col>41</xdr:col>
      <xdr:colOff>4810125</xdr:colOff>
      <xdr:row>68</xdr:row>
      <xdr:rowOff>0</xdr:rowOff>
    </xdr:to>
    <xdr:graphicFrame macro="">
      <xdr:nvGraphicFramePr>
        <xdr:cNvPr id="4" name="Chart 5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41</xdr:col>
      <xdr:colOff>4714875</xdr:colOff>
      <xdr:row>60</xdr:row>
      <xdr:rowOff>128586</xdr:rowOff>
    </xdr:from>
    <xdr:to>
      <xdr:col>43</xdr:col>
      <xdr:colOff>577055</xdr:colOff>
      <xdr:row>68</xdr:row>
      <xdr:rowOff>0</xdr:rowOff>
    </xdr:to>
    <xdr:graphicFrame macro="">
      <xdr:nvGraphicFramePr>
        <xdr:cNvPr id="5" name="Chart 6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41</xdr:col>
      <xdr:colOff>34925</xdr:colOff>
      <xdr:row>0</xdr:row>
      <xdr:rowOff>0</xdr:rowOff>
    </xdr:from>
    <xdr:to>
      <xdr:col>41</xdr:col>
      <xdr:colOff>3876675</xdr:colOff>
      <xdr:row>12</xdr:row>
      <xdr:rowOff>0</xdr:rowOff>
    </xdr:to>
    <xdr:graphicFrame macro="">
      <xdr:nvGraphicFramePr>
        <xdr:cNvPr id="7" name="Gráfico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absoluteAnchor>
    <xdr:pos x="22270436" y="2982647"/>
    <xdr:ext cx="6427028" cy="5319977"/>
    <xdr:graphicFrame macro="">
      <xdr:nvGraphicFramePr>
        <xdr:cNvPr id="9" name="Gráfico 8"/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absoluteAnchor>
  <xdr:twoCellAnchor>
    <xdr:from>
      <xdr:col>41</xdr:col>
      <xdr:colOff>96764</xdr:colOff>
      <xdr:row>50</xdr:row>
      <xdr:rowOff>111124</xdr:rowOff>
    </xdr:from>
    <xdr:to>
      <xdr:col>43</xdr:col>
      <xdr:colOff>1660072</xdr:colOff>
      <xdr:row>88</xdr:row>
      <xdr:rowOff>90713</xdr:rowOff>
    </xdr:to>
    <xdr:graphicFrame macro="">
      <xdr:nvGraphicFramePr>
        <xdr:cNvPr id="10" name="Gráfico 9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43</xdr:col>
      <xdr:colOff>0</xdr:colOff>
      <xdr:row>0</xdr:row>
      <xdr:rowOff>0</xdr:rowOff>
    </xdr:from>
    <xdr:to>
      <xdr:col>43</xdr:col>
      <xdr:colOff>2228850</xdr:colOff>
      <xdr:row>12</xdr:row>
      <xdr:rowOff>0</xdr:rowOff>
    </xdr:to>
    <xdr:graphicFrame macro="">
      <xdr:nvGraphicFramePr>
        <xdr:cNvPr id="11" name="Chart 7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42</xdr:col>
      <xdr:colOff>0</xdr:colOff>
      <xdr:row>0</xdr:row>
      <xdr:rowOff>0</xdr:rowOff>
    </xdr:from>
    <xdr:to>
      <xdr:col>43</xdr:col>
      <xdr:colOff>0</xdr:colOff>
      <xdr:row>12</xdr:row>
      <xdr:rowOff>0</xdr:rowOff>
    </xdr:to>
    <xdr:graphicFrame macro="">
      <xdr:nvGraphicFramePr>
        <xdr:cNvPr id="12" name="Chart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41</xdr:col>
      <xdr:colOff>25400</xdr:colOff>
      <xdr:row>43</xdr:row>
      <xdr:rowOff>19050</xdr:rowOff>
    </xdr:from>
    <xdr:to>
      <xdr:col>43</xdr:col>
      <xdr:colOff>571500</xdr:colOff>
      <xdr:row>60</xdr:row>
      <xdr:rowOff>127000</xdr:rowOff>
    </xdr:to>
    <xdr:graphicFrame macro="">
      <xdr:nvGraphicFramePr>
        <xdr:cNvPr id="2" name="Chart 4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41</xdr:col>
      <xdr:colOff>29369</xdr:colOff>
      <xdr:row>60</xdr:row>
      <xdr:rowOff>122238</xdr:rowOff>
    </xdr:from>
    <xdr:to>
      <xdr:col>41</xdr:col>
      <xdr:colOff>4810125</xdr:colOff>
      <xdr:row>68</xdr:row>
      <xdr:rowOff>0</xdr:rowOff>
    </xdr:to>
    <xdr:graphicFrame macro="">
      <xdr:nvGraphicFramePr>
        <xdr:cNvPr id="3" name="Chart 5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41</xdr:col>
      <xdr:colOff>4714875</xdr:colOff>
      <xdr:row>60</xdr:row>
      <xdr:rowOff>128586</xdr:rowOff>
    </xdr:from>
    <xdr:to>
      <xdr:col>43</xdr:col>
      <xdr:colOff>577055</xdr:colOff>
      <xdr:row>68</xdr:row>
      <xdr:rowOff>0</xdr:rowOff>
    </xdr:to>
    <xdr:graphicFrame macro="">
      <xdr:nvGraphicFramePr>
        <xdr:cNvPr id="4" name="Chart 6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41</xdr:col>
      <xdr:colOff>34925</xdr:colOff>
      <xdr:row>0</xdr:row>
      <xdr:rowOff>0</xdr:rowOff>
    </xdr:from>
    <xdr:to>
      <xdr:col>41</xdr:col>
      <xdr:colOff>3876675</xdr:colOff>
      <xdr:row>12</xdr:row>
      <xdr:rowOff>0</xdr:rowOff>
    </xdr:to>
    <xdr:graphicFrame macro="">
      <xdr:nvGraphicFramePr>
        <xdr:cNvPr id="5" name="Gráfico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absoluteAnchor>
    <xdr:pos x="22270436" y="2982647"/>
    <xdr:ext cx="6427028" cy="5319977"/>
    <xdr:graphicFrame macro="">
      <xdr:nvGraphicFramePr>
        <xdr:cNvPr id="6" name="Gráfico 5"/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absoluteAnchor>
  <xdr:twoCellAnchor>
    <xdr:from>
      <xdr:col>41</xdr:col>
      <xdr:colOff>790729</xdr:colOff>
      <xdr:row>12</xdr:row>
      <xdr:rowOff>43089</xdr:rowOff>
    </xdr:from>
    <xdr:to>
      <xdr:col>47</xdr:col>
      <xdr:colOff>40823</xdr:colOff>
      <xdr:row>47</xdr:row>
      <xdr:rowOff>90715</xdr:rowOff>
    </xdr:to>
    <xdr:graphicFrame macro="">
      <xdr:nvGraphicFramePr>
        <xdr:cNvPr id="7" name="Gráfico 6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43</xdr:col>
      <xdr:colOff>0</xdr:colOff>
      <xdr:row>0</xdr:row>
      <xdr:rowOff>0</xdr:rowOff>
    </xdr:from>
    <xdr:to>
      <xdr:col>43</xdr:col>
      <xdr:colOff>2228850</xdr:colOff>
      <xdr:row>12</xdr:row>
      <xdr:rowOff>0</xdr:rowOff>
    </xdr:to>
    <xdr:graphicFrame macro="">
      <xdr:nvGraphicFramePr>
        <xdr:cNvPr id="8" name="Chart 7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42</xdr:col>
      <xdr:colOff>0</xdr:colOff>
      <xdr:row>0</xdr:row>
      <xdr:rowOff>0</xdr:rowOff>
    </xdr:from>
    <xdr:to>
      <xdr:col>43</xdr:col>
      <xdr:colOff>0</xdr:colOff>
      <xdr:row>12</xdr:row>
      <xdr:rowOff>0</xdr:rowOff>
    </xdr:to>
    <xdr:graphicFrame macro="">
      <xdr:nvGraphicFramePr>
        <xdr:cNvPr id="9" name="Chart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41</xdr:col>
      <xdr:colOff>25400</xdr:colOff>
      <xdr:row>43</xdr:row>
      <xdr:rowOff>19050</xdr:rowOff>
    </xdr:from>
    <xdr:to>
      <xdr:col>43</xdr:col>
      <xdr:colOff>571500</xdr:colOff>
      <xdr:row>60</xdr:row>
      <xdr:rowOff>127000</xdr:rowOff>
    </xdr:to>
    <xdr:graphicFrame macro="">
      <xdr:nvGraphicFramePr>
        <xdr:cNvPr id="2" name="Chart 4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41</xdr:col>
      <xdr:colOff>29369</xdr:colOff>
      <xdr:row>60</xdr:row>
      <xdr:rowOff>122238</xdr:rowOff>
    </xdr:from>
    <xdr:to>
      <xdr:col>41</xdr:col>
      <xdr:colOff>4810125</xdr:colOff>
      <xdr:row>68</xdr:row>
      <xdr:rowOff>0</xdr:rowOff>
    </xdr:to>
    <xdr:graphicFrame macro="">
      <xdr:nvGraphicFramePr>
        <xdr:cNvPr id="3" name="Chart 5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41</xdr:col>
      <xdr:colOff>4714875</xdr:colOff>
      <xdr:row>60</xdr:row>
      <xdr:rowOff>128586</xdr:rowOff>
    </xdr:from>
    <xdr:to>
      <xdr:col>43</xdr:col>
      <xdr:colOff>577055</xdr:colOff>
      <xdr:row>68</xdr:row>
      <xdr:rowOff>0</xdr:rowOff>
    </xdr:to>
    <xdr:graphicFrame macro="">
      <xdr:nvGraphicFramePr>
        <xdr:cNvPr id="4" name="Chart 6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41</xdr:col>
      <xdr:colOff>34925</xdr:colOff>
      <xdr:row>0</xdr:row>
      <xdr:rowOff>0</xdr:rowOff>
    </xdr:from>
    <xdr:to>
      <xdr:col>41</xdr:col>
      <xdr:colOff>3876675</xdr:colOff>
      <xdr:row>12</xdr:row>
      <xdr:rowOff>0</xdr:rowOff>
    </xdr:to>
    <xdr:graphicFrame macro="">
      <xdr:nvGraphicFramePr>
        <xdr:cNvPr id="5" name="Gráfico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absoluteAnchor>
    <xdr:pos x="22270436" y="2982647"/>
    <xdr:ext cx="6427028" cy="5319977"/>
    <xdr:graphicFrame macro="">
      <xdr:nvGraphicFramePr>
        <xdr:cNvPr id="6" name="Gráfico 5"/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absoluteAnchor>
  <xdr:twoCellAnchor>
    <xdr:from>
      <xdr:col>41</xdr:col>
      <xdr:colOff>205621</xdr:colOff>
      <xdr:row>24</xdr:row>
      <xdr:rowOff>43090</xdr:rowOff>
    </xdr:from>
    <xdr:to>
      <xdr:col>46</xdr:col>
      <xdr:colOff>68036</xdr:colOff>
      <xdr:row>60</xdr:row>
      <xdr:rowOff>90715</xdr:rowOff>
    </xdr:to>
    <xdr:graphicFrame macro="">
      <xdr:nvGraphicFramePr>
        <xdr:cNvPr id="7" name="Gráfico 6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43</xdr:col>
      <xdr:colOff>0</xdr:colOff>
      <xdr:row>0</xdr:row>
      <xdr:rowOff>0</xdr:rowOff>
    </xdr:from>
    <xdr:to>
      <xdr:col>43</xdr:col>
      <xdr:colOff>2228850</xdr:colOff>
      <xdr:row>12</xdr:row>
      <xdr:rowOff>0</xdr:rowOff>
    </xdr:to>
    <xdr:graphicFrame macro="">
      <xdr:nvGraphicFramePr>
        <xdr:cNvPr id="8" name="Chart 7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42</xdr:col>
      <xdr:colOff>0</xdr:colOff>
      <xdr:row>0</xdr:row>
      <xdr:rowOff>0</xdr:rowOff>
    </xdr:from>
    <xdr:to>
      <xdr:col>43</xdr:col>
      <xdr:colOff>0</xdr:colOff>
      <xdr:row>12</xdr:row>
      <xdr:rowOff>0</xdr:rowOff>
    </xdr:to>
    <xdr:graphicFrame macro="">
      <xdr:nvGraphicFramePr>
        <xdr:cNvPr id="9" name="Chart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33</xdr:col>
      <xdr:colOff>95250</xdr:colOff>
      <xdr:row>0</xdr:row>
      <xdr:rowOff>9525</xdr:rowOff>
    </xdr:from>
    <xdr:to>
      <xdr:col>34</xdr:col>
      <xdr:colOff>1552575</xdr:colOff>
      <xdr:row>10</xdr:row>
      <xdr:rowOff>85725</xdr:rowOff>
    </xdr:to>
    <xdr:graphicFrame macro="">
      <xdr:nvGraphicFramePr>
        <xdr:cNvPr id="2" name="Chart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0</xdr:col>
      <xdr:colOff>0</xdr:colOff>
      <xdr:row>0</xdr:row>
      <xdr:rowOff>0</xdr:rowOff>
    </xdr:from>
    <xdr:to>
      <xdr:col>2</xdr:col>
      <xdr:colOff>219075</xdr:colOff>
      <xdr:row>2</xdr:row>
      <xdr:rowOff>38100</xdr:rowOff>
    </xdr:to>
    <xdr:pic>
      <xdr:nvPicPr>
        <xdr:cNvPr id="3" name="Picture 3"/>
        <xdr:cNvPicPr>
          <a:picLocks noChangeAspect="1" noChangeArrowheads="1"/>
        </xdr:cNvPicPr>
      </xdr:nvPicPr>
      <xdr:blipFill>
        <a:blip xmlns:r="http://schemas.openxmlformats.org/officeDocument/2006/relationships" r:embed="rId2" cstate="print"/>
        <a:srcRect/>
        <a:stretch>
          <a:fillRect/>
        </a:stretch>
      </xdr:blipFill>
      <xdr:spPr bwMode="auto">
        <a:xfrm>
          <a:off x="0" y="0"/>
          <a:ext cx="1438275" cy="3619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>
    <xdr:from>
      <xdr:col>33</xdr:col>
      <xdr:colOff>9525</xdr:colOff>
      <xdr:row>23</xdr:row>
      <xdr:rowOff>66675</xdr:rowOff>
    </xdr:from>
    <xdr:to>
      <xdr:col>34</xdr:col>
      <xdr:colOff>0</xdr:colOff>
      <xdr:row>40</xdr:row>
      <xdr:rowOff>9525</xdr:rowOff>
    </xdr:to>
    <xdr:graphicFrame macro="">
      <xdr:nvGraphicFramePr>
        <xdr:cNvPr id="4" name="Chart 4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33</xdr:col>
      <xdr:colOff>9525</xdr:colOff>
      <xdr:row>40</xdr:row>
      <xdr:rowOff>19050</xdr:rowOff>
    </xdr:from>
    <xdr:to>
      <xdr:col>34</xdr:col>
      <xdr:colOff>9525</xdr:colOff>
      <xdr:row>53</xdr:row>
      <xdr:rowOff>9525</xdr:rowOff>
    </xdr:to>
    <xdr:graphicFrame macro="">
      <xdr:nvGraphicFramePr>
        <xdr:cNvPr id="5" name="Chart 5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33</xdr:col>
      <xdr:colOff>9525</xdr:colOff>
      <xdr:row>52</xdr:row>
      <xdr:rowOff>200025</xdr:rowOff>
    </xdr:from>
    <xdr:to>
      <xdr:col>34</xdr:col>
      <xdr:colOff>9525</xdr:colOff>
      <xdr:row>64</xdr:row>
      <xdr:rowOff>9525</xdr:rowOff>
    </xdr:to>
    <xdr:graphicFrame macro="">
      <xdr:nvGraphicFramePr>
        <xdr:cNvPr id="6" name="Chart 6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33</xdr:col>
      <xdr:colOff>142875</xdr:colOff>
      <xdr:row>10</xdr:row>
      <xdr:rowOff>85725</xdr:rowOff>
    </xdr:from>
    <xdr:to>
      <xdr:col>34</xdr:col>
      <xdr:colOff>1552575</xdr:colOff>
      <xdr:row>23</xdr:row>
      <xdr:rowOff>57150</xdr:rowOff>
    </xdr:to>
    <xdr:graphicFrame macro="">
      <xdr:nvGraphicFramePr>
        <xdr:cNvPr id="7" name="Chart 7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32</xdr:col>
      <xdr:colOff>107155</xdr:colOff>
      <xdr:row>0</xdr:row>
      <xdr:rowOff>0</xdr:rowOff>
    </xdr:from>
    <xdr:to>
      <xdr:col>35</xdr:col>
      <xdr:colOff>35718</xdr:colOff>
      <xdr:row>24</xdr:row>
      <xdr:rowOff>35719</xdr:rowOff>
    </xdr:to>
    <xdr:graphicFrame macro="">
      <xdr:nvGraphicFramePr>
        <xdr:cNvPr id="8" name="Gráfico 7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34</xdr:col>
      <xdr:colOff>95250</xdr:colOff>
      <xdr:row>0</xdr:row>
      <xdr:rowOff>9525</xdr:rowOff>
    </xdr:from>
    <xdr:to>
      <xdr:col>35</xdr:col>
      <xdr:colOff>1552575</xdr:colOff>
      <xdr:row>10</xdr:row>
      <xdr:rowOff>85725</xdr:rowOff>
    </xdr:to>
    <xdr:graphicFrame macro="">
      <xdr:nvGraphicFramePr>
        <xdr:cNvPr id="2" name="Chart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0</xdr:col>
      <xdr:colOff>0</xdr:colOff>
      <xdr:row>0</xdr:row>
      <xdr:rowOff>0</xdr:rowOff>
    </xdr:from>
    <xdr:to>
      <xdr:col>2</xdr:col>
      <xdr:colOff>219075</xdr:colOff>
      <xdr:row>2</xdr:row>
      <xdr:rowOff>38100</xdr:rowOff>
    </xdr:to>
    <xdr:pic>
      <xdr:nvPicPr>
        <xdr:cNvPr id="3" name="Picture 3"/>
        <xdr:cNvPicPr>
          <a:picLocks noChangeAspect="1" noChangeArrowheads="1"/>
        </xdr:cNvPicPr>
      </xdr:nvPicPr>
      <xdr:blipFill>
        <a:blip xmlns:r="http://schemas.openxmlformats.org/officeDocument/2006/relationships" r:embed="rId2" cstate="print"/>
        <a:srcRect/>
        <a:stretch>
          <a:fillRect/>
        </a:stretch>
      </xdr:blipFill>
      <xdr:spPr bwMode="auto">
        <a:xfrm>
          <a:off x="0" y="0"/>
          <a:ext cx="1438275" cy="3619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>
    <xdr:from>
      <xdr:col>34</xdr:col>
      <xdr:colOff>9525</xdr:colOff>
      <xdr:row>23</xdr:row>
      <xdr:rowOff>66675</xdr:rowOff>
    </xdr:from>
    <xdr:to>
      <xdr:col>35</xdr:col>
      <xdr:colOff>0</xdr:colOff>
      <xdr:row>40</xdr:row>
      <xdr:rowOff>9525</xdr:rowOff>
    </xdr:to>
    <xdr:graphicFrame macro="">
      <xdr:nvGraphicFramePr>
        <xdr:cNvPr id="4" name="Chart 4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34</xdr:col>
      <xdr:colOff>9525</xdr:colOff>
      <xdr:row>40</xdr:row>
      <xdr:rowOff>19050</xdr:rowOff>
    </xdr:from>
    <xdr:to>
      <xdr:col>35</xdr:col>
      <xdr:colOff>9525</xdr:colOff>
      <xdr:row>53</xdr:row>
      <xdr:rowOff>9525</xdr:rowOff>
    </xdr:to>
    <xdr:graphicFrame macro="">
      <xdr:nvGraphicFramePr>
        <xdr:cNvPr id="5" name="Chart 5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34</xdr:col>
      <xdr:colOff>9525</xdr:colOff>
      <xdr:row>52</xdr:row>
      <xdr:rowOff>200025</xdr:rowOff>
    </xdr:from>
    <xdr:to>
      <xdr:col>35</xdr:col>
      <xdr:colOff>9525</xdr:colOff>
      <xdr:row>64</xdr:row>
      <xdr:rowOff>9525</xdr:rowOff>
    </xdr:to>
    <xdr:graphicFrame macro="">
      <xdr:nvGraphicFramePr>
        <xdr:cNvPr id="6" name="Chart 6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34</xdr:col>
      <xdr:colOff>142875</xdr:colOff>
      <xdr:row>10</xdr:row>
      <xdr:rowOff>85725</xdr:rowOff>
    </xdr:from>
    <xdr:to>
      <xdr:col>35</xdr:col>
      <xdr:colOff>1552575</xdr:colOff>
      <xdr:row>23</xdr:row>
      <xdr:rowOff>57150</xdr:rowOff>
    </xdr:to>
    <xdr:graphicFrame macro="">
      <xdr:nvGraphicFramePr>
        <xdr:cNvPr id="7" name="Chart 7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33</xdr:col>
      <xdr:colOff>107155</xdr:colOff>
      <xdr:row>0</xdr:row>
      <xdr:rowOff>0</xdr:rowOff>
    </xdr:from>
    <xdr:to>
      <xdr:col>36</xdr:col>
      <xdr:colOff>35718</xdr:colOff>
      <xdr:row>24</xdr:row>
      <xdr:rowOff>35719</xdr:rowOff>
    </xdr:to>
    <xdr:graphicFrame macro="">
      <xdr:nvGraphicFramePr>
        <xdr:cNvPr id="8" name="Gráfico 7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5</xdr:col>
      <xdr:colOff>251732</xdr:colOff>
      <xdr:row>17</xdr:row>
      <xdr:rowOff>118381</xdr:rowOff>
    </xdr:from>
    <xdr:to>
      <xdr:col>12</xdr:col>
      <xdr:colOff>374196</xdr:colOff>
      <xdr:row>34</xdr:row>
      <xdr:rowOff>85724</xdr:rowOff>
    </xdr:to>
    <xdr:graphicFrame macro="">
      <xdr:nvGraphicFramePr>
        <xdr:cNvPr id="9" name="Gráfico 8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</xdr:wsDr>
</file>

<file path=xl/queryTables/queryTable1.xml><?xml version="1.0" encoding="utf-8"?>
<queryTable xmlns="http://schemas.openxmlformats.org/spreadsheetml/2006/main" name="parametros_15" growShrinkType="overwriteClear" preserveFormatting="0" connectionId="198" autoFormatId="0" applyNumberFormats="0" applyBorderFormats="0" applyFontFormats="1" applyPatternFormats="1" applyAlignmentFormats="0" applyWidthHeightFormats="0"/>
</file>

<file path=xl/queryTables/queryTable2.xml><?xml version="1.0" encoding="utf-8"?>
<queryTable xmlns="http://schemas.openxmlformats.org/spreadsheetml/2006/main" name="parametros_7" growShrinkType="overwriteClear" preserveFormatting="0" connectionId="190" autoFormatId="0" applyNumberFormats="0" applyBorderFormats="0" applyFontFormats="1" applyPatternFormats="1" applyAlignmentFormats="0" applyWidthHeightFormats="0"/>
</file>

<file path=xl/queryTables/queryTable3.xml><?xml version="1.0" encoding="utf-8"?>
<queryTable xmlns="http://schemas.openxmlformats.org/spreadsheetml/2006/main" name="parametros_16" growShrinkType="overwriteClear" preserveFormatting="0" connectionId="197" autoFormatId="0" applyNumberFormats="0" applyBorderFormats="0" applyFontFormats="1" applyPatternFormats="1" applyAlignmentFormats="0" applyWidthHeightFormats="0"/>
</file>

<file path=xl/queryTables/queryTable4.xml><?xml version="1.0" encoding="utf-8"?>
<queryTable xmlns="http://schemas.openxmlformats.org/spreadsheetml/2006/main" name="parametros_11" growShrinkType="overwriteClear" preserveFormatting="0" connectionId="194" autoFormatId="0" applyNumberFormats="0" applyBorderFormats="0" applyFontFormats="1" applyPatternFormats="1" applyAlignmentFormats="0" applyWidthHeightFormats="0"/>
</file>

<file path=xl/queryTables/queryTable5.xml><?xml version="1.0" encoding="utf-8"?>
<queryTable xmlns="http://schemas.openxmlformats.org/spreadsheetml/2006/main" name="parametros_1" growShrinkType="overwriteClear" preserveFormatting="0" connectionId="203" autoFormatId="0" applyNumberFormats="0" applyBorderFormats="0" applyFontFormats="1" applyPatternFormats="1" applyAlignmentFormats="0" applyWidthHeightFormats="0"/>
</file>

<file path=xl/queryTables/queryTable6.xml><?xml version="1.0" encoding="utf-8"?>
<queryTable xmlns="http://schemas.openxmlformats.org/spreadsheetml/2006/main" name="parametros_13" growShrinkType="overwriteClear" preserveFormatting="0" connectionId="187" autoFormatId="0" applyNumberFormats="0" applyBorderFormats="0" applyFontFormats="1" applyPatternFormats="1" applyAlignmentFormats="0" applyWidthHeightFormats="0"/>
</file>

<file path=xl/queryTables/queryTable7.xml><?xml version="1.0" encoding="utf-8"?>
<queryTable xmlns="http://schemas.openxmlformats.org/spreadsheetml/2006/main" name="parametros_12" growShrinkType="overwriteClear" preserveFormatting="0" connectionId="195" autoFormatId="0" applyNumberFormats="0" applyBorderFormats="0" applyFontFormats="1" applyPatternFormats="1" applyAlignmentFormats="0" applyWidthHeightFormats="0"/>
</file>

<file path=xl/queryTables/queryTable8.xml><?xml version="1.0" encoding="utf-8"?>
<queryTable xmlns="http://schemas.openxmlformats.org/spreadsheetml/2006/main" name="parametros_8" growShrinkType="overwriteClear" preserveFormatting="0" connectionId="191" autoFormatId="0" applyNumberFormats="0" applyBorderFormats="0" applyFontFormats="1" applyPatternFormats="1" applyAlignmentFormats="0" applyWidthHeightFormats="0"/>
</file>

<file path=xl/queryTables/queryTable9.xml><?xml version="1.0" encoding="utf-8"?>
<queryTable xmlns="http://schemas.openxmlformats.org/spreadsheetml/2006/main" name="parametros_4" growShrinkType="overwriteClear" preserveFormatting="0" connectionId="186" autoFormatId="0" applyNumberFormats="0" applyBorderFormats="0" applyFontFormats="1" applyPatternFormats="1" applyAlignmentFormats="0" applyWidthHeightFormats="0"/>
</file>

<file path=xl/queryTables/queryTable10.xml><?xml version="1.0" encoding="utf-8"?>
<queryTable xmlns="http://schemas.openxmlformats.org/spreadsheetml/2006/main" name="parametros_20" growShrinkType="overwriteClear" preserveFormatting="0" connectionId="196" autoFormatId="0" applyNumberFormats="0" applyBorderFormats="0" applyFontFormats="1" applyPatternFormats="1" applyAlignmentFormats="0" applyWidthHeightFormats="0"/>
</file>

<file path=xl/queryTables/queryTable11.xml><?xml version="1.0" encoding="utf-8"?>
<queryTable xmlns="http://schemas.openxmlformats.org/spreadsheetml/2006/main" name="parametros_2" growShrinkType="overwriteClear" preserveFormatting="0" connectionId="204" autoFormatId="0" applyNumberFormats="0" applyBorderFormats="0" applyFontFormats="1" applyPatternFormats="1" applyAlignmentFormats="0" applyWidthHeightFormats="0"/>
</file>

<file path=xl/queryTables/queryTable12.xml><?xml version="1.0" encoding="utf-8"?>
<queryTable xmlns="http://schemas.openxmlformats.org/spreadsheetml/2006/main" name="parametros_18" growShrinkType="overwriteClear" preserveFormatting="0" connectionId="200" autoFormatId="0" applyNumberFormats="0" applyBorderFormats="0" applyFontFormats="1" applyPatternFormats="1" applyAlignmentFormats="0" applyWidthHeightFormats="0"/>
</file>

<file path=xl/queryTables/queryTable13.xml><?xml version="1.0" encoding="utf-8"?>
<queryTable xmlns="http://schemas.openxmlformats.org/spreadsheetml/2006/main" name="parametros_5" growShrinkType="overwriteClear" preserveFormatting="0" connectionId="188" autoFormatId="0" applyNumberFormats="0" applyBorderFormats="0" applyFontFormats="1" applyPatternFormats="1" applyAlignmentFormats="0" applyWidthHeightFormats="0"/>
</file>

<file path=xl/queryTables/queryTable14.xml><?xml version="1.0" encoding="utf-8"?>
<queryTable xmlns="http://schemas.openxmlformats.org/spreadsheetml/2006/main" name="parametros_19" growShrinkType="overwriteClear" preserveFormatting="0" connectionId="201" autoFormatId="0" applyNumberFormats="0" applyBorderFormats="0" applyFontFormats="1" applyPatternFormats="1" applyAlignmentFormats="0" applyWidthHeightFormats="0"/>
</file>

<file path=xl/queryTables/queryTable15.xml><?xml version="1.0" encoding="utf-8"?>
<queryTable xmlns="http://schemas.openxmlformats.org/spreadsheetml/2006/main" name="parametros_17" growShrinkType="overwriteClear" preserveFormatting="0" connectionId="199" autoFormatId="0" applyNumberFormats="0" applyBorderFormats="0" applyFontFormats="1" applyPatternFormats="1" applyAlignmentFormats="0" applyWidthHeightFormats="0"/>
</file>

<file path=xl/queryTables/queryTable16.xml><?xml version="1.0" encoding="utf-8"?>
<queryTable xmlns="http://schemas.openxmlformats.org/spreadsheetml/2006/main" name="parametros_21" growShrinkType="overwriteClear" preserveFormatting="0" connectionId="205" autoFormatId="0" applyNumberFormats="0" applyBorderFormats="0" applyFontFormats="1" applyPatternFormats="1" applyAlignmentFormats="0" applyWidthHeightFormats="0"/>
</file>

<file path=xl/queryTables/queryTable17.xml><?xml version="1.0" encoding="utf-8"?>
<queryTable xmlns="http://schemas.openxmlformats.org/spreadsheetml/2006/main" name="parametros_3" growShrinkType="overwriteClear" preserveFormatting="0" connectionId="185" autoFormatId="0" applyNumberFormats="0" applyBorderFormats="0" applyFontFormats="1" applyPatternFormats="1" applyAlignmentFormats="0" applyWidthHeightFormats="0"/>
</file>

<file path=xl/queryTables/queryTable18.xml><?xml version="1.0" encoding="utf-8"?>
<queryTable xmlns="http://schemas.openxmlformats.org/spreadsheetml/2006/main" name="parametros" growShrinkType="overwriteClear" preserveFormatting="0" connectionId="202" autoFormatId="0" applyNumberFormats="0" applyBorderFormats="0" applyFontFormats="1" applyPatternFormats="1" applyAlignmentFormats="0" applyWidthHeightFormats="0"/>
</file>

<file path=xl/queryTables/queryTable19.xml><?xml version="1.0" encoding="utf-8"?>
<queryTable xmlns="http://schemas.openxmlformats.org/spreadsheetml/2006/main" name="parametros_6" growShrinkType="overwriteClear" preserveFormatting="0" connectionId="189" autoFormatId="0" applyNumberFormats="0" applyBorderFormats="0" applyFontFormats="1" applyPatternFormats="1" applyAlignmentFormats="0" applyWidthHeightFormats="0"/>
</file>

<file path=xl/queryTables/queryTable20.xml><?xml version="1.0" encoding="utf-8"?>
<queryTable xmlns="http://schemas.openxmlformats.org/spreadsheetml/2006/main" name="chuva_grade_grande.bacia_11" connectionId="19" autoFormatId="16" applyNumberFormats="0" applyBorderFormats="0" applyFontFormats="1" applyPatternFormats="1" applyAlignmentFormats="0" applyWidthHeightFormats="0"/>
</file>

<file path=xl/queryTables/queryTable21.xml><?xml version="1.0" encoding="utf-8"?>
<queryTable xmlns="http://schemas.openxmlformats.org/spreadsheetml/2006/main" name="chuva_grade_grande.bacia_4" connectionId="21" autoFormatId="16" applyNumberFormats="0" applyBorderFormats="0" applyFontFormats="1" applyPatternFormats="1" applyAlignmentFormats="0" applyWidthHeightFormats="0"/>
</file>

<file path=xl/queryTables/queryTable22.xml><?xml version="1.0" encoding="utf-8"?>
<queryTable xmlns="http://schemas.openxmlformats.org/spreadsheetml/2006/main" name="chuva_grade_grande.bacia_1" connectionId="23" autoFormatId="16" applyNumberFormats="0" applyBorderFormats="0" applyFontFormats="1" applyPatternFormats="1" applyAlignmentFormats="0" applyWidthHeightFormats="0"/>
</file>

<file path=xl/queryTables/queryTable23.xml><?xml version="1.0" encoding="utf-8"?>
<queryTable xmlns="http://schemas.openxmlformats.org/spreadsheetml/2006/main" name="chuva_eta_grande.bacia_1" connectionId="2" autoFormatId="16" applyNumberFormats="0" applyBorderFormats="0" applyFontFormats="1" applyPatternFormats="1" applyAlignmentFormats="0" applyWidthHeightFormats="0"/>
</file>

<file path=xl/queryTables/queryTable24.xml><?xml version="1.0" encoding="utf-8"?>
<queryTable xmlns="http://schemas.openxmlformats.org/spreadsheetml/2006/main" name="chuva_grade_grande.bacia_10" connectionId="18" autoFormatId="16" applyNumberFormats="0" applyBorderFormats="0" applyFontFormats="1" applyPatternFormats="1" applyAlignmentFormats="0" applyWidthHeightFormats="0"/>
</file>

<file path=xl/queryTables/queryTable25.xml><?xml version="1.0" encoding="utf-8"?>
<queryTable xmlns="http://schemas.openxmlformats.org/spreadsheetml/2006/main" name="chuva_grade_grande.bacia_3" connectionId="20" autoFormatId="16" applyNumberFormats="0" applyBorderFormats="0" applyFontFormats="1" applyPatternFormats="1" applyAlignmentFormats="0" applyWidthHeightFormats="0"/>
</file>

<file path=xl/queryTables/queryTable26.xml><?xml version="1.0" encoding="utf-8"?>
<queryTable xmlns="http://schemas.openxmlformats.org/spreadsheetml/2006/main" name="chuva_grade_grande.bacia_7" connectionId="25" autoFormatId="16" applyNumberFormats="0" applyBorderFormats="0" applyFontFormats="1" applyPatternFormats="1" applyAlignmentFormats="0" applyWidthHeightFormats="0"/>
</file>

<file path=xl/queryTables/queryTable27.xml><?xml version="1.0" encoding="utf-8"?>
<queryTable xmlns="http://schemas.openxmlformats.org/spreadsheetml/2006/main" name="chuva_grade_grande.bacia_5" connectionId="22" autoFormatId="16" applyNumberFormats="0" applyBorderFormats="0" applyFontFormats="1" applyPatternFormats="1" applyAlignmentFormats="0" applyWidthHeightFormats="0"/>
</file>

<file path=xl/queryTables/queryTable28.xml><?xml version="1.0" encoding="utf-8"?>
<queryTable xmlns="http://schemas.openxmlformats.org/spreadsheetml/2006/main" name="chuva_grade_grande.bacia_9" connectionId="27" autoFormatId="16" applyNumberFormats="0" applyBorderFormats="0" applyFontFormats="1" applyPatternFormats="1" applyAlignmentFormats="0" applyWidthHeightFormats="0"/>
</file>

<file path=xl/queryTables/queryTable29.xml><?xml version="1.0" encoding="utf-8"?>
<queryTable xmlns="http://schemas.openxmlformats.org/spreadsheetml/2006/main" name="chuva_eta_grande.bacia_2" connectionId="3" autoFormatId="16" applyNumberFormats="0" applyBorderFormats="0" applyFontFormats="1" applyPatternFormats="1" applyAlignmentFormats="0" applyWidthHeightFormats="0"/>
</file>

<file path=xl/queryTables/queryTable30.xml><?xml version="1.0" encoding="utf-8"?>
<queryTable xmlns="http://schemas.openxmlformats.org/spreadsheetml/2006/main" name="chuva_grade_grande.bacia_2" connectionId="17" autoFormatId="16" applyNumberFormats="0" applyBorderFormats="0" applyFontFormats="1" applyPatternFormats="1" applyAlignmentFormats="0" applyWidthHeightFormats="0"/>
</file>

<file path=xl/queryTables/queryTable31.xml><?xml version="1.0" encoding="utf-8"?>
<queryTable xmlns="http://schemas.openxmlformats.org/spreadsheetml/2006/main" name="chuva_grade_grande.bacia_6" connectionId="24" autoFormatId="16" applyNumberFormats="0" applyBorderFormats="0" applyFontFormats="1" applyPatternFormats="1" applyAlignmentFormats="0" applyWidthHeightFormats="0"/>
</file>

<file path=xl/queryTables/queryTable32.xml><?xml version="1.0" encoding="utf-8"?>
<queryTable xmlns="http://schemas.openxmlformats.org/spreadsheetml/2006/main" name="chuva_eta_grande.bacia_3" connectionId="4" autoFormatId="16" applyNumberFormats="0" applyBorderFormats="0" applyFontFormats="1" applyPatternFormats="1" applyAlignmentFormats="0" applyWidthHeightFormats="0"/>
</file>

<file path=xl/theme/theme1.xml><?xml version="1.0" encoding="utf-8"?>
<a:theme xmlns:a="http://schemas.openxmlformats.org/drawingml/2006/main" name="Tema do Office">
  <a:themeElements>
    <a:clrScheme name="Escritório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Escritório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Escritório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lnDef>
  </a:objectDefaults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.xml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1.bin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2.bin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3.bin"/></Relationships>
</file>

<file path=xl/worksheets/_rels/sheet8.xml.rels><?xml version="1.0" encoding="UTF-8" standalone="yes"?>
<Relationships xmlns="http://schemas.openxmlformats.org/package/2006/relationships"><Relationship Id="rId8" Type="http://schemas.openxmlformats.org/officeDocument/2006/relationships/queryTable" Target="../queryTables/queryTable8.xml"/><Relationship Id="rId13" Type="http://schemas.openxmlformats.org/officeDocument/2006/relationships/queryTable" Target="../queryTables/queryTable13.xml"/><Relationship Id="rId18" Type="http://schemas.openxmlformats.org/officeDocument/2006/relationships/queryTable" Target="../queryTables/queryTable18.xml"/><Relationship Id="rId3" Type="http://schemas.openxmlformats.org/officeDocument/2006/relationships/queryTable" Target="../queryTables/queryTable3.xml"/><Relationship Id="rId7" Type="http://schemas.openxmlformats.org/officeDocument/2006/relationships/queryTable" Target="../queryTables/queryTable7.xml"/><Relationship Id="rId12" Type="http://schemas.openxmlformats.org/officeDocument/2006/relationships/queryTable" Target="../queryTables/queryTable12.xml"/><Relationship Id="rId17" Type="http://schemas.openxmlformats.org/officeDocument/2006/relationships/queryTable" Target="../queryTables/queryTable17.xml"/><Relationship Id="rId2" Type="http://schemas.openxmlformats.org/officeDocument/2006/relationships/queryTable" Target="../queryTables/queryTable2.xml"/><Relationship Id="rId16" Type="http://schemas.openxmlformats.org/officeDocument/2006/relationships/queryTable" Target="../queryTables/queryTable16.xml"/><Relationship Id="rId1" Type="http://schemas.openxmlformats.org/officeDocument/2006/relationships/queryTable" Target="../queryTables/queryTable1.xml"/><Relationship Id="rId6" Type="http://schemas.openxmlformats.org/officeDocument/2006/relationships/queryTable" Target="../queryTables/queryTable6.xml"/><Relationship Id="rId11" Type="http://schemas.openxmlformats.org/officeDocument/2006/relationships/queryTable" Target="../queryTables/queryTable11.xml"/><Relationship Id="rId5" Type="http://schemas.openxmlformats.org/officeDocument/2006/relationships/queryTable" Target="../queryTables/queryTable5.xml"/><Relationship Id="rId15" Type="http://schemas.openxmlformats.org/officeDocument/2006/relationships/queryTable" Target="../queryTables/queryTable15.xml"/><Relationship Id="rId10" Type="http://schemas.openxmlformats.org/officeDocument/2006/relationships/queryTable" Target="../queryTables/queryTable10.xml"/><Relationship Id="rId19" Type="http://schemas.openxmlformats.org/officeDocument/2006/relationships/queryTable" Target="../queryTables/queryTable19.xml"/><Relationship Id="rId4" Type="http://schemas.openxmlformats.org/officeDocument/2006/relationships/queryTable" Target="../queryTables/queryTable4.xml"/><Relationship Id="rId9" Type="http://schemas.openxmlformats.org/officeDocument/2006/relationships/queryTable" Target="../queryTables/queryTable9.xml"/><Relationship Id="rId14" Type="http://schemas.openxmlformats.org/officeDocument/2006/relationships/queryTable" Target="../queryTables/queryTable14.xml"/></Relationships>
</file>

<file path=xl/worksheets/_rels/sheet9.xml.rels><?xml version="1.0" encoding="UTF-8" standalone="yes"?>
<Relationships xmlns="http://schemas.openxmlformats.org/package/2006/relationships"><Relationship Id="rId8" Type="http://schemas.openxmlformats.org/officeDocument/2006/relationships/queryTable" Target="../queryTables/queryTable27.xml"/><Relationship Id="rId13" Type="http://schemas.openxmlformats.org/officeDocument/2006/relationships/queryTable" Target="../queryTables/queryTable32.xml"/><Relationship Id="rId3" Type="http://schemas.openxmlformats.org/officeDocument/2006/relationships/queryTable" Target="../queryTables/queryTable22.xml"/><Relationship Id="rId7" Type="http://schemas.openxmlformats.org/officeDocument/2006/relationships/queryTable" Target="../queryTables/queryTable26.xml"/><Relationship Id="rId12" Type="http://schemas.openxmlformats.org/officeDocument/2006/relationships/queryTable" Target="../queryTables/queryTable31.xml"/><Relationship Id="rId2" Type="http://schemas.openxmlformats.org/officeDocument/2006/relationships/queryTable" Target="../queryTables/queryTable21.xml"/><Relationship Id="rId1" Type="http://schemas.openxmlformats.org/officeDocument/2006/relationships/queryTable" Target="../queryTables/queryTable20.xml"/><Relationship Id="rId6" Type="http://schemas.openxmlformats.org/officeDocument/2006/relationships/queryTable" Target="../queryTables/queryTable25.xml"/><Relationship Id="rId11" Type="http://schemas.openxmlformats.org/officeDocument/2006/relationships/queryTable" Target="../queryTables/queryTable30.xml"/><Relationship Id="rId5" Type="http://schemas.openxmlformats.org/officeDocument/2006/relationships/queryTable" Target="../queryTables/queryTable24.xml"/><Relationship Id="rId10" Type="http://schemas.openxmlformats.org/officeDocument/2006/relationships/queryTable" Target="../queryTables/queryTable29.xml"/><Relationship Id="rId4" Type="http://schemas.openxmlformats.org/officeDocument/2006/relationships/queryTable" Target="../queryTables/queryTable23.xml"/><Relationship Id="rId9" Type="http://schemas.openxmlformats.org/officeDocument/2006/relationships/queryTable" Target="../queryTables/queryTable28.xml"/></Relationships>
</file>

<file path=xl/worksheets/_rels/sheet1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4.bin"/></Relationships>
</file>

<file path=xl/worksheets/_rels/sheet1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5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6"/>
  <dimension ref="B1:P16"/>
  <sheetViews>
    <sheetView zoomScaleNormal="100" workbookViewId="0">
      <selection activeCell="H6" sqref="H6:J6"/>
    </sheetView>
  </sheetViews>
  <sheetFormatPr defaultRowHeight="12.75" x14ac:dyDescent="0.2"/>
  <cols>
    <col min="1" max="1" width="2.42578125" style="216" customWidth="1"/>
    <col min="2" max="2" width="15.42578125" style="216" customWidth="1"/>
    <col min="3" max="3" width="2.42578125" style="216" customWidth="1"/>
    <col min="4" max="4" width="15.42578125" style="216" customWidth="1"/>
    <col min="5" max="5" width="2.42578125" style="216" customWidth="1"/>
    <col min="6" max="6" width="16.42578125" style="216" customWidth="1"/>
    <col min="7" max="7" width="2.42578125" style="216" customWidth="1"/>
    <col min="8" max="8" width="10.140625" style="216" bestFit="1" customWidth="1"/>
    <col min="9" max="10" width="8.5703125" style="216" bestFit="1" customWidth="1"/>
    <col min="11" max="11" width="2.42578125" style="216" customWidth="1"/>
    <col min="12" max="12" width="15.42578125" style="216" customWidth="1"/>
    <col min="13" max="13" width="2.42578125" style="216" customWidth="1"/>
    <col min="14" max="14" width="15.42578125" style="216" customWidth="1"/>
    <col min="15" max="15" width="2.42578125" style="216" customWidth="1"/>
    <col min="16" max="16" width="15.42578125" style="216" customWidth="1"/>
    <col min="17" max="17" width="2.42578125" style="216" customWidth="1"/>
    <col min="18" max="16384" width="9.140625" style="216"/>
  </cols>
  <sheetData>
    <row r="1" spans="2:16" ht="13.5" thickBot="1" x14ac:dyDescent="0.25"/>
    <row r="2" spans="2:16" ht="12.75" customHeight="1" x14ac:dyDescent="0.2">
      <c r="B2" s="374" t="s">
        <v>130</v>
      </c>
      <c r="C2" s="227"/>
      <c r="D2" s="374" t="s">
        <v>129</v>
      </c>
      <c r="E2" s="227"/>
      <c r="F2" s="374" t="s">
        <v>128</v>
      </c>
      <c r="G2" s="227"/>
      <c r="H2" s="377" t="s">
        <v>127</v>
      </c>
      <c r="I2" s="378"/>
      <c r="J2" s="379"/>
      <c r="K2" s="228"/>
      <c r="L2" s="374" t="s">
        <v>126</v>
      </c>
      <c r="M2" s="227"/>
      <c r="N2" s="374" t="s">
        <v>125</v>
      </c>
      <c r="P2" s="370" t="s">
        <v>154</v>
      </c>
    </row>
    <row r="3" spans="2:16" ht="12.75" customHeight="1" x14ac:dyDescent="0.2">
      <c r="B3" s="375"/>
      <c r="C3" s="227"/>
      <c r="D3" s="375"/>
      <c r="E3" s="227"/>
      <c r="F3" s="375"/>
      <c r="G3" s="227"/>
      <c r="H3" s="380"/>
      <c r="I3" s="381"/>
      <c r="J3" s="382"/>
      <c r="K3" s="228"/>
      <c r="L3" s="375"/>
      <c r="M3" s="227"/>
      <c r="N3" s="375"/>
      <c r="P3" s="371"/>
    </row>
    <row r="4" spans="2:16" ht="12.75" customHeight="1" x14ac:dyDescent="0.2">
      <c r="B4" s="375"/>
      <c r="C4" s="227"/>
      <c r="D4" s="375"/>
      <c r="E4" s="227"/>
      <c r="F4" s="375"/>
      <c r="G4" s="227"/>
      <c r="H4" s="380"/>
      <c r="I4" s="381"/>
      <c r="J4" s="382"/>
      <c r="K4" s="228"/>
      <c r="L4" s="375"/>
      <c r="M4" s="227"/>
      <c r="N4" s="375"/>
      <c r="P4" s="371"/>
    </row>
    <row r="5" spans="2:16" ht="12.75" customHeight="1" x14ac:dyDescent="0.2">
      <c r="B5" s="383">
        <v>42458</v>
      </c>
      <c r="C5" s="221"/>
      <c r="D5" s="376"/>
      <c r="F5" s="376"/>
      <c r="H5" s="226" t="s">
        <v>138</v>
      </c>
      <c r="I5" s="251" t="s">
        <v>124</v>
      </c>
      <c r="J5" s="225" t="s">
        <v>123</v>
      </c>
      <c r="L5" s="224"/>
      <c r="N5" s="376"/>
      <c r="P5" s="218"/>
    </row>
    <row r="6" spans="2:16" ht="12.75" customHeight="1" x14ac:dyDescent="0.2">
      <c r="B6" s="383"/>
      <c r="C6" s="221"/>
      <c r="D6" s="376"/>
      <c r="F6" s="376"/>
      <c r="H6" s="302">
        <v>5</v>
      </c>
      <c r="I6" s="231">
        <v>61.347914490414695</v>
      </c>
      <c r="J6" s="223">
        <v>249.84495960979811</v>
      </c>
      <c r="L6" s="222"/>
      <c r="N6" s="376"/>
      <c r="P6" s="218"/>
    </row>
    <row r="7" spans="2:16" ht="12.75" customHeight="1" thickBot="1" x14ac:dyDescent="0.25">
      <c r="B7" s="383"/>
      <c r="C7" s="221"/>
      <c r="D7" s="376"/>
      <c r="F7" s="376"/>
      <c r="H7" s="307" t="s">
        <v>131</v>
      </c>
      <c r="I7" s="308" t="s">
        <v>122</v>
      </c>
      <c r="J7" s="309" t="s">
        <v>121</v>
      </c>
      <c r="L7" s="222"/>
      <c r="N7" s="376"/>
      <c r="P7" s="218"/>
    </row>
    <row r="8" spans="2:16" ht="12.75" customHeight="1" thickBot="1" x14ac:dyDescent="0.25">
      <c r="B8" s="384"/>
      <c r="C8" s="221"/>
      <c r="D8" s="385"/>
      <c r="F8" s="385"/>
      <c r="H8" s="304">
        <f>Operacional_10_dias!A24</f>
        <v>42429</v>
      </c>
      <c r="I8" s="246">
        <f>Operacional_10_dias!E24</f>
        <v>1049.422528724215</v>
      </c>
      <c r="J8" s="244">
        <f>Operacional_10_dias!B24</f>
        <v>1035.03556978713</v>
      </c>
      <c r="L8" s="222"/>
      <c r="N8" s="376"/>
      <c r="P8" s="217"/>
    </row>
    <row r="9" spans="2:16" ht="13.5" thickBot="1" x14ac:dyDescent="0.25">
      <c r="H9" s="305">
        <f>Operacional_10_dias!A25</f>
        <v>42430</v>
      </c>
      <c r="I9" s="247">
        <f>Operacional_10_dias!E25</f>
        <v>862.97064693653431</v>
      </c>
      <c r="J9" s="245">
        <f>Operacional_10_dias!B25</f>
        <v>894.423546771171</v>
      </c>
      <c r="L9" s="218"/>
      <c r="N9" s="218"/>
    </row>
    <row r="10" spans="2:16" x14ac:dyDescent="0.2">
      <c r="B10" s="237"/>
      <c r="H10" s="306">
        <f>Operacional_10_dias!A51</f>
        <v>42456</v>
      </c>
      <c r="I10" s="248">
        <f>Operacional_10_dias!E51</f>
        <v>2416.4325795814093</v>
      </c>
      <c r="J10" s="244">
        <f>Operacional_10_dias!B51</f>
        <v>2411</v>
      </c>
      <c r="L10" s="218"/>
      <c r="N10" s="218"/>
    </row>
    <row r="11" spans="2:16" ht="12.75" customHeight="1" thickBot="1" x14ac:dyDescent="0.25">
      <c r="H11" s="305">
        <f>Operacional_10_dias!A52</f>
        <v>42457</v>
      </c>
      <c r="I11" s="247">
        <f>Operacional_10_dias!E52</f>
        <v>2090.196038220738</v>
      </c>
      <c r="J11" s="245">
        <f>Operacional_10_dias!B52</f>
        <v>2110</v>
      </c>
      <c r="L11" s="218"/>
      <c r="N11" s="218"/>
    </row>
    <row r="12" spans="2:16" ht="13.5" thickBot="1" x14ac:dyDescent="0.25">
      <c r="H12" s="372" t="s">
        <v>147</v>
      </c>
      <c r="I12" s="373"/>
      <c r="J12" s="303">
        <f>Operacional_10_dias!C2</f>
        <v>1.9137314878589207</v>
      </c>
      <c r="L12" s="217"/>
      <c r="N12" s="218"/>
    </row>
    <row r="13" spans="2:16" x14ac:dyDescent="0.2">
      <c r="B13" s="249" t="s">
        <v>135</v>
      </c>
      <c r="I13" s="219"/>
      <c r="J13" s="219"/>
      <c r="K13" s="220" t="s">
        <v>120</v>
      </c>
      <c r="N13" s="218"/>
    </row>
    <row r="14" spans="2:16" x14ac:dyDescent="0.2">
      <c r="N14" s="218"/>
    </row>
    <row r="15" spans="2:16" x14ac:dyDescent="0.2">
      <c r="B15" s="216" t="str">
        <f>ETP_Parametros!B24</f>
        <v>uruguai</v>
      </c>
      <c r="N15" s="218"/>
    </row>
    <row r="16" spans="2:16" ht="13.5" thickBot="1" x14ac:dyDescent="0.25">
      <c r="B16" s="216">
        <f>ETP_Parametros!B25</f>
        <v>92</v>
      </c>
      <c r="N16" s="217"/>
    </row>
  </sheetData>
  <mergeCells count="12">
    <mergeCell ref="F2:F4"/>
    <mergeCell ref="B5:B8"/>
    <mergeCell ref="D5:D8"/>
    <mergeCell ref="F5:F8"/>
    <mergeCell ref="B2:B4"/>
    <mergeCell ref="D2:D4"/>
    <mergeCell ref="P2:P4"/>
    <mergeCell ref="H12:I12"/>
    <mergeCell ref="N2:N4"/>
    <mergeCell ref="N5:N8"/>
    <mergeCell ref="L2:L4"/>
    <mergeCell ref="H2:J4"/>
  </mergeCells>
  <pageMargins left="0.511811024" right="0.511811024" top="0.78740157499999996" bottom="0.78740157499999996" header="0.31496062000000002" footer="0.31496062000000002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10"/>
  <dimension ref="A1:D71"/>
  <sheetViews>
    <sheetView zoomScale="110" zoomScaleNormal="110" workbookViewId="0"/>
  </sheetViews>
  <sheetFormatPr defaultRowHeight="12.75" x14ac:dyDescent="0.2"/>
  <cols>
    <col min="1" max="1" width="11.7109375" bestFit="1" customWidth="1"/>
    <col min="2" max="2" width="11" style="202" bestFit="1" customWidth="1"/>
    <col min="3" max="3" width="5.85546875" style="132" bestFit="1" customWidth="1"/>
    <col min="4" max="4" width="10.42578125" style="125" customWidth="1"/>
  </cols>
  <sheetData>
    <row r="1" spans="1:4" x14ac:dyDescent="0.2">
      <c r="A1" s="105" t="s">
        <v>133</v>
      </c>
      <c r="B1" s="238" t="s">
        <v>131</v>
      </c>
      <c r="C1" s="239" t="s">
        <v>134</v>
      </c>
      <c r="D1" s="235" t="s">
        <v>132</v>
      </c>
    </row>
    <row r="2" spans="1:4" x14ac:dyDescent="0.2">
      <c r="A2" s="236">
        <v>42460</v>
      </c>
      <c r="B2" s="236">
        <v>42458</v>
      </c>
      <c r="C2" s="240">
        <f>Botoes!$B$16</f>
        <v>92</v>
      </c>
      <c r="D2">
        <v>1670.4158221869718</v>
      </c>
    </row>
    <row r="3" spans="1:4" x14ac:dyDescent="0.2">
      <c r="A3" s="236">
        <v>42460</v>
      </c>
      <c r="B3" s="236">
        <v>42459</v>
      </c>
      <c r="C3" s="240">
        <f>Botoes!$B$16</f>
        <v>92</v>
      </c>
      <c r="D3">
        <v>1356.3299690951144</v>
      </c>
    </row>
    <row r="4" spans="1:4" x14ac:dyDescent="0.2">
      <c r="A4" s="236">
        <v>42460</v>
      </c>
      <c r="B4" s="236">
        <v>42460</v>
      </c>
      <c r="C4" s="240">
        <f>Botoes!$B$16</f>
        <v>92</v>
      </c>
      <c r="D4">
        <v>1119.5861888720954</v>
      </c>
    </row>
    <row r="5" spans="1:4" x14ac:dyDescent="0.2">
      <c r="A5" s="236">
        <v>42460</v>
      </c>
      <c r="B5" s="236">
        <v>42461</v>
      </c>
      <c r="C5" s="240">
        <f>Botoes!$B$16</f>
        <v>92</v>
      </c>
      <c r="D5">
        <v>940.2763108376206</v>
      </c>
    </row>
    <row r="6" spans="1:4" x14ac:dyDescent="0.2">
      <c r="A6" s="236">
        <v>42460</v>
      </c>
      <c r="B6" s="236">
        <v>42462</v>
      </c>
      <c r="C6" s="240">
        <f>Botoes!$B$16</f>
        <v>92</v>
      </c>
      <c r="D6">
        <v>807.25203404950787</v>
      </c>
    </row>
    <row r="7" spans="1:4" x14ac:dyDescent="0.2">
      <c r="A7" s="236">
        <v>42460</v>
      </c>
      <c r="B7" s="236">
        <v>42463</v>
      </c>
      <c r="C7" s="240">
        <f>Botoes!$B$16</f>
        <v>92</v>
      </c>
      <c r="D7">
        <v>824.88692685286821</v>
      </c>
    </row>
    <row r="8" spans="1:4" x14ac:dyDescent="0.2">
      <c r="A8" s="236">
        <v>42460</v>
      </c>
      <c r="B8" s="236">
        <v>42464</v>
      </c>
      <c r="C8" s="240">
        <f>Botoes!$B$16</f>
        <v>92</v>
      </c>
      <c r="D8">
        <v>998.1040643236779</v>
      </c>
    </row>
    <row r="9" spans="1:4" x14ac:dyDescent="0.2">
      <c r="A9" s="236">
        <v>42460</v>
      </c>
      <c r="B9" s="236">
        <v>42465</v>
      </c>
      <c r="C9" s="240">
        <f>Botoes!$B$16</f>
        <v>92</v>
      </c>
      <c r="D9">
        <v>1084.1461664841197</v>
      </c>
    </row>
    <row r="10" spans="1:4" x14ac:dyDescent="0.2">
      <c r="A10" s="236">
        <v>42460</v>
      </c>
      <c r="B10" s="236">
        <v>42466</v>
      </c>
      <c r="C10" s="240">
        <f>Botoes!$B$16</f>
        <v>92</v>
      </c>
      <c r="D10">
        <v>1050.1128447479616</v>
      </c>
    </row>
    <row r="11" spans="1:4" x14ac:dyDescent="0.2">
      <c r="A11" s="236">
        <v>42460</v>
      </c>
      <c r="B11" s="236">
        <v>42467</v>
      </c>
      <c r="C11" s="240">
        <f>Botoes!$B$16</f>
        <v>92</v>
      </c>
      <c r="D11">
        <v>1053.4530655860297</v>
      </c>
    </row>
    <row r="12" spans="1:4" x14ac:dyDescent="0.2">
      <c r="B12" s="236"/>
      <c r="C12" s="240"/>
      <c r="D12"/>
    </row>
    <row r="13" spans="1:4" x14ac:dyDescent="0.2">
      <c r="B13" s="236"/>
      <c r="C13" s="240"/>
      <c r="D13"/>
    </row>
    <row r="14" spans="1:4" x14ac:dyDescent="0.2">
      <c r="B14" s="236"/>
      <c r="C14" s="240"/>
      <c r="D14"/>
    </row>
    <row r="15" spans="1:4" x14ac:dyDescent="0.2">
      <c r="B15" s="236"/>
      <c r="C15" s="240"/>
      <c r="D15"/>
    </row>
    <row r="16" spans="1:4" x14ac:dyDescent="0.2">
      <c r="B16" s="236"/>
      <c r="C16" s="240"/>
      <c r="D16"/>
    </row>
    <row r="17" spans="2:4" x14ac:dyDescent="0.2">
      <c r="B17" s="236"/>
      <c r="C17" s="240"/>
      <c r="D17"/>
    </row>
    <row r="18" spans="2:4" x14ac:dyDescent="0.2">
      <c r="B18" s="236"/>
      <c r="C18" s="240"/>
      <c r="D18"/>
    </row>
    <row r="19" spans="2:4" x14ac:dyDescent="0.2">
      <c r="B19" s="236"/>
      <c r="C19" s="240"/>
      <c r="D19"/>
    </row>
    <row r="20" spans="2:4" x14ac:dyDescent="0.2">
      <c r="B20" s="236"/>
      <c r="C20" s="240"/>
      <c r="D20"/>
    </row>
    <row r="21" spans="2:4" x14ac:dyDescent="0.2">
      <c r="B21" s="236"/>
      <c r="C21" s="240"/>
      <c r="D21"/>
    </row>
    <row r="22" spans="2:4" x14ac:dyDescent="0.2">
      <c r="B22" s="236"/>
      <c r="C22" s="240"/>
      <c r="D22"/>
    </row>
    <row r="23" spans="2:4" x14ac:dyDescent="0.2">
      <c r="B23" s="236"/>
      <c r="C23" s="240"/>
      <c r="D23"/>
    </row>
    <row r="24" spans="2:4" x14ac:dyDescent="0.2">
      <c r="B24" s="236"/>
      <c r="C24" s="240"/>
      <c r="D24"/>
    </row>
    <row r="25" spans="2:4" x14ac:dyDescent="0.2">
      <c r="B25" s="236"/>
      <c r="C25" s="240"/>
      <c r="D25"/>
    </row>
    <row r="26" spans="2:4" x14ac:dyDescent="0.2">
      <c r="B26" s="236"/>
      <c r="C26" s="240"/>
      <c r="D26"/>
    </row>
    <row r="27" spans="2:4" x14ac:dyDescent="0.2">
      <c r="B27" s="236"/>
      <c r="C27" s="240"/>
      <c r="D27"/>
    </row>
    <row r="28" spans="2:4" x14ac:dyDescent="0.2">
      <c r="B28" s="236"/>
      <c r="C28" s="240"/>
      <c r="D28"/>
    </row>
    <row r="29" spans="2:4" x14ac:dyDescent="0.2">
      <c r="B29" s="236"/>
      <c r="C29" s="240"/>
      <c r="D29"/>
    </row>
    <row r="30" spans="2:4" x14ac:dyDescent="0.2">
      <c r="B30" s="236"/>
      <c r="C30" s="240"/>
      <c r="D30"/>
    </row>
    <row r="31" spans="2:4" x14ac:dyDescent="0.2">
      <c r="B31" s="236"/>
      <c r="C31" s="240"/>
      <c r="D31"/>
    </row>
    <row r="32" spans="2:4" x14ac:dyDescent="0.2">
      <c r="B32" s="236"/>
      <c r="C32" s="240"/>
      <c r="D32"/>
    </row>
    <row r="33" spans="2:4" x14ac:dyDescent="0.2">
      <c r="B33" s="236"/>
      <c r="C33" s="240"/>
      <c r="D33"/>
    </row>
    <row r="34" spans="2:4" x14ac:dyDescent="0.2">
      <c r="B34" s="236"/>
      <c r="C34" s="240"/>
      <c r="D34"/>
    </row>
    <row r="35" spans="2:4" x14ac:dyDescent="0.2">
      <c r="B35" s="236"/>
      <c r="C35" s="240"/>
      <c r="D35"/>
    </row>
    <row r="36" spans="2:4" x14ac:dyDescent="0.2">
      <c r="B36" s="236"/>
      <c r="C36" s="240"/>
      <c r="D36"/>
    </row>
    <row r="37" spans="2:4" x14ac:dyDescent="0.2">
      <c r="B37" s="236"/>
      <c r="C37" s="240"/>
      <c r="D37"/>
    </row>
    <row r="38" spans="2:4" x14ac:dyDescent="0.2">
      <c r="B38" s="236"/>
      <c r="C38" s="240"/>
      <c r="D38"/>
    </row>
    <row r="39" spans="2:4" x14ac:dyDescent="0.2">
      <c r="B39" s="236"/>
      <c r="C39" s="240"/>
      <c r="D39"/>
    </row>
    <row r="40" spans="2:4" x14ac:dyDescent="0.2">
      <c r="B40" s="236"/>
      <c r="C40" s="240"/>
      <c r="D40"/>
    </row>
    <row r="41" spans="2:4" x14ac:dyDescent="0.2">
      <c r="B41" s="236"/>
      <c r="C41" s="240"/>
      <c r="D41"/>
    </row>
    <row r="42" spans="2:4" x14ac:dyDescent="0.2">
      <c r="B42" s="236"/>
      <c r="C42" s="240"/>
      <c r="D42"/>
    </row>
    <row r="43" spans="2:4" x14ac:dyDescent="0.2">
      <c r="B43" s="236"/>
      <c r="C43" s="240"/>
      <c r="D43"/>
    </row>
    <row r="44" spans="2:4" x14ac:dyDescent="0.2">
      <c r="B44" s="236"/>
      <c r="C44" s="240"/>
      <c r="D44"/>
    </row>
    <row r="45" spans="2:4" x14ac:dyDescent="0.2">
      <c r="B45" s="236"/>
      <c r="C45" s="240"/>
      <c r="D45"/>
    </row>
    <row r="46" spans="2:4" x14ac:dyDescent="0.2">
      <c r="B46" s="236"/>
      <c r="C46" s="240"/>
      <c r="D46"/>
    </row>
    <row r="47" spans="2:4" x14ac:dyDescent="0.2">
      <c r="B47" s="236"/>
      <c r="C47" s="240"/>
      <c r="D47"/>
    </row>
    <row r="48" spans="2:4" x14ac:dyDescent="0.2">
      <c r="B48" s="236"/>
      <c r="C48" s="240"/>
      <c r="D48"/>
    </row>
    <row r="49" spans="2:4" x14ac:dyDescent="0.2">
      <c r="B49" s="236"/>
      <c r="C49" s="240"/>
      <c r="D49"/>
    </row>
    <row r="50" spans="2:4" x14ac:dyDescent="0.2">
      <c r="B50" s="236"/>
      <c r="C50" s="240"/>
      <c r="D50"/>
    </row>
    <row r="51" spans="2:4" x14ac:dyDescent="0.2">
      <c r="B51" s="236"/>
      <c r="C51" s="240"/>
      <c r="D51"/>
    </row>
    <row r="52" spans="2:4" x14ac:dyDescent="0.2">
      <c r="B52" s="236"/>
      <c r="C52" s="240"/>
      <c r="D52"/>
    </row>
    <row r="53" spans="2:4" x14ac:dyDescent="0.2">
      <c r="B53" s="236"/>
      <c r="C53" s="240"/>
      <c r="D53"/>
    </row>
    <row r="54" spans="2:4" x14ac:dyDescent="0.2">
      <c r="B54" s="236"/>
      <c r="C54" s="240"/>
      <c r="D54"/>
    </row>
    <row r="55" spans="2:4" x14ac:dyDescent="0.2">
      <c r="B55" s="236"/>
      <c r="C55" s="240"/>
      <c r="D55"/>
    </row>
    <row r="56" spans="2:4" x14ac:dyDescent="0.2">
      <c r="B56" s="236"/>
      <c r="C56" s="240"/>
      <c r="D56"/>
    </row>
    <row r="57" spans="2:4" x14ac:dyDescent="0.2">
      <c r="B57" s="236"/>
      <c r="C57" s="240"/>
      <c r="D57"/>
    </row>
    <row r="58" spans="2:4" x14ac:dyDescent="0.2">
      <c r="B58" s="236"/>
      <c r="C58" s="240"/>
      <c r="D58"/>
    </row>
    <row r="59" spans="2:4" x14ac:dyDescent="0.2">
      <c r="B59" s="236"/>
      <c r="C59" s="240"/>
      <c r="D59"/>
    </row>
    <row r="60" spans="2:4" x14ac:dyDescent="0.2">
      <c r="B60" s="236"/>
      <c r="C60" s="240"/>
      <c r="D60"/>
    </row>
    <row r="61" spans="2:4" x14ac:dyDescent="0.2">
      <c r="B61" s="236"/>
      <c r="C61" s="240"/>
      <c r="D61"/>
    </row>
    <row r="62" spans="2:4" x14ac:dyDescent="0.2">
      <c r="B62" s="202">
        <v>42004</v>
      </c>
      <c r="D62" s="125">
        <v>566.68602541001144</v>
      </c>
    </row>
    <row r="63" spans="2:4" x14ac:dyDescent="0.2">
      <c r="B63" s="202">
        <v>42005</v>
      </c>
      <c r="D63" s="125">
        <v>668.04305529292481</v>
      </c>
    </row>
    <row r="64" spans="2:4" x14ac:dyDescent="0.2">
      <c r="B64" s="202">
        <v>42006</v>
      </c>
      <c r="D64" s="125">
        <v>888.71035712056266</v>
      </c>
    </row>
    <row r="65" spans="2:4" x14ac:dyDescent="0.2">
      <c r="B65" s="202">
        <v>42007</v>
      </c>
      <c r="D65" s="125">
        <v>1177.0905173909341</v>
      </c>
    </row>
    <row r="66" spans="2:4" x14ac:dyDescent="0.2">
      <c r="B66" s="202">
        <v>42008</v>
      </c>
      <c r="D66" s="125">
        <v>1252.08423632225</v>
      </c>
    </row>
    <row r="67" spans="2:4" x14ac:dyDescent="0.2">
      <c r="B67" s="202">
        <v>42009</v>
      </c>
      <c r="D67" s="125">
        <v>1253.3330901253551</v>
      </c>
    </row>
    <row r="68" spans="2:4" x14ac:dyDescent="0.2">
      <c r="B68" s="202">
        <v>42010</v>
      </c>
      <c r="D68" s="125">
        <v>1182.5941806238463</v>
      </c>
    </row>
    <row r="69" spans="2:4" x14ac:dyDescent="0.2">
      <c r="B69" s="202">
        <v>42011</v>
      </c>
      <c r="D69" s="125">
        <v>1244.8473572516557</v>
      </c>
    </row>
    <row r="70" spans="2:4" x14ac:dyDescent="0.2">
      <c r="B70" s="202">
        <v>42012</v>
      </c>
      <c r="D70" s="125">
        <v>1430.5139896346857</v>
      </c>
    </row>
    <row r="71" spans="2:4" x14ac:dyDescent="0.2">
      <c r="B71" s="202">
        <v>42013</v>
      </c>
      <c r="D71" s="125">
        <v>4780.9722928630645</v>
      </c>
    </row>
  </sheetData>
  <pageMargins left="0.511811024" right="0.511811024" top="0.78740157499999996" bottom="0.78740157499999996" header="0.31496062000000002" footer="0.31496062000000002"/>
  <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11"/>
  <dimension ref="A1:D61"/>
  <sheetViews>
    <sheetView zoomScale="90" zoomScaleNormal="90" workbookViewId="0"/>
  </sheetViews>
  <sheetFormatPr defaultRowHeight="12.75" x14ac:dyDescent="0.2"/>
  <cols>
    <col min="1" max="1" width="12.7109375" style="236" bestFit="1" customWidth="1"/>
    <col min="2" max="2" width="11" style="202" bestFit="1" customWidth="1"/>
    <col min="3" max="3" width="5.85546875" style="132" bestFit="1" customWidth="1"/>
    <col min="4" max="4" width="10.42578125" style="125" customWidth="1"/>
  </cols>
  <sheetData>
    <row r="1" spans="1:4" x14ac:dyDescent="0.2">
      <c r="A1" s="241" t="s">
        <v>133</v>
      </c>
      <c r="B1" s="238" t="s">
        <v>131</v>
      </c>
      <c r="C1" s="239" t="s">
        <v>134</v>
      </c>
      <c r="D1" s="235" t="s">
        <v>132</v>
      </c>
    </row>
    <row r="2" spans="1:4" x14ac:dyDescent="0.2">
      <c r="A2" s="236">
        <v>42460</v>
      </c>
      <c r="B2" s="236">
        <v>42458</v>
      </c>
      <c r="C2" s="240">
        <f>Botoes!$B$16</f>
        <v>92</v>
      </c>
      <c r="D2">
        <v>1670.4158221869718</v>
      </c>
    </row>
    <row r="3" spans="1:4" x14ac:dyDescent="0.2">
      <c r="A3" s="236">
        <v>42460</v>
      </c>
      <c r="B3" s="236">
        <v>42459</v>
      </c>
      <c r="C3" s="240">
        <f>Botoes!$B$16</f>
        <v>92</v>
      </c>
      <c r="D3">
        <v>1356.3299690951144</v>
      </c>
    </row>
    <row r="4" spans="1:4" x14ac:dyDescent="0.2">
      <c r="A4" s="236">
        <v>42460</v>
      </c>
      <c r="B4" s="236">
        <v>42460</v>
      </c>
      <c r="C4" s="240">
        <f>Botoes!$B$16</f>
        <v>92</v>
      </c>
      <c r="D4">
        <v>1119.5838759772882</v>
      </c>
    </row>
    <row r="5" spans="1:4" x14ac:dyDescent="0.2">
      <c r="A5" s="236">
        <v>42460</v>
      </c>
      <c r="B5" s="236">
        <v>42461</v>
      </c>
      <c r="C5" s="240">
        <f>Botoes!$B$16</f>
        <v>92</v>
      </c>
      <c r="D5">
        <v>940.29240639668785</v>
      </c>
    </row>
    <row r="6" spans="1:4" x14ac:dyDescent="0.2">
      <c r="A6" s="236">
        <v>42460</v>
      </c>
      <c r="B6" s="236">
        <v>42462</v>
      </c>
      <c r="C6" s="240">
        <f>Botoes!$B$16</f>
        <v>92</v>
      </c>
      <c r="D6">
        <v>804.230275181617</v>
      </c>
    </row>
    <row r="7" spans="1:4" x14ac:dyDescent="0.2">
      <c r="A7" s="236">
        <v>42460</v>
      </c>
      <c r="B7" s="236">
        <v>42463</v>
      </c>
      <c r="C7" s="240">
        <f>Botoes!$B$16</f>
        <v>92</v>
      </c>
      <c r="D7">
        <v>857.64675823685718</v>
      </c>
    </row>
    <row r="8" spans="1:4" x14ac:dyDescent="0.2">
      <c r="A8" s="236">
        <v>42460</v>
      </c>
      <c r="B8" s="236">
        <v>42464</v>
      </c>
      <c r="C8" s="240">
        <f>Botoes!$B$16</f>
        <v>92</v>
      </c>
      <c r="D8">
        <v>1375.8429229793956</v>
      </c>
    </row>
    <row r="9" spans="1:4" x14ac:dyDescent="0.2">
      <c r="A9" s="236">
        <v>42460</v>
      </c>
      <c r="B9" s="236">
        <v>42465</v>
      </c>
      <c r="C9" s="240">
        <f>Botoes!$B$16</f>
        <v>92</v>
      </c>
      <c r="D9">
        <v>2449.9889977977928</v>
      </c>
    </row>
    <row r="10" spans="1:4" x14ac:dyDescent="0.2">
      <c r="A10" s="236">
        <v>42460</v>
      </c>
      <c r="B10" s="236">
        <v>42466</v>
      </c>
      <c r="C10" s="240">
        <f>Botoes!$B$16</f>
        <v>92</v>
      </c>
      <c r="D10">
        <v>2780.2100631380913</v>
      </c>
    </row>
    <row r="11" spans="1:4" x14ac:dyDescent="0.2">
      <c r="A11" s="236">
        <v>42460</v>
      </c>
      <c r="B11" s="236">
        <v>42467</v>
      </c>
      <c r="C11" s="240">
        <f>Botoes!$B$16</f>
        <v>92</v>
      </c>
      <c r="D11">
        <v>3969.2030015465984</v>
      </c>
    </row>
    <row r="12" spans="1:4" x14ac:dyDescent="0.2">
      <c r="A12" s="236">
        <v>42460</v>
      </c>
      <c r="B12" s="236">
        <v>42468</v>
      </c>
      <c r="C12" s="240">
        <f>Botoes!$B$16</f>
        <v>92</v>
      </c>
      <c r="D12">
        <v>5134.4445441991456</v>
      </c>
    </row>
    <row r="13" spans="1:4" x14ac:dyDescent="0.2">
      <c r="A13" s="236">
        <v>42460</v>
      </c>
      <c r="B13" s="236">
        <v>42469</v>
      </c>
      <c r="C13" s="240">
        <f>Botoes!$B$16</f>
        <v>92</v>
      </c>
      <c r="D13">
        <v>5288.6222627235829</v>
      </c>
    </row>
    <row r="14" spans="1:4" x14ac:dyDescent="0.2">
      <c r="A14" s="236">
        <v>42460</v>
      </c>
      <c r="B14" s="236">
        <v>42470</v>
      </c>
      <c r="C14" s="240">
        <f>Botoes!$B$16</f>
        <v>92</v>
      </c>
      <c r="D14">
        <v>4729.3547968373605</v>
      </c>
    </row>
    <row r="15" spans="1:4" x14ac:dyDescent="0.2">
      <c r="A15" s="236">
        <v>42460</v>
      </c>
      <c r="B15" s="236">
        <v>42471</v>
      </c>
      <c r="C15" s="240">
        <f>Botoes!$B$16</f>
        <v>92</v>
      </c>
      <c r="D15">
        <v>4939.2778844561117</v>
      </c>
    </row>
    <row r="16" spans="1:4" x14ac:dyDescent="0.2">
      <c r="A16" s="236">
        <v>42460</v>
      </c>
      <c r="B16" s="236">
        <v>42472</v>
      </c>
      <c r="C16" s="240">
        <f>Botoes!$B$16</f>
        <v>92</v>
      </c>
      <c r="D16">
        <v>5356.7462342980643</v>
      </c>
    </row>
    <row r="17" spans="2:4" x14ac:dyDescent="0.2">
      <c r="B17" s="236"/>
      <c r="C17" s="240"/>
      <c r="D17"/>
    </row>
    <row r="18" spans="2:4" x14ac:dyDescent="0.2">
      <c r="B18" s="236"/>
      <c r="C18" s="240"/>
      <c r="D18"/>
    </row>
    <row r="19" spans="2:4" x14ac:dyDescent="0.2">
      <c r="B19" s="236"/>
      <c r="C19" s="240"/>
      <c r="D19"/>
    </row>
    <row r="20" spans="2:4" x14ac:dyDescent="0.2">
      <c r="B20" s="236"/>
      <c r="C20" s="240"/>
      <c r="D20"/>
    </row>
    <row r="21" spans="2:4" x14ac:dyDescent="0.2">
      <c r="B21" s="236"/>
      <c r="C21" s="240"/>
      <c r="D21"/>
    </row>
    <row r="22" spans="2:4" x14ac:dyDescent="0.2">
      <c r="B22" s="236"/>
      <c r="C22" s="240"/>
      <c r="D22"/>
    </row>
    <row r="23" spans="2:4" x14ac:dyDescent="0.2">
      <c r="B23" s="236"/>
      <c r="C23" s="240"/>
      <c r="D23"/>
    </row>
    <row r="24" spans="2:4" x14ac:dyDescent="0.2">
      <c r="B24" s="236"/>
      <c r="C24" s="240"/>
      <c r="D24"/>
    </row>
    <row r="25" spans="2:4" x14ac:dyDescent="0.2">
      <c r="B25" s="236"/>
      <c r="C25" s="240"/>
      <c r="D25"/>
    </row>
    <row r="26" spans="2:4" x14ac:dyDescent="0.2">
      <c r="B26" s="236"/>
      <c r="C26" s="240"/>
      <c r="D26"/>
    </row>
    <row r="27" spans="2:4" x14ac:dyDescent="0.2">
      <c r="B27" s="236"/>
      <c r="C27" s="240"/>
      <c r="D27"/>
    </row>
    <row r="28" spans="2:4" x14ac:dyDescent="0.2">
      <c r="B28" s="236"/>
      <c r="C28" s="240"/>
      <c r="D28"/>
    </row>
    <row r="29" spans="2:4" x14ac:dyDescent="0.2">
      <c r="B29" s="236"/>
      <c r="C29" s="240"/>
      <c r="D29"/>
    </row>
    <row r="30" spans="2:4" x14ac:dyDescent="0.2">
      <c r="B30" s="236"/>
      <c r="C30" s="240"/>
      <c r="D30"/>
    </row>
    <row r="31" spans="2:4" x14ac:dyDescent="0.2">
      <c r="B31" s="236"/>
      <c r="C31" s="240"/>
      <c r="D31"/>
    </row>
    <row r="32" spans="2:4" x14ac:dyDescent="0.2">
      <c r="B32" s="236"/>
      <c r="C32" s="240"/>
      <c r="D32"/>
    </row>
    <row r="33" spans="2:4" x14ac:dyDescent="0.2">
      <c r="B33" s="236"/>
      <c r="C33" s="240"/>
      <c r="D33"/>
    </row>
    <row r="34" spans="2:4" x14ac:dyDescent="0.2">
      <c r="B34" s="236"/>
      <c r="C34" s="240"/>
      <c r="D34"/>
    </row>
    <row r="35" spans="2:4" x14ac:dyDescent="0.2">
      <c r="B35" s="236"/>
      <c r="C35" s="240"/>
      <c r="D35"/>
    </row>
    <row r="36" spans="2:4" x14ac:dyDescent="0.2">
      <c r="B36" s="236"/>
      <c r="C36" s="240"/>
      <c r="D36"/>
    </row>
    <row r="37" spans="2:4" x14ac:dyDescent="0.2">
      <c r="B37" s="236"/>
      <c r="C37" s="240"/>
      <c r="D37"/>
    </row>
    <row r="38" spans="2:4" x14ac:dyDescent="0.2">
      <c r="B38" s="236"/>
      <c r="C38" s="240"/>
      <c r="D38"/>
    </row>
    <row r="39" spans="2:4" x14ac:dyDescent="0.2">
      <c r="B39" s="236"/>
      <c r="C39" s="240"/>
      <c r="D39"/>
    </row>
    <row r="40" spans="2:4" x14ac:dyDescent="0.2">
      <c r="B40" s="236"/>
      <c r="C40" s="240"/>
      <c r="D40"/>
    </row>
    <row r="41" spans="2:4" x14ac:dyDescent="0.2">
      <c r="B41" s="236"/>
      <c r="C41" s="240"/>
      <c r="D41"/>
    </row>
    <row r="42" spans="2:4" x14ac:dyDescent="0.2">
      <c r="B42" s="236"/>
      <c r="C42" s="240"/>
      <c r="D42"/>
    </row>
    <row r="43" spans="2:4" x14ac:dyDescent="0.2">
      <c r="B43" s="236"/>
      <c r="C43" s="240"/>
      <c r="D43"/>
    </row>
    <row r="44" spans="2:4" x14ac:dyDescent="0.2">
      <c r="B44" s="236"/>
      <c r="C44" s="240"/>
      <c r="D44"/>
    </row>
    <row r="45" spans="2:4" x14ac:dyDescent="0.2">
      <c r="B45" s="236"/>
      <c r="C45" s="240"/>
      <c r="D45"/>
    </row>
    <row r="46" spans="2:4" x14ac:dyDescent="0.2">
      <c r="B46" s="236"/>
      <c r="C46" s="240"/>
      <c r="D46"/>
    </row>
    <row r="47" spans="2:4" x14ac:dyDescent="0.2">
      <c r="B47" s="236"/>
      <c r="C47" s="240"/>
      <c r="D47"/>
    </row>
    <row r="48" spans="2:4" x14ac:dyDescent="0.2">
      <c r="B48" s="236"/>
      <c r="C48" s="240"/>
      <c r="D48"/>
    </row>
    <row r="49" spans="2:4" x14ac:dyDescent="0.2">
      <c r="B49" s="236"/>
      <c r="C49" s="240"/>
      <c r="D49"/>
    </row>
    <row r="50" spans="2:4" x14ac:dyDescent="0.2">
      <c r="B50" s="236"/>
      <c r="C50" s="240"/>
      <c r="D50"/>
    </row>
    <row r="51" spans="2:4" x14ac:dyDescent="0.2">
      <c r="B51" s="236"/>
      <c r="C51" s="240"/>
      <c r="D51"/>
    </row>
    <row r="52" spans="2:4" x14ac:dyDescent="0.2">
      <c r="B52" s="236"/>
      <c r="C52" s="240"/>
      <c r="D52"/>
    </row>
    <row r="53" spans="2:4" x14ac:dyDescent="0.2">
      <c r="B53" s="236"/>
      <c r="C53" s="240"/>
      <c r="D53"/>
    </row>
    <row r="54" spans="2:4" x14ac:dyDescent="0.2">
      <c r="B54" s="236"/>
      <c r="C54" s="240"/>
      <c r="D54"/>
    </row>
    <row r="55" spans="2:4" x14ac:dyDescent="0.2">
      <c r="B55" s="236"/>
      <c r="C55" s="240"/>
      <c r="D55"/>
    </row>
    <row r="56" spans="2:4" x14ac:dyDescent="0.2">
      <c r="B56" s="236"/>
      <c r="C56" s="240"/>
      <c r="D56"/>
    </row>
    <row r="57" spans="2:4" x14ac:dyDescent="0.2">
      <c r="B57" s="236"/>
      <c r="C57" s="240"/>
      <c r="D57"/>
    </row>
    <row r="58" spans="2:4" x14ac:dyDescent="0.2">
      <c r="B58" s="236"/>
      <c r="C58" s="240"/>
      <c r="D58"/>
    </row>
    <row r="59" spans="2:4" x14ac:dyDescent="0.2">
      <c r="B59" s="236"/>
      <c r="C59" s="240"/>
      <c r="D59"/>
    </row>
    <row r="60" spans="2:4" x14ac:dyDescent="0.2">
      <c r="B60" s="236"/>
      <c r="C60" s="240"/>
      <c r="D60"/>
    </row>
    <row r="61" spans="2:4" x14ac:dyDescent="0.2">
      <c r="B61" s="236"/>
      <c r="C61" s="240"/>
      <c r="D61"/>
    </row>
  </sheetData>
  <pageMargins left="0.511811024" right="0.511811024" top="0.78740157499999996" bottom="0.78740157499999996" header="0.31496062000000002" footer="0.31496062000000002"/>
  <drawing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12"/>
  <dimension ref="A1:D274"/>
  <sheetViews>
    <sheetView zoomScaleNormal="100" workbookViewId="0"/>
  </sheetViews>
  <sheetFormatPr defaultRowHeight="12.75" x14ac:dyDescent="0.2"/>
  <cols>
    <col min="1" max="1" width="12.28515625" style="236" bestFit="1" customWidth="1"/>
    <col min="2" max="2" width="10.85546875" style="202" bestFit="1" customWidth="1"/>
    <col min="3" max="3" width="6" style="132" bestFit="1" customWidth="1"/>
    <col min="4" max="4" width="10.42578125" style="125" customWidth="1"/>
  </cols>
  <sheetData>
    <row r="1" spans="1:4" x14ac:dyDescent="0.2">
      <c r="A1" s="241" t="s">
        <v>133</v>
      </c>
      <c r="B1" s="238" t="s">
        <v>131</v>
      </c>
      <c r="C1" s="239" t="s">
        <v>134</v>
      </c>
      <c r="D1" s="235" t="s">
        <v>132</v>
      </c>
    </row>
    <row r="2" spans="1:4" x14ac:dyDescent="0.2">
      <c r="A2" s="236">
        <v>42460</v>
      </c>
      <c r="B2" s="236">
        <v>42458</v>
      </c>
      <c r="C2" s="240">
        <f>Botoes!$B$16</f>
        <v>92</v>
      </c>
      <c r="D2">
        <v>1670.4158221869718</v>
      </c>
    </row>
    <row r="3" spans="1:4" x14ac:dyDescent="0.2">
      <c r="A3" s="236">
        <v>42460</v>
      </c>
      <c r="B3" s="236">
        <v>42459</v>
      </c>
      <c r="C3" s="240">
        <f>Botoes!$B$16</f>
        <v>92</v>
      </c>
      <c r="D3">
        <v>1356.3299690951144</v>
      </c>
    </row>
    <row r="4" spans="1:4" x14ac:dyDescent="0.2">
      <c r="A4" s="236">
        <v>42460</v>
      </c>
      <c r="B4" s="236">
        <v>42460</v>
      </c>
      <c r="C4" s="240">
        <f>Botoes!$B$16</f>
        <v>92</v>
      </c>
      <c r="D4">
        <v>1119.5942855141118</v>
      </c>
    </row>
    <row r="5" spans="1:4" x14ac:dyDescent="0.2">
      <c r="A5" s="236">
        <v>42460</v>
      </c>
      <c r="B5" s="236">
        <v>42461</v>
      </c>
      <c r="C5" s="240">
        <f>Botoes!$B$16</f>
        <v>92</v>
      </c>
      <c r="D5">
        <v>940.39147205302527</v>
      </c>
    </row>
    <row r="6" spans="1:4" x14ac:dyDescent="0.2">
      <c r="A6" s="236">
        <v>42460</v>
      </c>
      <c r="B6" s="236">
        <v>42462</v>
      </c>
      <c r="C6" s="240">
        <f>Botoes!$B$16</f>
        <v>92</v>
      </c>
      <c r="D6">
        <v>824.28555122973899</v>
      </c>
    </row>
    <row r="7" spans="1:4" x14ac:dyDescent="0.2">
      <c r="A7" s="236">
        <v>42460</v>
      </c>
      <c r="B7" s="236">
        <v>42463</v>
      </c>
      <c r="C7" s="240">
        <f>Botoes!$B$16</f>
        <v>92</v>
      </c>
      <c r="D7">
        <v>972.08662117013375</v>
      </c>
    </row>
    <row r="8" spans="1:4" x14ac:dyDescent="0.2">
      <c r="A8" s="236">
        <v>42460</v>
      </c>
      <c r="B8" s="236">
        <v>42464</v>
      </c>
      <c r="C8" s="240">
        <f>Botoes!$B$16</f>
        <v>92</v>
      </c>
      <c r="D8">
        <v>1630.6464357875075</v>
      </c>
    </row>
    <row r="9" spans="1:4" x14ac:dyDescent="0.2">
      <c r="A9" s="236">
        <v>42460</v>
      </c>
      <c r="B9" s="236">
        <v>42465</v>
      </c>
      <c r="C9" s="240">
        <f>Botoes!$B$16</f>
        <v>92</v>
      </c>
      <c r="D9">
        <v>2091.6365401484527</v>
      </c>
    </row>
    <row r="10" spans="1:4" x14ac:dyDescent="0.2">
      <c r="A10" s="236">
        <v>42460</v>
      </c>
      <c r="B10" s="236">
        <v>42466</v>
      </c>
      <c r="C10" s="240">
        <f>Botoes!$B$16</f>
        <v>92</v>
      </c>
      <c r="D10">
        <v>1975.0170814665071</v>
      </c>
    </row>
    <row r="11" spans="1:4" x14ac:dyDescent="0.2">
      <c r="A11" s="236">
        <v>42460</v>
      </c>
      <c r="B11" s="236">
        <v>42467</v>
      </c>
      <c r="C11" s="240">
        <f>Botoes!$B$16</f>
        <v>92</v>
      </c>
      <c r="D11">
        <v>1630.952698710287</v>
      </c>
    </row>
    <row r="12" spans="1:4" x14ac:dyDescent="0.2">
      <c r="A12" s="236">
        <v>42460</v>
      </c>
      <c r="B12" s="236">
        <v>42468</v>
      </c>
      <c r="C12" s="240">
        <f>Botoes!$B$16</f>
        <v>92</v>
      </c>
      <c r="D12">
        <v>1523.1589393379961</v>
      </c>
    </row>
    <row r="13" spans="1:4" x14ac:dyDescent="0.2">
      <c r="A13" s="236">
        <v>42460</v>
      </c>
      <c r="B13" s="236">
        <v>42469</v>
      </c>
      <c r="C13" s="240">
        <f>Botoes!$B$16</f>
        <v>92</v>
      </c>
      <c r="D13">
        <v>1500.2986882195298</v>
      </c>
    </row>
    <row r="14" spans="1:4" x14ac:dyDescent="0.2">
      <c r="A14" s="236">
        <v>42460</v>
      </c>
      <c r="B14" s="236">
        <v>42470</v>
      </c>
      <c r="C14" s="240">
        <f>Botoes!$B$16</f>
        <v>92</v>
      </c>
      <c r="D14">
        <v>1375.023726897329</v>
      </c>
    </row>
    <row r="15" spans="1:4" x14ac:dyDescent="0.2">
      <c r="A15" s="236">
        <v>42460</v>
      </c>
      <c r="B15" s="236">
        <v>42471</v>
      </c>
      <c r="C15" s="240">
        <f>Botoes!$B$16</f>
        <v>92</v>
      </c>
      <c r="D15">
        <v>1297.3331945282689</v>
      </c>
    </row>
    <row r="16" spans="1:4" x14ac:dyDescent="0.2">
      <c r="A16" s="236">
        <v>42460</v>
      </c>
      <c r="B16" s="236">
        <v>42472</v>
      </c>
      <c r="C16" s="240">
        <f>Botoes!$B$16</f>
        <v>92</v>
      </c>
      <c r="D16">
        <v>1500.3668569718716</v>
      </c>
    </row>
    <row r="17" spans="1:4" x14ac:dyDescent="0.2">
      <c r="A17" s="236">
        <v>42460</v>
      </c>
      <c r="B17" s="236">
        <v>42473</v>
      </c>
      <c r="C17" s="240">
        <f>Botoes!$B$16</f>
        <v>92</v>
      </c>
      <c r="D17">
        <v>1594.6562537734492</v>
      </c>
    </row>
    <row r="18" spans="1:4" x14ac:dyDescent="0.2">
      <c r="A18" s="236">
        <v>42460</v>
      </c>
      <c r="B18" s="236">
        <v>42474</v>
      </c>
      <c r="C18" s="240">
        <f>Botoes!$B$16</f>
        <v>92</v>
      </c>
      <c r="D18">
        <v>1321.6212605685812</v>
      </c>
    </row>
    <row r="19" spans="1:4" x14ac:dyDescent="0.2">
      <c r="A19" s="236">
        <v>42460</v>
      </c>
      <c r="B19" s="236">
        <v>42475</v>
      </c>
      <c r="C19" s="240">
        <f>Botoes!$B$16</f>
        <v>92</v>
      </c>
      <c r="D19">
        <v>1118.9334511860407</v>
      </c>
    </row>
    <row r="20" spans="1:4" x14ac:dyDescent="0.2">
      <c r="A20" s="236">
        <v>42460</v>
      </c>
      <c r="B20" s="236">
        <v>42476</v>
      </c>
      <c r="C20" s="240">
        <f>Botoes!$B$16</f>
        <v>92</v>
      </c>
      <c r="D20">
        <v>965.85446112435147</v>
      </c>
    </row>
    <row r="21" spans="1:4" x14ac:dyDescent="0.2">
      <c r="A21" s="236">
        <v>42460</v>
      </c>
      <c r="B21" s="236">
        <v>42477</v>
      </c>
      <c r="C21" s="240">
        <f>Botoes!$B$16</f>
        <v>92</v>
      </c>
      <c r="D21">
        <v>876.61156586811785</v>
      </c>
    </row>
    <row r="22" spans="1:4" x14ac:dyDescent="0.2">
      <c r="A22" s="236">
        <v>42460</v>
      </c>
      <c r="B22" s="236">
        <v>42478</v>
      </c>
      <c r="C22" s="240">
        <f>Botoes!$B$16</f>
        <v>92</v>
      </c>
      <c r="D22">
        <v>1518.8428461922001</v>
      </c>
    </row>
    <row r="23" spans="1:4" x14ac:dyDescent="0.2">
      <c r="A23" s="236">
        <v>42460</v>
      </c>
      <c r="B23" s="236">
        <v>42479</v>
      </c>
      <c r="C23" s="240">
        <f>Botoes!$B$16</f>
        <v>92</v>
      </c>
      <c r="D23">
        <v>3525.234662069613</v>
      </c>
    </row>
    <row r="24" spans="1:4" x14ac:dyDescent="0.2">
      <c r="A24" s="236">
        <v>42460</v>
      </c>
      <c r="B24" s="236">
        <v>42480</v>
      </c>
      <c r="C24" s="240">
        <f>Botoes!$B$16</f>
        <v>92</v>
      </c>
      <c r="D24">
        <v>5536.6077342475701</v>
      </c>
    </row>
    <row r="25" spans="1:4" x14ac:dyDescent="0.2">
      <c r="A25" s="236">
        <v>42460</v>
      </c>
      <c r="B25" s="236">
        <v>42481</v>
      </c>
      <c r="C25" s="240">
        <f>Botoes!$B$16</f>
        <v>92</v>
      </c>
      <c r="D25">
        <v>5225.3973752078946</v>
      </c>
    </row>
    <row r="26" spans="1:4" x14ac:dyDescent="0.2">
      <c r="A26" s="236">
        <v>42460</v>
      </c>
      <c r="B26" s="236">
        <v>42482</v>
      </c>
      <c r="C26" s="240">
        <f>Botoes!$B$16</f>
        <v>92</v>
      </c>
      <c r="D26">
        <v>4066.6905113716316</v>
      </c>
    </row>
    <row r="27" spans="1:4" x14ac:dyDescent="0.2">
      <c r="A27" s="236">
        <v>42460</v>
      </c>
      <c r="B27" s="236">
        <v>42483</v>
      </c>
      <c r="C27" s="240">
        <f>Botoes!$B$16</f>
        <v>92</v>
      </c>
      <c r="D27">
        <v>3198.0428812062578</v>
      </c>
    </row>
    <row r="28" spans="1:4" x14ac:dyDescent="0.2">
      <c r="A28" s="236">
        <v>42460</v>
      </c>
      <c r="B28" s="236">
        <v>42484</v>
      </c>
      <c r="C28" s="240">
        <f>Botoes!$B$16</f>
        <v>92</v>
      </c>
      <c r="D28">
        <v>2544.3425159671824</v>
      </c>
    </row>
    <row r="29" spans="1:4" x14ac:dyDescent="0.2">
      <c r="A29" s="236">
        <v>42460</v>
      </c>
      <c r="B29" s="236">
        <v>42485</v>
      </c>
      <c r="C29" s="240">
        <f>Botoes!$B$16</f>
        <v>92</v>
      </c>
      <c r="D29">
        <v>2051.9164580755855</v>
      </c>
    </row>
    <row r="30" spans="1:4" x14ac:dyDescent="0.2">
      <c r="A30" s="236">
        <v>42460</v>
      </c>
      <c r="B30" s="236">
        <v>42486</v>
      </c>
      <c r="C30" s="240">
        <f>Botoes!$B$16</f>
        <v>92</v>
      </c>
      <c r="D30">
        <v>1680.2846580063215</v>
      </c>
    </row>
    <row r="31" spans="1:4" x14ac:dyDescent="0.2">
      <c r="A31" s="236">
        <v>42460</v>
      </c>
      <c r="B31" s="236">
        <v>42487</v>
      </c>
      <c r="C31" s="240">
        <f>Botoes!$B$16</f>
        <v>92</v>
      </c>
      <c r="D31">
        <v>1399.3595634440444</v>
      </c>
    </row>
    <row r="32" spans="1:4" x14ac:dyDescent="0.2">
      <c r="A32" s="236">
        <v>42460</v>
      </c>
      <c r="B32" s="236">
        <v>42488</v>
      </c>
      <c r="C32" s="240">
        <f>Botoes!$B$16</f>
        <v>92</v>
      </c>
      <c r="D32">
        <v>1186.5161406089719</v>
      </c>
    </row>
    <row r="33" spans="1:4" x14ac:dyDescent="0.2">
      <c r="A33" s="236">
        <v>42460</v>
      </c>
      <c r="B33" s="236">
        <v>42489</v>
      </c>
      <c r="C33" s="240">
        <f>Botoes!$B$16</f>
        <v>92</v>
      </c>
      <c r="D33">
        <v>1058.728852998353</v>
      </c>
    </row>
    <row r="34" spans="1:4" x14ac:dyDescent="0.2">
      <c r="A34" s="236">
        <v>42460</v>
      </c>
      <c r="B34" s="236">
        <v>42490</v>
      </c>
      <c r="C34" s="240">
        <f>Botoes!$B$16</f>
        <v>92</v>
      </c>
      <c r="D34">
        <v>1166.9321406117747</v>
      </c>
    </row>
    <row r="35" spans="1:4" x14ac:dyDescent="0.2">
      <c r="A35" s="236">
        <v>42460</v>
      </c>
      <c r="B35" s="236">
        <v>42491</v>
      </c>
      <c r="C35" s="240">
        <f>Botoes!$B$16</f>
        <v>92</v>
      </c>
      <c r="D35">
        <v>1479.5368290466592</v>
      </c>
    </row>
    <row r="36" spans="1:4" x14ac:dyDescent="0.2">
      <c r="A36" s="236">
        <v>42460</v>
      </c>
      <c r="B36" s="236">
        <v>42492</v>
      </c>
      <c r="C36" s="240">
        <f>Botoes!$B$16</f>
        <v>92</v>
      </c>
      <c r="D36">
        <v>1370.3699260685198</v>
      </c>
    </row>
    <row r="37" spans="1:4" x14ac:dyDescent="0.2">
      <c r="A37" s="236">
        <v>42460</v>
      </c>
      <c r="B37" s="236">
        <v>42493</v>
      </c>
      <c r="C37" s="240">
        <f>Botoes!$B$16</f>
        <v>92</v>
      </c>
      <c r="D37">
        <v>1175.0849709478503</v>
      </c>
    </row>
    <row r="38" spans="1:4" x14ac:dyDescent="0.2">
      <c r="A38" s="236">
        <v>42460</v>
      </c>
      <c r="B38" s="236">
        <v>42494</v>
      </c>
      <c r="C38" s="240">
        <f>Botoes!$B$16</f>
        <v>92</v>
      </c>
      <c r="D38">
        <v>1020.4532894614748</v>
      </c>
    </row>
    <row r="39" spans="1:4" x14ac:dyDescent="0.2">
      <c r="A39" s="236">
        <v>42460</v>
      </c>
      <c r="B39" s="236">
        <v>42495</v>
      </c>
      <c r="C39" s="240">
        <f>Botoes!$B$16</f>
        <v>92</v>
      </c>
      <c r="D39">
        <v>914.59932049064582</v>
      </c>
    </row>
    <row r="40" spans="1:4" x14ac:dyDescent="0.2">
      <c r="A40" s="236">
        <v>42460</v>
      </c>
      <c r="B40" s="236">
        <v>42496</v>
      </c>
      <c r="C40" s="240">
        <f>Botoes!$B$16</f>
        <v>92</v>
      </c>
      <c r="D40">
        <v>877.27413212775275</v>
      </c>
    </row>
    <row r="41" spans="1:4" x14ac:dyDescent="0.2">
      <c r="A41" s="236">
        <v>42460</v>
      </c>
      <c r="B41" s="236">
        <v>42497</v>
      </c>
      <c r="C41" s="240">
        <f>Botoes!$B$16</f>
        <v>92</v>
      </c>
      <c r="D41">
        <v>821.97080774134668</v>
      </c>
    </row>
    <row r="42" spans="1:4" x14ac:dyDescent="0.2">
      <c r="A42" s="236">
        <v>42460</v>
      </c>
      <c r="B42" s="236">
        <v>42498</v>
      </c>
      <c r="C42" s="240">
        <f>Botoes!$B$16</f>
        <v>92</v>
      </c>
      <c r="D42">
        <v>756.5810275624458</v>
      </c>
    </row>
    <row r="43" spans="1:4" x14ac:dyDescent="0.2">
      <c r="A43" s="236">
        <v>42460</v>
      </c>
      <c r="B43" s="236">
        <v>42499</v>
      </c>
      <c r="C43" s="240">
        <f>Botoes!$B$16</f>
        <v>92</v>
      </c>
      <c r="D43">
        <v>865.74722443560097</v>
      </c>
    </row>
    <row r="44" spans="1:4" x14ac:dyDescent="0.2">
      <c r="A44" s="236">
        <v>42460</v>
      </c>
      <c r="B44" s="236">
        <v>42500</v>
      </c>
      <c r="C44" s="240">
        <f>Botoes!$B$16</f>
        <v>92</v>
      </c>
      <c r="D44">
        <v>1943.61872621979</v>
      </c>
    </row>
    <row r="45" spans="1:4" x14ac:dyDescent="0.2">
      <c r="A45" s="236">
        <v>42460</v>
      </c>
      <c r="B45" s="236">
        <v>42501</v>
      </c>
      <c r="C45" s="240">
        <f>Botoes!$B$16</f>
        <v>92</v>
      </c>
      <c r="D45">
        <v>4955.7725828749562</v>
      </c>
    </row>
    <row r="46" spans="1:4" x14ac:dyDescent="0.2">
      <c r="A46" s="236">
        <v>42460</v>
      </c>
      <c r="B46" s="236">
        <v>42502</v>
      </c>
      <c r="C46" s="240">
        <f>Botoes!$B$16</f>
        <v>92</v>
      </c>
      <c r="D46">
        <v>7310.9762348367476</v>
      </c>
    </row>
    <row r="47" spans="1:4" x14ac:dyDescent="0.2">
      <c r="A47" s="236">
        <v>42460</v>
      </c>
      <c r="B47" s="236">
        <v>42503</v>
      </c>
      <c r="C47" s="240">
        <f>Botoes!$B$16</f>
        <v>92</v>
      </c>
      <c r="D47">
        <v>8256.5567909079127</v>
      </c>
    </row>
    <row r="48" spans="1:4" x14ac:dyDescent="0.2">
      <c r="A48" s="236">
        <v>42460</v>
      </c>
      <c r="B48" s="236">
        <v>42504</v>
      </c>
      <c r="C48" s="240">
        <f>Botoes!$B$16</f>
        <v>92</v>
      </c>
      <c r="D48">
        <v>6937.9218465004587</v>
      </c>
    </row>
    <row r="49" spans="1:4" x14ac:dyDescent="0.2">
      <c r="A49" s="236">
        <v>42460</v>
      </c>
      <c r="B49" s="236">
        <v>42505</v>
      </c>
      <c r="C49" s="240">
        <f>Botoes!$B$16</f>
        <v>92</v>
      </c>
      <c r="D49">
        <v>5431.3455143420815</v>
      </c>
    </row>
    <row r="50" spans="1:4" x14ac:dyDescent="0.2">
      <c r="A50" s="236">
        <v>42460</v>
      </c>
      <c r="B50" s="236">
        <v>42506</v>
      </c>
      <c r="C50" s="240">
        <f>Botoes!$B$16</f>
        <v>92</v>
      </c>
      <c r="D50">
        <v>4277.3602128867315</v>
      </c>
    </row>
    <row r="51" spans="1:4" x14ac:dyDescent="0.2">
      <c r="A51" s="236">
        <v>42460</v>
      </c>
      <c r="B51" s="236">
        <v>42507</v>
      </c>
      <c r="C51" s="240">
        <f>Botoes!$B$16</f>
        <v>92</v>
      </c>
      <c r="D51">
        <v>3379.3675536183109</v>
      </c>
    </row>
    <row r="52" spans="1:4" x14ac:dyDescent="0.2">
      <c r="A52" s="236">
        <v>42460</v>
      </c>
      <c r="B52" s="236">
        <v>42508</v>
      </c>
      <c r="C52" s="240">
        <f>Botoes!$B$16</f>
        <v>92</v>
      </c>
      <c r="D52">
        <v>2705.4216248121547</v>
      </c>
    </row>
    <row r="53" spans="1:4" x14ac:dyDescent="0.2">
      <c r="A53" s="236">
        <v>42460</v>
      </c>
      <c r="B53" s="236">
        <v>42509</v>
      </c>
      <c r="C53" s="240">
        <f>Botoes!$B$16</f>
        <v>92</v>
      </c>
      <c r="D53">
        <v>2198.7819194597409</v>
      </c>
    </row>
    <row r="54" spans="1:4" x14ac:dyDescent="0.2">
      <c r="A54" s="236">
        <v>42460</v>
      </c>
      <c r="B54" s="236">
        <v>42510</v>
      </c>
      <c r="C54" s="240">
        <f>Botoes!$B$16</f>
        <v>92</v>
      </c>
      <c r="D54">
        <v>1817.1152939106225</v>
      </c>
    </row>
    <row r="55" spans="1:4" x14ac:dyDescent="0.2">
      <c r="A55" s="236">
        <v>42460</v>
      </c>
      <c r="B55" s="236">
        <v>42511</v>
      </c>
      <c r="C55" s="240">
        <f>Botoes!$B$16</f>
        <v>92</v>
      </c>
      <c r="D55">
        <v>1536.0709414946766</v>
      </c>
    </row>
    <row r="56" spans="1:4" x14ac:dyDescent="0.2">
      <c r="A56" s="236">
        <v>42460</v>
      </c>
      <c r="B56" s="236">
        <v>42512</v>
      </c>
      <c r="C56" s="240">
        <f>Botoes!$B$16</f>
        <v>92</v>
      </c>
      <c r="D56">
        <v>1545.7835038750065</v>
      </c>
    </row>
    <row r="57" spans="1:4" x14ac:dyDescent="0.2">
      <c r="A57" s="236">
        <v>42460</v>
      </c>
      <c r="B57" s="236">
        <v>42513</v>
      </c>
      <c r="C57" s="240">
        <f>Botoes!$B$16</f>
        <v>92</v>
      </c>
      <c r="D57">
        <v>2008.8539596836613</v>
      </c>
    </row>
    <row r="58" spans="1:4" x14ac:dyDescent="0.2">
      <c r="A58" s="236">
        <v>42460</v>
      </c>
      <c r="B58" s="236">
        <v>42514</v>
      </c>
      <c r="C58" s="240">
        <f>Botoes!$B$16</f>
        <v>92</v>
      </c>
      <c r="D58">
        <v>2259.8860601756141</v>
      </c>
    </row>
    <row r="59" spans="1:4" x14ac:dyDescent="0.2">
      <c r="A59" s="236">
        <v>42460</v>
      </c>
      <c r="B59" s="236">
        <v>42515</v>
      </c>
      <c r="C59" s="240">
        <f>Botoes!$B$16</f>
        <v>92</v>
      </c>
      <c r="D59">
        <v>2203.7828387718168</v>
      </c>
    </row>
    <row r="60" spans="1:4" x14ac:dyDescent="0.2">
      <c r="A60" s="236">
        <v>42460</v>
      </c>
      <c r="B60" s="236">
        <v>42516</v>
      </c>
      <c r="C60" s="240">
        <f>Botoes!$B$16</f>
        <v>92</v>
      </c>
      <c r="D60">
        <v>1965.4269321358715</v>
      </c>
    </row>
    <row r="61" spans="1:4" x14ac:dyDescent="0.2">
      <c r="A61" s="236">
        <v>42460</v>
      </c>
      <c r="B61" s="236">
        <v>42517</v>
      </c>
      <c r="C61" s="240">
        <f>Botoes!$B$16</f>
        <v>92</v>
      </c>
      <c r="D61">
        <v>1811.0652278546563</v>
      </c>
    </row>
    <row r="62" spans="1:4" x14ac:dyDescent="0.2">
      <c r="A62" s="236">
        <v>42460</v>
      </c>
      <c r="B62" s="202">
        <v>42518</v>
      </c>
      <c r="C62" s="240">
        <f>Botoes!$B$16</f>
        <v>92</v>
      </c>
      <c r="D62" s="125">
        <v>1787.8770729762616</v>
      </c>
    </row>
    <row r="63" spans="1:4" x14ac:dyDescent="0.2">
      <c r="A63" s="236">
        <v>42460</v>
      </c>
      <c r="B63" s="202">
        <v>42519</v>
      </c>
      <c r="C63" s="240">
        <f>Botoes!$B$16</f>
        <v>92</v>
      </c>
      <c r="D63" s="125">
        <v>1935.147369705857</v>
      </c>
    </row>
    <row r="64" spans="1:4" x14ac:dyDescent="0.2">
      <c r="A64" s="236">
        <v>42460</v>
      </c>
      <c r="B64" s="202">
        <v>42520</v>
      </c>
      <c r="C64" s="240">
        <f>Botoes!$B$16</f>
        <v>92</v>
      </c>
      <c r="D64" s="125">
        <v>1986.838347007292</v>
      </c>
    </row>
    <row r="65" spans="1:4" x14ac:dyDescent="0.2">
      <c r="A65" s="236">
        <v>42460</v>
      </c>
      <c r="B65" s="202">
        <v>42521</v>
      </c>
      <c r="C65" s="240">
        <f>Botoes!$B$16</f>
        <v>92</v>
      </c>
      <c r="D65" s="125">
        <v>2325.118570931028</v>
      </c>
    </row>
    <row r="66" spans="1:4" x14ac:dyDescent="0.2">
      <c r="A66" s="236">
        <v>42460</v>
      </c>
      <c r="B66" s="202">
        <v>42522</v>
      </c>
      <c r="C66" s="240">
        <f>Botoes!$B$16</f>
        <v>92</v>
      </c>
      <c r="D66" s="125">
        <v>3202.3395275728099</v>
      </c>
    </row>
    <row r="67" spans="1:4" x14ac:dyDescent="0.2">
      <c r="A67" s="236">
        <v>42460</v>
      </c>
      <c r="B67" s="202">
        <v>42523</v>
      </c>
      <c r="C67" s="240">
        <f>Botoes!$B$16</f>
        <v>92</v>
      </c>
      <c r="D67" s="125">
        <v>3510.8756411033232</v>
      </c>
    </row>
    <row r="68" spans="1:4" x14ac:dyDescent="0.2">
      <c r="A68" s="236">
        <v>42460</v>
      </c>
      <c r="B68" s="202">
        <v>42524</v>
      </c>
      <c r="C68" s="240">
        <f>Botoes!$B$16</f>
        <v>92</v>
      </c>
      <c r="D68" s="125">
        <v>4033.2046128064248</v>
      </c>
    </row>
    <row r="69" spans="1:4" x14ac:dyDescent="0.2">
      <c r="A69" s="236">
        <v>42460</v>
      </c>
      <c r="B69" s="202">
        <v>42525</v>
      </c>
      <c r="C69" s="240">
        <f>Botoes!$B$16</f>
        <v>92</v>
      </c>
      <c r="D69" s="125">
        <v>4773.5005148075152</v>
      </c>
    </row>
    <row r="70" spans="1:4" x14ac:dyDescent="0.2">
      <c r="A70" s="236">
        <v>42460</v>
      </c>
      <c r="B70" s="202">
        <v>42526</v>
      </c>
      <c r="C70" s="240">
        <f>Botoes!$B$16</f>
        <v>92</v>
      </c>
      <c r="D70" s="125">
        <v>5695.5172955738117</v>
      </c>
    </row>
    <row r="71" spans="1:4" x14ac:dyDescent="0.2">
      <c r="A71" s="236">
        <v>42460</v>
      </c>
      <c r="B71" s="202">
        <v>42527</v>
      </c>
      <c r="C71" s="240">
        <f>Botoes!$B$16</f>
        <v>92</v>
      </c>
      <c r="D71" s="125">
        <v>5132.0449433918611</v>
      </c>
    </row>
    <row r="72" spans="1:4" x14ac:dyDescent="0.2">
      <c r="A72" s="236">
        <v>42460</v>
      </c>
      <c r="B72" s="202">
        <v>42528</v>
      </c>
      <c r="C72" s="240">
        <f>Botoes!$B$16</f>
        <v>92</v>
      </c>
      <c r="D72" s="125">
        <v>4428.0445113465712</v>
      </c>
    </row>
    <row r="73" spans="1:4" x14ac:dyDescent="0.2">
      <c r="A73" s="236">
        <v>42460</v>
      </c>
      <c r="B73" s="202">
        <v>42529</v>
      </c>
      <c r="C73" s="240">
        <f>Botoes!$B$16</f>
        <v>92</v>
      </c>
      <c r="D73" s="125">
        <v>3532.7302318108113</v>
      </c>
    </row>
    <row r="74" spans="1:4" x14ac:dyDescent="0.2">
      <c r="A74" s="236">
        <v>42460</v>
      </c>
      <c r="B74" s="202">
        <v>42530</v>
      </c>
      <c r="C74" s="240">
        <f>Botoes!$B$16</f>
        <v>92</v>
      </c>
      <c r="D74" s="125">
        <v>2861.4225665461663</v>
      </c>
    </row>
    <row r="75" spans="1:4" x14ac:dyDescent="0.2">
      <c r="A75" s="236">
        <v>42460</v>
      </c>
      <c r="B75" s="202">
        <v>42531</v>
      </c>
      <c r="C75" s="240">
        <f>Botoes!$B$16</f>
        <v>92</v>
      </c>
      <c r="D75" s="125">
        <v>2355.9846230912599</v>
      </c>
    </row>
    <row r="76" spans="1:4" x14ac:dyDescent="0.2">
      <c r="A76" s="236">
        <v>42460</v>
      </c>
      <c r="B76" s="202">
        <v>42532</v>
      </c>
      <c r="C76" s="240">
        <f>Botoes!$B$16</f>
        <v>92</v>
      </c>
      <c r="D76" s="125">
        <v>1975.0831985635236</v>
      </c>
    </row>
    <row r="77" spans="1:4" x14ac:dyDescent="0.2">
      <c r="A77" s="236">
        <v>42460</v>
      </c>
      <c r="B77" s="202">
        <v>42533</v>
      </c>
      <c r="C77" s="240">
        <f>Botoes!$B$16</f>
        <v>92</v>
      </c>
      <c r="D77" s="125">
        <v>1687.4665259029164</v>
      </c>
    </row>
    <row r="78" spans="1:4" x14ac:dyDescent="0.2">
      <c r="A78" s="236">
        <v>42460</v>
      </c>
      <c r="B78" s="202">
        <v>42534</v>
      </c>
      <c r="C78" s="240">
        <f>Botoes!$B$16</f>
        <v>92</v>
      </c>
      <c r="D78" s="125">
        <v>1469.8231185526174</v>
      </c>
    </row>
    <row r="79" spans="1:4" x14ac:dyDescent="0.2">
      <c r="A79" s="236">
        <v>42460</v>
      </c>
      <c r="B79" s="202">
        <v>42535</v>
      </c>
      <c r="C79" s="240">
        <f>Botoes!$B$16</f>
        <v>92</v>
      </c>
      <c r="D79" s="125">
        <v>1304.6729905509444</v>
      </c>
    </row>
    <row r="80" spans="1:4" x14ac:dyDescent="0.2">
      <c r="A80" s="236">
        <v>42460</v>
      </c>
      <c r="B80" s="202">
        <v>42536</v>
      </c>
      <c r="C80" s="240">
        <f>Botoes!$B$16</f>
        <v>92</v>
      </c>
      <c r="D80" s="125">
        <v>1187.9482242448205</v>
      </c>
    </row>
    <row r="81" spans="1:4" x14ac:dyDescent="0.2">
      <c r="A81" s="236">
        <v>42460</v>
      </c>
      <c r="B81" s="202">
        <v>42537</v>
      </c>
      <c r="C81" s="240">
        <f>Botoes!$B$16</f>
        <v>92</v>
      </c>
      <c r="D81" s="125">
        <v>1103.7001415834793</v>
      </c>
    </row>
    <row r="82" spans="1:4" x14ac:dyDescent="0.2">
      <c r="A82" s="236">
        <v>42460</v>
      </c>
      <c r="B82" s="202">
        <v>42538</v>
      </c>
      <c r="C82" s="240">
        <f>Botoes!$B$16</f>
        <v>92</v>
      </c>
      <c r="D82" s="125">
        <v>1038.4816173892884</v>
      </c>
    </row>
    <row r="83" spans="1:4" x14ac:dyDescent="0.2">
      <c r="A83" s="236">
        <v>42460</v>
      </c>
      <c r="B83" s="202">
        <v>42539</v>
      </c>
      <c r="C83" s="240">
        <f>Botoes!$B$16</f>
        <v>92</v>
      </c>
      <c r="D83" s="125">
        <v>1003.1975341113724</v>
      </c>
    </row>
    <row r="84" spans="1:4" x14ac:dyDescent="0.2">
      <c r="A84" s="236">
        <v>42460</v>
      </c>
      <c r="B84" s="202">
        <v>42540</v>
      </c>
      <c r="C84" s="240">
        <f>Botoes!$B$16</f>
        <v>92</v>
      </c>
      <c r="D84" s="125">
        <v>1167.5275982255637</v>
      </c>
    </row>
    <row r="85" spans="1:4" x14ac:dyDescent="0.2">
      <c r="A85" s="236">
        <v>42460</v>
      </c>
      <c r="B85" s="202">
        <v>42541</v>
      </c>
      <c r="C85" s="240">
        <f>Botoes!$B$16</f>
        <v>92</v>
      </c>
      <c r="D85" s="125">
        <v>1358.5702870216721</v>
      </c>
    </row>
    <row r="86" spans="1:4" x14ac:dyDescent="0.2">
      <c r="A86" s="236">
        <v>42460</v>
      </c>
      <c r="B86" s="202">
        <v>42542</v>
      </c>
      <c r="C86" s="240">
        <f>Botoes!$B$16</f>
        <v>92</v>
      </c>
      <c r="D86" s="125">
        <v>1698.7433182638597</v>
      </c>
    </row>
    <row r="87" spans="1:4" x14ac:dyDescent="0.2">
      <c r="A87" s="236">
        <v>42460</v>
      </c>
      <c r="B87" s="202">
        <v>42543</v>
      </c>
      <c r="C87" s="240">
        <f>Botoes!$B$16</f>
        <v>92</v>
      </c>
      <c r="D87" s="125">
        <v>1531.3591094719095</v>
      </c>
    </row>
    <row r="88" spans="1:4" x14ac:dyDescent="0.2">
      <c r="A88" s="236">
        <v>42460</v>
      </c>
      <c r="B88" s="202">
        <v>42544</v>
      </c>
      <c r="C88" s="240">
        <f>Botoes!$B$16</f>
        <v>92</v>
      </c>
      <c r="D88" s="125">
        <v>1355.2328377454887</v>
      </c>
    </row>
    <row r="89" spans="1:4" x14ac:dyDescent="0.2">
      <c r="A89" s="236">
        <v>42460</v>
      </c>
      <c r="B89" s="202">
        <v>42545</v>
      </c>
      <c r="C89" s="240">
        <f>Botoes!$B$16</f>
        <v>92</v>
      </c>
      <c r="D89" s="125">
        <v>1224.0677198875781</v>
      </c>
    </row>
    <row r="90" spans="1:4" x14ac:dyDescent="0.2">
      <c r="A90" s="236">
        <v>42460</v>
      </c>
      <c r="B90" s="202">
        <v>42546</v>
      </c>
      <c r="C90" s="240">
        <f>Botoes!$B$16</f>
        <v>92</v>
      </c>
      <c r="D90" s="125">
        <v>1126.7852072573241</v>
      </c>
    </row>
    <row r="91" spans="1:4" x14ac:dyDescent="0.2">
      <c r="A91" s="236">
        <v>42460</v>
      </c>
      <c r="B91" s="202">
        <v>42547</v>
      </c>
      <c r="C91" s="240">
        <f>Botoes!$B$16</f>
        <v>92</v>
      </c>
      <c r="D91" s="125">
        <v>1065.0984885005582</v>
      </c>
    </row>
    <row r="92" spans="1:4" x14ac:dyDescent="0.2">
      <c r="A92" s="236">
        <v>42460</v>
      </c>
      <c r="B92" s="202">
        <v>42548</v>
      </c>
      <c r="C92" s="240">
        <f>Botoes!$B$16</f>
        <v>92</v>
      </c>
      <c r="D92" s="125">
        <v>1004.9035117708617</v>
      </c>
    </row>
    <row r="93" spans="1:4" x14ac:dyDescent="0.2">
      <c r="A93" s="236">
        <v>42460</v>
      </c>
      <c r="B93" s="202">
        <v>42549</v>
      </c>
      <c r="C93" s="240">
        <f>Botoes!$B$16</f>
        <v>92</v>
      </c>
      <c r="D93" s="125">
        <v>959.99128053710399</v>
      </c>
    </row>
    <row r="94" spans="1:4" x14ac:dyDescent="0.2">
      <c r="A94" s="236">
        <v>42460</v>
      </c>
      <c r="B94" s="202">
        <v>42550</v>
      </c>
      <c r="C94" s="240">
        <f>Botoes!$B$16</f>
        <v>92</v>
      </c>
      <c r="D94" s="125">
        <v>925.71844999602047</v>
      </c>
    </row>
    <row r="95" spans="1:4" x14ac:dyDescent="0.2">
      <c r="A95" s="236">
        <v>42460</v>
      </c>
      <c r="B95" s="202">
        <v>42551</v>
      </c>
      <c r="C95" s="240">
        <f>Botoes!$B$16</f>
        <v>92</v>
      </c>
      <c r="D95" s="125">
        <v>898.45466650071876</v>
      </c>
    </row>
    <row r="96" spans="1:4" x14ac:dyDescent="0.2">
      <c r="A96" s="236">
        <v>42460</v>
      </c>
      <c r="B96" s="202">
        <v>42552</v>
      </c>
      <c r="C96" s="240">
        <f>Botoes!$B$16</f>
        <v>92</v>
      </c>
      <c r="D96" s="125">
        <v>876.31155922646462</v>
      </c>
    </row>
    <row r="97" spans="1:4" x14ac:dyDescent="0.2">
      <c r="A97" s="236">
        <v>42460</v>
      </c>
      <c r="B97" s="202">
        <v>42553</v>
      </c>
      <c r="C97" s="240">
        <f>Botoes!$B$16</f>
        <v>92</v>
      </c>
      <c r="D97" s="125">
        <v>857.84027854169426</v>
      </c>
    </row>
    <row r="98" spans="1:4" x14ac:dyDescent="0.2">
      <c r="A98" s="236">
        <v>42460</v>
      </c>
      <c r="B98" s="202">
        <v>42554</v>
      </c>
      <c r="C98" s="240">
        <f>Botoes!$B$16</f>
        <v>92</v>
      </c>
      <c r="D98" s="125">
        <v>841.90093065073779</v>
      </c>
    </row>
    <row r="99" spans="1:4" x14ac:dyDescent="0.2">
      <c r="A99" s="236">
        <v>42460</v>
      </c>
      <c r="B99" s="202">
        <v>42555</v>
      </c>
      <c r="C99" s="240">
        <f>Botoes!$B$16</f>
        <v>92</v>
      </c>
      <c r="D99" s="125">
        <v>827.75996917886971</v>
      </c>
    </row>
    <row r="100" spans="1:4" x14ac:dyDescent="0.2">
      <c r="A100" s="236">
        <v>42460</v>
      </c>
      <c r="B100" s="202">
        <v>42556</v>
      </c>
      <c r="C100" s="240">
        <f>Botoes!$B$16</f>
        <v>92</v>
      </c>
      <c r="D100" s="125">
        <v>814.88091271802989</v>
      </c>
    </row>
    <row r="101" spans="1:4" x14ac:dyDescent="0.2">
      <c r="A101" s="236">
        <v>42460</v>
      </c>
      <c r="B101" s="202">
        <v>42557</v>
      </c>
      <c r="C101" s="240">
        <f>Botoes!$B$16</f>
        <v>92</v>
      </c>
      <c r="D101" s="125">
        <v>802.87383020088964</v>
      </c>
    </row>
    <row r="102" spans="1:4" x14ac:dyDescent="0.2">
      <c r="A102" s="236">
        <v>42460</v>
      </c>
      <c r="B102" s="202">
        <v>42558</v>
      </c>
      <c r="C102" s="240">
        <f>Botoes!$B$16</f>
        <v>92</v>
      </c>
      <c r="D102" s="125">
        <v>791.45750032375531</v>
      </c>
    </row>
    <row r="103" spans="1:4" x14ac:dyDescent="0.2">
      <c r="A103" s="236">
        <v>42460</v>
      </c>
      <c r="B103" s="202">
        <v>42559</v>
      </c>
      <c r="C103" s="240">
        <f>Botoes!$B$16</f>
        <v>92</v>
      </c>
      <c r="D103" s="125">
        <v>780.43110514121793</v>
      </c>
    </row>
    <row r="104" spans="1:4" x14ac:dyDescent="0.2">
      <c r="A104" s="236">
        <v>42460</v>
      </c>
      <c r="B104" s="202">
        <v>42560</v>
      </c>
      <c r="C104" s="240">
        <f>Botoes!$B$16</f>
        <v>92</v>
      </c>
      <c r="D104" s="125">
        <v>769.65308744276774</v>
      </c>
    </row>
    <row r="105" spans="1:4" x14ac:dyDescent="0.2">
      <c r="A105" s="236">
        <v>42460</v>
      </c>
      <c r="B105" s="202">
        <v>42561</v>
      </c>
      <c r="C105" s="240">
        <f>Botoes!$B$16</f>
        <v>92</v>
      </c>
      <c r="D105" s="125">
        <v>759.02538488633309</v>
      </c>
    </row>
    <row r="106" spans="1:4" x14ac:dyDescent="0.2">
      <c r="A106" s="236">
        <v>42460</v>
      </c>
      <c r="B106" s="202">
        <v>42562</v>
      </c>
      <c r="C106" s="240">
        <f>Botoes!$B$16</f>
        <v>92</v>
      </c>
      <c r="D106" s="125">
        <v>748.48169523450224</v>
      </c>
    </row>
    <row r="107" spans="1:4" x14ac:dyDescent="0.2">
      <c r="A107" s="236">
        <v>42460</v>
      </c>
      <c r="B107" s="202">
        <v>42563</v>
      </c>
      <c r="C107" s="240">
        <f>Botoes!$B$16</f>
        <v>92</v>
      </c>
      <c r="D107" s="125">
        <v>737.97876044532973</v>
      </c>
    </row>
    <row r="108" spans="1:4" x14ac:dyDescent="0.2">
      <c r="A108" s="236">
        <v>42460</v>
      </c>
      <c r="B108" s="202">
        <v>42564</v>
      </c>
      <c r="C108" s="240">
        <f>Botoes!$B$16</f>
        <v>92</v>
      </c>
      <c r="D108" s="125">
        <v>727.48990889267679</v>
      </c>
    </row>
    <row r="109" spans="1:4" x14ac:dyDescent="0.2">
      <c r="A109" s="236">
        <v>42460</v>
      </c>
      <c r="B109" s="202">
        <v>42565</v>
      </c>
      <c r="C109" s="240">
        <f>Botoes!$B$16</f>
        <v>92</v>
      </c>
      <c r="D109" s="125">
        <v>717.0002845332757</v>
      </c>
    </row>
    <row r="110" spans="1:4" x14ac:dyDescent="0.2">
      <c r="A110" s="236">
        <v>42460</v>
      </c>
      <c r="B110" s="202">
        <v>42566</v>
      </c>
      <c r="C110" s="240">
        <f>Botoes!$B$16</f>
        <v>92</v>
      </c>
      <c r="D110" s="125">
        <v>706.50333453673124</v>
      </c>
    </row>
    <row r="111" spans="1:4" x14ac:dyDescent="0.2">
      <c r="A111" s="236">
        <v>42460</v>
      </c>
      <c r="B111" s="202">
        <v>42567</v>
      </c>
      <c r="C111" s="240">
        <f>Botoes!$B$16</f>
        <v>92</v>
      </c>
      <c r="D111" s="125">
        <v>696.1858674246821</v>
      </c>
    </row>
    <row r="112" spans="1:4" x14ac:dyDescent="0.2">
      <c r="A112" s="236">
        <v>42460</v>
      </c>
      <c r="B112" s="202">
        <v>42568</v>
      </c>
      <c r="C112" s="240">
        <f>Botoes!$B$16</f>
        <v>92</v>
      </c>
      <c r="D112" s="125">
        <v>686.07967412222729</v>
      </c>
    </row>
    <row r="113" spans="1:4" x14ac:dyDescent="0.2">
      <c r="A113" s="236">
        <v>42460</v>
      </c>
      <c r="B113" s="202">
        <v>42569</v>
      </c>
      <c r="C113" s="240">
        <f>Botoes!$B$16</f>
        <v>92</v>
      </c>
      <c r="D113" s="125">
        <v>676.16578089291102</v>
      </c>
    </row>
    <row r="114" spans="1:4" x14ac:dyDescent="0.2">
      <c r="A114" s="236">
        <v>42460</v>
      </c>
      <c r="B114" s="202">
        <v>42570</v>
      </c>
      <c r="C114" s="240">
        <f>Botoes!$B$16</f>
        <v>92</v>
      </c>
      <c r="D114" s="125">
        <v>666.42944273141086</v>
      </c>
    </row>
    <row r="115" spans="1:4" x14ac:dyDescent="0.2">
      <c r="A115" s="236">
        <v>42460</v>
      </c>
      <c r="B115" s="202">
        <v>42571</v>
      </c>
      <c r="C115" s="240">
        <f>Botoes!$B$16</f>
        <v>92</v>
      </c>
      <c r="D115" s="125">
        <v>656.85910166309088</v>
      </c>
    </row>
    <row r="116" spans="1:4" x14ac:dyDescent="0.2">
      <c r="A116" s="236">
        <v>42460</v>
      </c>
      <c r="B116" s="202">
        <v>42572</v>
      </c>
      <c r="C116" s="240">
        <f>Botoes!$B$16</f>
        <v>92</v>
      </c>
      <c r="D116" s="125">
        <v>647.44560322629661</v>
      </c>
    </row>
    <row r="117" spans="1:4" x14ac:dyDescent="0.2">
      <c r="A117" s="236">
        <v>42460</v>
      </c>
      <c r="B117" s="202">
        <v>42573</v>
      </c>
      <c r="C117" s="240">
        <f>Botoes!$B$16</f>
        <v>92</v>
      </c>
      <c r="D117" s="125">
        <v>638.18160712495785</v>
      </c>
    </row>
    <row r="118" spans="1:4" x14ac:dyDescent="0.2">
      <c r="A118" s="236">
        <v>42460</v>
      </c>
      <c r="B118" s="202">
        <v>42574</v>
      </c>
      <c r="C118" s="240">
        <f>Botoes!$B$16</f>
        <v>92</v>
      </c>
      <c r="D118" s="125">
        <v>629.06114391027563</v>
      </c>
    </row>
    <row r="119" spans="1:4" x14ac:dyDescent="0.2">
      <c r="A119" s="236">
        <v>42460</v>
      </c>
      <c r="B119" s="202">
        <v>42575</v>
      </c>
      <c r="C119" s="240">
        <f>Botoes!$B$16</f>
        <v>92</v>
      </c>
      <c r="D119" s="125">
        <v>620.07928148638996</v>
      </c>
    </row>
    <row r="120" spans="1:4" x14ac:dyDescent="0.2">
      <c r="A120" s="236">
        <v>42460</v>
      </c>
      <c r="B120" s="202">
        <v>42576</v>
      </c>
      <c r="C120" s="240">
        <f>Botoes!$B$16</f>
        <v>92</v>
      </c>
      <c r="D120" s="125">
        <v>611.23187421159082</v>
      </c>
    </row>
    <row r="121" spans="1:4" x14ac:dyDescent="0.2">
      <c r="A121" s="236">
        <v>42460</v>
      </c>
      <c r="B121" s="202">
        <v>42577</v>
      </c>
      <c r="C121" s="240">
        <f>Botoes!$B$16</f>
        <v>92</v>
      </c>
      <c r="D121" s="125">
        <v>602.5153741176357</v>
      </c>
    </row>
    <row r="122" spans="1:4" x14ac:dyDescent="0.2">
      <c r="A122" s="236">
        <v>42460</v>
      </c>
      <c r="B122" s="202">
        <v>42578</v>
      </c>
      <c r="C122" s="240">
        <f>Botoes!$B$16</f>
        <v>92</v>
      </c>
      <c r="D122" s="125">
        <v>593.92668884689203</v>
      </c>
    </row>
    <row r="123" spans="1:4" x14ac:dyDescent="0.2">
      <c r="A123" s="236">
        <v>42460</v>
      </c>
      <c r="B123" s="202">
        <v>42579</v>
      </c>
      <c r="C123" s="240">
        <f>Botoes!$B$16</f>
        <v>92</v>
      </c>
      <c r="D123" s="125">
        <v>585.46307472535</v>
      </c>
    </row>
    <row r="124" spans="1:4" x14ac:dyDescent="0.2">
      <c r="A124" s="236">
        <v>42460</v>
      </c>
      <c r="B124" s="202">
        <v>42580</v>
      </c>
      <c r="C124" s="240">
        <f>Botoes!$B$16</f>
        <v>92</v>
      </c>
      <c r="D124" s="125">
        <v>577.12205626116031</v>
      </c>
    </row>
    <row r="125" spans="1:4" x14ac:dyDescent="0.2">
      <c r="A125" s="236">
        <v>42460</v>
      </c>
      <c r="B125" s="202">
        <v>42581</v>
      </c>
      <c r="C125" s="240">
        <f>Botoes!$B$16</f>
        <v>92</v>
      </c>
      <c r="D125" s="125">
        <v>568.90136551798003</v>
      </c>
    </row>
    <row r="126" spans="1:4" x14ac:dyDescent="0.2">
      <c r="A126" s="236">
        <v>42460</v>
      </c>
      <c r="B126" s="202">
        <v>42582</v>
      </c>
      <c r="C126" s="240">
        <f>Botoes!$B$16</f>
        <v>92</v>
      </c>
      <c r="D126" s="125">
        <v>560.79889643657168</v>
      </c>
    </row>
    <row r="127" spans="1:4" x14ac:dyDescent="0.2">
      <c r="A127" s="236">
        <v>42460</v>
      </c>
      <c r="B127" s="202">
        <v>42583</v>
      </c>
      <c r="C127" s="240">
        <f>Botoes!$B$16</f>
        <v>92</v>
      </c>
      <c r="D127" s="125">
        <v>552.81267039957731</v>
      </c>
    </row>
    <row r="128" spans="1:4" x14ac:dyDescent="0.2">
      <c r="A128" s="236">
        <v>42460</v>
      </c>
      <c r="B128" s="202">
        <v>42584</v>
      </c>
      <c r="C128" s="240">
        <f>Botoes!$B$16</f>
        <v>92</v>
      </c>
      <c r="D128" s="125">
        <v>544.94081025300568</v>
      </c>
    </row>
    <row r="129" spans="1:4" x14ac:dyDescent="0.2">
      <c r="A129" s="236">
        <v>42460</v>
      </c>
      <c r="B129" s="202">
        <v>42585</v>
      </c>
      <c r="C129" s="240">
        <f>Botoes!$B$16</f>
        <v>92</v>
      </c>
      <c r="D129" s="125">
        <v>537.18152068883444</v>
      </c>
    </row>
    <row r="130" spans="1:4" x14ac:dyDescent="0.2">
      <c r="A130" s="236">
        <v>42460</v>
      </c>
      <c r="B130" s="202">
        <v>42586</v>
      </c>
      <c r="C130" s="240">
        <f>Botoes!$B$16</f>
        <v>92</v>
      </c>
      <c r="D130" s="125">
        <v>529.5330734126876</v>
      </c>
    </row>
    <row r="131" spans="1:4" x14ac:dyDescent="0.2">
      <c r="A131" s="236">
        <v>42460</v>
      </c>
      <c r="B131" s="202">
        <v>42587</v>
      </c>
      <c r="C131" s="240">
        <f>Botoes!$B$16</f>
        <v>92</v>
      </c>
      <c r="D131" s="125">
        <v>521.99379591130264</v>
      </c>
    </row>
    <row r="132" spans="1:4" x14ac:dyDescent="0.2">
      <c r="A132" s="236">
        <v>42460</v>
      </c>
      <c r="B132" s="202">
        <v>42588</v>
      </c>
      <c r="C132" s="240">
        <f>Botoes!$B$16</f>
        <v>92</v>
      </c>
      <c r="D132" s="125">
        <v>514.562062928361</v>
      </c>
    </row>
    <row r="133" spans="1:4" x14ac:dyDescent="0.2">
      <c r="A133" s="236">
        <v>42460</v>
      </c>
      <c r="B133" s="202">
        <v>42589</v>
      </c>
      <c r="C133" s="240">
        <f>Botoes!$B$16</f>
        <v>92</v>
      </c>
      <c r="D133" s="125">
        <v>507.23628997826211</v>
      </c>
    </row>
    <row r="134" spans="1:4" x14ac:dyDescent="0.2">
      <c r="A134" s="236">
        <v>42460</v>
      </c>
      <c r="B134" s="202">
        <v>42590</v>
      </c>
      <c r="C134" s="240">
        <f>Botoes!$B$16</f>
        <v>92</v>
      </c>
      <c r="D134" s="125">
        <v>500.01492839362794</v>
      </c>
    </row>
    <row r="135" spans="1:4" x14ac:dyDescent="0.2">
      <c r="A135" s="236">
        <v>42460</v>
      </c>
      <c r="B135" s="202">
        <v>42591</v>
      </c>
      <c r="C135" s="240">
        <f>Botoes!$B$16</f>
        <v>92</v>
      </c>
      <c r="D135" s="125">
        <v>492.89646152732644</v>
      </c>
    </row>
    <row r="136" spans="1:4" x14ac:dyDescent="0.2">
      <c r="A136" s="236">
        <v>42460</v>
      </c>
      <c r="B136" s="202">
        <v>42592</v>
      </c>
      <c r="C136" s="240">
        <f>Botoes!$B$16</f>
        <v>92</v>
      </c>
      <c r="D136" s="125">
        <v>485.87940182380538</v>
      </c>
    </row>
    <row r="137" spans="1:4" x14ac:dyDescent="0.2">
      <c r="A137" s="236">
        <v>42460</v>
      </c>
      <c r="B137" s="202">
        <v>42593</v>
      </c>
      <c r="C137" s="240">
        <f>Botoes!$B$16</f>
        <v>92</v>
      </c>
      <c r="D137" s="125">
        <v>478.96228854523264</v>
      </c>
    </row>
    <row r="138" spans="1:4" x14ac:dyDescent="0.2">
      <c r="A138" s="236">
        <v>42460</v>
      </c>
      <c r="B138" s="202">
        <v>42594</v>
      </c>
      <c r="C138" s="240">
        <f>Botoes!$B$16</f>
        <v>92</v>
      </c>
      <c r="D138" s="125">
        <v>472.14368599110276</v>
      </c>
    </row>
    <row r="139" spans="1:4" x14ac:dyDescent="0.2">
      <c r="A139" s="236">
        <v>42460</v>
      </c>
      <c r="B139" s="202">
        <v>42595</v>
      </c>
      <c r="C139" s="240">
        <f>Botoes!$B$16</f>
        <v>92</v>
      </c>
      <c r="D139" s="125">
        <v>465.42218208996422</v>
      </c>
    </row>
    <row r="140" spans="1:4" x14ac:dyDescent="0.2">
      <c r="A140" s="236">
        <v>42460</v>
      </c>
      <c r="B140" s="202">
        <v>42596</v>
      </c>
      <c r="C140" s="240">
        <f>Botoes!$B$16</f>
        <v>92</v>
      </c>
      <c r="D140" s="125">
        <v>458.79638727198574</v>
      </c>
    </row>
    <row r="141" spans="1:4" x14ac:dyDescent="0.2">
      <c r="A141" s="236">
        <v>42460</v>
      </c>
      <c r="B141" s="202">
        <v>42597</v>
      </c>
      <c r="C141" s="240">
        <f>Botoes!$B$16</f>
        <v>92</v>
      </c>
      <c r="D141" s="125">
        <v>452.2649335537094</v>
      </c>
    </row>
    <row r="142" spans="1:4" x14ac:dyDescent="0.2">
      <c r="A142" s="236">
        <v>42460</v>
      </c>
      <c r="B142" s="202">
        <v>42598</v>
      </c>
      <c r="C142" s="240">
        <f>Botoes!$B$16</f>
        <v>92</v>
      </c>
      <c r="D142" s="125">
        <v>445.82647378333291</v>
      </c>
    </row>
    <row r="143" spans="1:4" x14ac:dyDescent="0.2">
      <c r="A143" s="236">
        <v>42460</v>
      </c>
      <c r="B143" s="202">
        <v>42599</v>
      </c>
      <c r="C143" s="240">
        <f>Botoes!$B$16</f>
        <v>92</v>
      </c>
      <c r="D143" s="125">
        <v>439.47968100767105</v>
      </c>
    </row>
    <row r="144" spans="1:4" x14ac:dyDescent="0.2">
      <c r="A144" s="236">
        <v>42460</v>
      </c>
      <c r="B144" s="202">
        <v>42600</v>
      </c>
      <c r="C144" s="240">
        <f>Botoes!$B$16</f>
        <v>92</v>
      </c>
      <c r="D144" s="125">
        <v>433.2232479315536</v>
      </c>
    </row>
    <row r="145" spans="1:4" x14ac:dyDescent="0.2">
      <c r="A145" s="236">
        <v>42460</v>
      </c>
      <c r="B145" s="202">
        <v>42601</v>
      </c>
      <c r="C145" s="240">
        <f>Botoes!$B$16</f>
        <v>92</v>
      </c>
      <c r="D145" s="125">
        <v>427.05588644766334</v>
      </c>
    </row>
    <row r="146" spans="1:4" x14ac:dyDescent="0.2">
      <c r="A146" s="236">
        <v>42460</v>
      </c>
      <c r="B146" s="202">
        <v>42602</v>
      </c>
      <c r="C146" s="240">
        <f>Botoes!$B$16</f>
        <v>92</v>
      </c>
      <c r="D146" s="125">
        <v>420.97632722025213</v>
      </c>
    </row>
    <row r="147" spans="1:4" x14ac:dyDescent="0.2">
      <c r="A147" s="236">
        <v>42460</v>
      </c>
      <c r="B147" s="202">
        <v>42603</v>
      </c>
      <c r="C147" s="240">
        <f>Botoes!$B$16</f>
        <v>92</v>
      </c>
      <c r="D147" s="125">
        <v>414.98331931027053</v>
      </c>
    </row>
    <row r="148" spans="1:4" x14ac:dyDescent="0.2">
      <c r="A148" s="236">
        <v>42460</v>
      </c>
      <c r="B148" s="202">
        <v>42604</v>
      </c>
      <c r="C148" s="240">
        <f>Botoes!$B$16</f>
        <v>92</v>
      </c>
      <c r="D148" s="125">
        <v>409.07562983252171</v>
      </c>
    </row>
    <row r="149" spans="1:4" x14ac:dyDescent="0.2">
      <c r="A149" s="236">
        <v>42460</v>
      </c>
      <c r="B149" s="202">
        <v>42605</v>
      </c>
      <c r="C149" s="240">
        <f>Botoes!$B$16</f>
        <v>92</v>
      </c>
      <c r="D149" s="125">
        <v>403.25204363776777</v>
      </c>
    </row>
    <row r="150" spans="1:4" x14ac:dyDescent="0.2">
      <c r="A150" s="236">
        <v>42460</v>
      </c>
      <c r="B150" s="202">
        <v>42606</v>
      </c>
      <c r="C150" s="240">
        <f>Botoes!$B$16</f>
        <v>92</v>
      </c>
      <c r="D150" s="125">
        <v>397.5113630144553</v>
      </c>
    </row>
    <row r="151" spans="1:4" x14ac:dyDescent="0.2">
      <c r="A151" s="236">
        <v>42460</v>
      </c>
      <c r="B151" s="202">
        <v>42607</v>
      </c>
      <c r="C151" s="240">
        <f>Botoes!$B$16</f>
        <v>92</v>
      </c>
      <c r="D151" s="125">
        <v>391.85240740604041</v>
      </c>
    </row>
    <row r="152" spans="1:4" x14ac:dyDescent="0.2">
      <c r="A152" s="236">
        <v>42460</v>
      </c>
      <c r="B152" s="202">
        <v>42608</v>
      </c>
      <c r="C152" s="240">
        <f>Botoes!$B$16</f>
        <v>92</v>
      </c>
      <c r="D152" s="125">
        <v>386.27401314087427</v>
      </c>
    </row>
    <row r="153" spans="1:4" x14ac:dyDescent="0.2">
      <c r="A153" s="236">
        <v>42460</v>
      </c>
      <c r="B153" s="202">
        <v>42609</v>
      </c>
      <c r="C153" s="240">
        <f>Botoes!$B$16</f>
        <v>92</v>
      </c>
      <c r="D153" s="125">
        <v>380.77503317235545</v>
      </c>
    </row>
    <row r="154" spans="1:4" x14ac:dyDescent="0.2">
      <c r="A154" s="236">
        <v>42460</v>
      </c>
      <c r="B154" s="202">
        <v>42610</v>
      </c>
      <c r="C154" s="240">
        <f>Botoes!$B$16</f>
        <v>92</v>
      </c>
      <c r="D154" s="125">
        <v>375.3543368276097</v>
      </c>
    </row>
    <row r="155" spans="1:4" x14ac:dyDescent="0.2">
      <c r="A155" s="236">
        <v>42460</v>
      </c>
      <c r="B155" s="202">
        <v>42611</v>
      </c>
      <c r="C155" s="240">
        <f>Botoes!$B$16</f>
        <v>92</v>
      </c>
      <c r="D155" s="125">
        <v>370.01080956337915</v>
      </c>
    </row>
    <row r="156" spans="1:4" x14ac:dyDescent="0.2">
      <c r="A156" s="236">
        <v>42460</v>
      </c>
      <c r="B156" s="202">
        <v>42612</v>
      </c>
      <c r="C156" s="240">
        <f>Botoes!$B$16</f>
        <v>92</v>
      </c>
      <c r="D156" s="125">
        <v>364.743352728118</v>
      </c>
    </row>
    <row r="157" spans="1:4" x14ac:dyDescent="0.2">
      <c r="A157" s="236">
        <v>42460</v>
      </c>
      <c r="B157" s="202">
        <v>42613</v>
      </c>
      <c r="C157" s="240">
        <f>Botoes!$B$16</f>
        <v>92</v>
      </c>
      <c r="D157" s="125">
        <v>359.55088332952835</v>
      </c>
    </row>
    <row r="158" spans="1:4" x14ac:dyDescent="0.2">
      <c r="A158" s="236">
        <v>42460</v>
      </c>
      <c r="B158" s="202">
        <v>42614</v>
      </c>
      <c r="C158" s="240">
        <f>Botoes!$B$16</f>
        <v>92</v>
      </c>
      <c r="D158" s="125">
        <v>354.43233380695091</v>
      </c>
    </row>
    <row r="159" spans="1:4" x14ac:dyDescent="0.2">
      <c r="A159" s="236">
        <v>42460</v>
      </c>
      <c r="B159" s="202">
        <v>42615</v>
      </c>
      <c r="C159" s="240">
        <f>Botoes!$B$16</f>
        <v>92</v>
      </c>
      <c r="D159" s="125">
        <v>349.38665180815684</v>
      </c>
    </row>
    <row r="160" spans="1:4" x14ac:dyDescent="0.2">
      <c r="A160" s="236">
        <v>42460</v>
      </c>
      <c r="B160" s="202">
        <v>42616</v>
      </c>
      <c r="C160" s="240">
        <f>Botoes!$B$16</f>
        <v>92</v>
      </c>
      <c r="D160" s="125">
        <v>344.41279997019171</v>
      </c>
    </row>
    <row r="161" spans="1:4" x14ac:dyDescent="0.2">
      <c r="A161" s="236">
        <v>42460</v>
      </c>
      <c r="B161" s="202">
        <v>42617</v>
      </c>
      <c r="C161" s="240">
        <f>Botoes!$B$16</f>
        <v>92</v>
      </c>
      <c r="D161" s="125">
        <v>339.5097557039951</v>
      </c>
    </row>
    <row r="162" spans="1:4" x14ac:dyDescent="0.2">
      <c r="A162" s="236">
        <v>42460</v>
      </c>
      <c r="B162" s="202">
        <v>42618</v>
      </c>
      <c r="C162" s="240">
        <f>Botoes!$B$16</f>
        <v>92</v>
      </c>
      <c r="D162" s="125">
        <v>334.67651098258204</v>
      </c>
    </row>
    <row r="163" spans="1:4" x14ac:dyDescent="0.2">
      <c r="A163" s="236">
        <v>42460</v>
      </c>
      <c r="B163" s="202">
        <v>42619</v>
      </c>
      <c r="C163" s="240">
        <f>Botoes!$B$16</f>
        <v>92</v>
      </c>
      <c r="D163" s="125">
        <v>329.91207213261043</v>
      </c>
    </row>
    <row r="164" spans="1:4" x14ac:dyDescent="0.2">
      <c r="A164" s="236">
        <v>42460</v>
      </c>
      <c r="B164" s="202">
        <v>42620</v>
      </c>
      <c r="C164" s="240">
        <f>Botoes!$B$16</f>
        <v>92</v>
      </c>
      <c r="D164" s="125">
        <v>325.21545962919595</v>
      </c>
    </row>
    <row r="165" spans="1:4" x14ac:dyDescent="0.2">
      <c r="A165" s="236">
        <v>42460</v>
      </c>
      <c r="B165" s="202">
        <v>42621</v>
      </c>
      <c r="C165" s="240">
        <f>Botoes!$B$16</f>
        <v>92</v>
      </c>
      <c r="D165" s="125">
        <v>320.58570789385669</v>
      </c>
    </row>
    <row r="166" spans="1:4" x14ac:dyDescent="0.2">
      <c r="A166" s="236">
        <v>42460</v>
      </c>
      <c r="B166" s="202">
        <v>42622</v>
      </c>
      <c r="C166" s="240">
        <f>Botoes!$B$16</f>
        <v>92</v>
      </c>
      <c r="D166" s="125">
        <v>316.02186509549477</v>
      </c>
    </row>
    <row r="167" spans="1:4" x14ac:dyDescent="0.2">
      <c r="A167" s="236">
        <v>42460</v>
      </c>
      <c r="B167" s="202">
        <v>42623</v>
      </c>
      <c r="C167" s="240">
        <f>Botoes!$B$16</f>
        <v>92</v>
      </c>
      <c r="D167" s="125">
        <v>311.52299295432744</v>
      </c>
    </row>
    <row r="168" spans="1:4" x14ac:dyDescent="0.2">
      <c r="A168" s="236">
        <v>42460</v>
      </c>
      <c r="B168" s="202">
        <v>42624</v>
      </c>
      <c r="C168" s="240">
        <f>Botoes!$B$16</f>
        <v>92</v>
      </c>
      <c r="D168" s="125">
        <v>307.08816654870071</v>
      </c>
    </row>
    <row r="169" spans="1:4" x14ac:dyDescent="0.2">
      <c r="A169" s="236">
        <v>42460</v>
      </c>
      <c r="B169" s="202">
        <v>42625</v>
      </c>
      <c r="C169" s="240">
        <f>Botoes!$B$16</f>
        <v>92</v>
      </c>
      <c r="D169" s="125">
        <v>302.71647412471964</v>
      </c>
    </row>
    <row r="170" spans="1:4" x14ac:dyDescent="0.2">
      <c r="A170" s="236">
        <v>42460</v>
      </c>
      <c r="B170" s="202">
        <v>42626</v>
      </c>
      <c r="C170" s="240">
        <f>Botoes!$B$16</f>
        <v>92</v>
      </c>
      <c r="D170" s="125">
        <v>298.40701690863892</v>
      </c>
    </row>
    <row r="171" spans="1:4" x14ac:dyDescent="0.2">
      <c r="A171" s="236">
        <v>42460</v>
      </c>
      <c r="B171" s="202">
        <v>42627</v>
      </c>
      <c r="C171" s="240">
        <f>Botoes!$B$16</f>
        <v>92</v>
      </c>
      <c r="D171" s="125">
        <v>294.1589089219633</v>
      </c>
    </row>
    <row r="172" spans="1:4" x14ac:dyDescent="0.2">
      <c r="A172" s="236">
        <v>42460</v>
      </c>
      <c r="B172" s="202">
        <v>42628</v>
      </c>
      <c r="C172" s="240">
        <f>Botoes!$B$16</f>
        <v>92</v>
      </c>
      <c r="D172" s="125">
        <v>289.97127679920806</v>
      </c>
    </row>
    <row r="173" spans="1:4" x14ac:dyDescent="0.2">
      <c r="A173" s="236">
        <v>42460</v>
      </c>
      <c r="B173" s="202">
        <v>42629</v>
      </c>
      <c r="C173" s="240">
        <f>Botoes!$B$16</f>
        <v>92</v>
      </c>
      <c r="D173" s="125">
        <v>285.84325960827533</v>
      </c>
    </row>
    <row r="174" spans="1:4" x14ac:dyDescent="0.2">
      <c r="A174" s="236">
        <v>42460</v>
      </c>
      <c r="B174" s="202">
        <v>42630</v>
      </c>
      <c r="C174" s="240">
        <f>Botoes!$B$16</f>
        <v>92</v>
      </c>
      <c r="D174" s="125">
        <v>281.7740086734043</v>
      </c>
    </row>
    <row r="175" spans="1:4" x14ac:dyDescent="0.2">
      <c r="A175" s="236">
        <v>42460</v>
      </c>
      <c r="B175" s="202">
        <v>42631</v>
      </c>
      <c r="C175" s="240">
        <f>Botoes!$B$16</f>
        <v>92</v>
      </c>
      <c r="D175" s="125">
        <v>277.76268740065331</v>
      </c>
    </row>
    <row r="176" spans="1:4" x14ac:dyDescent="0.2">
      <c r="A176" s="236">
        <v>42460</v>
      </c>
      <c r="B176" s="202">
        <v>42632</v>
      </c>
      <c r="C176" s="240">
        <f>Botoes!$B$16</f>
        <v>92</v>
      </c>
      <c r="D176" s="125">
        <v>273.80847110587627</v>
      </c>
    </row>
    <row r="177" spans="1:4" x14ac:dyDescent="0.2">
      <c r="A177" s="236">
        <v>42460</v>
      </c>
      <c r="B177" s="202">
        <v>42633</v>
      </c>
      <c r="C177" s="240">
        <f>Botoes!$B$16</f>
        <v>92</v>
      </c>
      <c r="D177" s="125">
        <v>269.91054684515433</v>
      </c>
    </row>
    <row r="178" spans="1:4" x14ac:dyDescent="0.2">
      <c r="A178" s="236">
        <v>42460</v>
      </c>
      <c r="B178" s="202">
        <v>42634</v>
      </c>
      <c r="C178" s="240">
        <f>Botoes!$B$16</f>
        <v>92</v>
      </c>
      <c r="D178" s="125">
        <v>266.06811324764664</v>
      </c>
    </row>
    <row r="179" spans="1:4" x14ac:dyDescent="0.2">
      <c r="A179" s="236">
        <v>42460</v>
      </c>
      <c r="B179" s="202">
        <v>42635</v>
      </c>
      <c r="C179" s="240">
        <f>Botoes!$B$16</f>
        <v>92</v>
      </c>
      <c r="D179" s="125">
        <v>262.2803803508254</v>
      </c>
    </row>
    <row r="180" spans="1:4" x14ac:dyDescent="0.2">
      <c r="A180" s="236">
        <v>42460</v>
      </c>
      <c r="B180" s="202">
        <v>42636</v>
      </c>
      <c r="C180" s="240">
        <f>Botoes!$B$16</f>
        <v>92</v>
      </c>
      <c r="D180" s="125">
        <v>258.54656943805799</v>
      </c>
    </row>
    <row r="181" spans="1:4" x14ac:dyDescent="0.2">
      <c r="A181" s="236">
        <v>42460</v>
      </c>
      <c r="B181" s="202">
        <v>42637</v>
      </c>
      <c r="C181" s="240">
        <f>Botoes!$B$16</f>
        <v>92</v>
      </c>
      <c r="D181" s="125">
        <v>254.86591287850504</v>
      </c>
    </row>
    <row r="182" spans="1:4" x14ac:dyDescent="0.2">
      <c r="A182" s="236">
        <v>42460</v>
      </c>
      <c r="B182" s="202">
        <v>42638</v>
      </c>
      <c r="C182" s="240">
        <f>Botoes!$B$16</f>
        <v>92</v>
      </c>
      <c r="D182" s="125">
        <v>251.23765396929784</v>
      </c>
    </row>
    <row r="183" spans="1:4" x14ac:dyDescent="0.2">
      <c r="A183" s="236">
        <v>42460</v>
      </c>
      <c r="B183" s="202">
        <v>42639</v>
      </c>
      <c r="C183" s="240">
        <f>Botoes!$B$16</f>
        <v>92</v>
      </c>
      <c r="D183" s="125">
        <v>247.6610467799652</v>
      </c>
    </row>
    <row r="184" spans="1:4" x14ac:dyDescent="0.2">
      <c r="A184" s="236">
        <v>42460</v>
      </c>
      <c r="B184" s="202">
        <v>42640</v>
      </c>
      <c r="C184" s="240">
        <f>Botoes!$B$16</f>
        <v>92</v>
      </c>
      <c r="D184" s="125">
        <v>244.1353559990747</v>
      </c>
    </row>
    <row r="185" spans="1:4" x14ac:dyDescent="0.2">
      <c r="A185" s="236">
        <v>42460</v>
      </c>
      <c r="B185" s="202">
        <v>42641</v>
      </c>
      <c r="C185" s="240">
        <f>Botoes!$B$16</f>
        <v>92</v>
      </c>
      <c r="D185" s="125">
        <v>240.65985678305881</v>
      </c>
    </row>
    <row r="186" spans="1:4" x14ac:dyDescent="0.2">
      <c r="A186" s="236">
        <v>42460</v>
      </c>
      <c r="B186" s="202">
        <v>42642</v>
      </c>
      <c r="C186" s="240">
        <f>Botoes!$B$16</f>
        <v>92</v>
      </c>
      <c r="D186" s="125">
        <v>237.2338346071931</v>
      </c>
    </row>
    <row r="187" spans="1:4" x14ac:dyDescent="0.2">
      <c r="A187" s="236">
        <v>42460</v>
      </c>
      <c r="B187" s="202">
        <v>42643</v>
      </c>
      <c r="C187" s="240">
        <f>Botoes!$B$16</f>
        <v>92</v>
      </c>
      <c r="D187" s="125">
        <v>233.85658511869653</v>
      </c>
    </row>
    <row r="188" spans="1:4" x14ac:dyDescent="0.2">
      <c r="A188" s="236">
        <v>42460</v>
      </c>
      <c r="B188" s="202">
        <v>42644</v>
      </c>
      <c r="C188" s="240">
        <f>Botoes!$B$16</f>
        <v>92</v>
      </c>
      <c r="D188" s="125">
        <v>230.52741399192308</v>
      </c>
    </row>
    <row r="189" spans="1:4" x14ac:dyDescent="0.2">
      <c r="A189" s="236">
        <v>42460</v>
      </c>
      <c r="B189" s="202">
        <v>42645</v>
      </c>
      <c r="C189" s="240">
        <f>Botoes!$B$16</f>
        <v>92</v>
      </c>
      <c r="D189" s="125">
        <v>227.24563678561552</v>
      </c>
    </row>
    <row r="190" spans="1:4" x14ac:dyDescent="0.2">
      <c r="A190" s="236">
        <v>42460</v>
      </c>
      <c r="B190" s="202">
        <v>42646</v>
      </c>
      <c r="C190" s="240">
        <f>Botoes!$B$16</f>
        <v>92</v>
      </c>
      <c r="D190" s="125">
        <v>224.01057880219111</v>
      </c>
    </row>
    <row r="191" spans="1:4" x14ac:dyDescent="0.2">
      <c r="A191" s="236">
        <v>42460</v>
      </c>
      <c r="B191" s="202">
        <v>42647</v>
      </c>
      <c r="C191" s="240">
        <f>Botoes!$B$16</f>
        <v>92</v>
      </c>
      <c r="D191" s="125">
        <v>220.82157494903058</v>
      </c>
    </row>
    <row r="192" spans="1:4" x14ac:dyDescent="0.2">
      <c r="A192" s="236">
        <v>42460</v>
      </c>
      <c r="B192" s="202">
        <v>42648</v>
      </c>
      <c r="C192" s="240">
        <f>Botoes!$B$16</f>
        <v>92</v>
      </c>
      <c r="D192" s="125">
        <v>217.67796960174229</v>
      </c>
    </row>
    <row r="193" spans="1:4" x14ac:dyDescent="0.2">
      <c r="A193" s="236">
        <v>42460</v>
      </c>
      <c r="B193" s="202">
        <v>42649</v>
      </c>
      <c r="C193" s="240">
        <f>Botoes!$B$16</f>
        <v>92</v>
      </c>
      <c r="D193" s="125">
        <v>214.57911646937254</v>
      </c>
    </row>
    <row r="194" spans="1:4" x14ac:dyDescent="0.2">
      <c r="A194" s="236">
        <v>42460</v>
      </c>
      <c r="B194" s="202">
        <v>42650</v>
      </c>
      <c r="C194" s="240">
        <f>Botoes!$B$16</f>
        <v>92</v>
      </c>
      <c r="D194" s="125">
        <v>211.52437846153515</v>
      </c>
    </row>
    <row r="195" spans="1:4" x14ac:dyDescent="0.2">
      <c r="A195" s="236">
        <v>42460</v>
      </c>
      <c r="B195" s="202">
        <v>42651</v>
      </c>
      <c r="C195" s="240">
        <f>Botoes!$B$16</f>
        <v>92</v>
      </c>
      <c r="D195" s="125">
        <v>208.51312755743257</v>
      </c>
    </row>
    <row r="196" spans="1:4" x14ac:dyDescent="0.2">
      <c r="A196" s="236">
        <v>42460</v>
      </c>
      <c r="B196" s="202">
        <v>42652</v>
      </c>
      <c r="C196" s="240">
        <f>Botoes!$B$16</f>
        <v>92</v>
      </c>
      <c r="D196" s="125">
        <v>205.5447446767414</v>
      </c>
    </row>
    <row r="197" spans="1:4" x14ac:dyDescent="0.2">
      <c r="A197" s="236">
        <v>42460</v>
      </c>
      <c r="B197" s="202">
        <v>42653</v>
      </c>
      <c r="C197" s="240">
        <f>Botoes!$B$16</f>
        <v>92</v>
      </c>
      <c r="D197" s="125">
        <v>202.61861955233627</v>
      </c>
    </row>
    <row r="198" spans="1:4" x14ac:dyDescent="0.2">
      <c r="A198" s="236">
        <v>42460</v>
      </c>
      <c r="B198" s="202">
        <v>42654</v>
      </c>
      <c r="C198" s="240">
        <f>Botoes!$B$16</f>
        <v>92</v>
      </c>
      <c r="D198" s="125">
        <v>199.73415060482549</v>
      </c>
    </row>
    <row r="199" spans="1:4" x14ac:dyDescent="0.2">
      <c r="A199" s="236">
        <v>42460</v>
      </c>
      <c r="B199" s="202">
        <v>42655</v>
      </c>
      <c r="C199" s="240">
        <f>Botoes!$B$16</f>
        <v>92</v>
      </c>
      <c r="D199" s="125">
        <v>196.89074481887286</v>
      </c>
    </row>
    <row r="200" spans="1:4" x14ac:dyDescent="0.2">
      <c r="A200" s="236">
        <v>42460</v>
      </c>
      <c r="B200" s="202">
        <v>42656</v>
      </c>
      <c r="C200" s="240">
        <f>Botoes!$B$16</f>
        <v>92</v>
      </c>
      <c r="D200" s="125">
        <v>194.08781762128012</v>
      </c>
    </row>
    <row r="201" spans="1:4" x14ac:dyDescent="0.2">
      <c r="A201" s="236">
        <v>42460</v>
      </c>
      <c r="B201" s="202">
        <v>42657</v>
      </c>
      <c r="C201" s="240">
        <f>Botoes!$B$16</f>
        <v>92</v>
      </c>
      <c r="D201" s="125">
        <v>191.32479276080511</v>
      </c>
    </row>
    <row r="202" spans="1:4" x14ac:dyDescent="0.2">
      <c r="A202" s="236">
        <v>42460</v>
      </c>
      <c r="B202" s="202">
        <v>42658</v>
      </c>
      <c r="C202" s="240">
        <f>Botoes!$B$16</f>
        <v>92</v>
      </c>
      <c r="D202" s="125">
        <v>188.60110218969069</v>
      </c>
    </row>
    <row r="203" spans="1:4" x14ac:dyDescent="0.2">
      <c r="A203" s="236">
        <v>42460</v>
      </c>
      <c r="B203" s="202">
        <v>42659</v>
      </c>
      <c r="C203" s="240">
        <f>Botoes!$B$16</f>
        <v>92</v>
      </c>
      <c r="D203" s="125">
        <v>185.91618594688052</v>
      </c>
    </row>
    <row r="204" spans="1:4" x14ac:dyDescent="0.2">
      <c r="A204" s="236">
        <v>42460</v>
      </c>
      <c r="B204" s="202">
        <v>42660</v>
      </c>
      <c r="C204" s="240">
        <f>Botoes!$B$16</f>
        <v>92</v>
      </c>
      <c r="D204" s="125">
        <v>183.26949204289687</v>
      </c>
    </row>
    <row r="205" spans="1:4" x14ac:dyDescent="0.2">
      <c r="A205" s="236">
        <v>42460</v>
      </c>
      <c r="B205" s="202">
        <v>42661</v>
      </c>
      <c r="C205" s="240">
        <f>Botoes!$B$16</f>
        <v>92</v>
      </c>
      <c r="D205" s="125">
        <v>180.66047634635783</v>
      </c>
    </row>
    <row r="206" spans="1:4" x14ac:dyDescent="0.2">
      <c r="A206" s="236">
        <v>42460</v>
      </c>
      <c r="B206" s="202">
        <v>42662</v>
      </c>
      <c r="C206" s="240">
        <f>Botoes!$B$16</f>
        <v>92</v>
      </c>
      <c r="D206" s="125">
        <v>178.08860247210978</v>
      </c>
    </row>
    <row r="207" spans="1:4" x14ac:dyDescent="0.2">
      <c r="A207" s="236">
        <v>42460</v>
      </c>
      <c r="B207" s="202">
        <v>42663</v>
      </c>
      <c r="C207" s="240">
        <f>Botoes!$B$16</f>
        <v>92</v>
      </c>
      <c r="D207" s="125">
        <v>175.55334167095239</v>
      </c>
    </row>
    <row r="208" spans="1:4" x14ac:dyDescent="0.2">
      <c r="A208" s="236">
        <v>42460</v>
      </c>
      <c r="B208" s="202">
        <v>42664</v>
      </c>
      <c r="C208" s="240">
        <f>Botoes!$B$16</f>
        <v>92</v>
      </c>
      <c r="D208" s="125">
        <v>173.05417272093354</v>
      </c>
    </row>
    <row r="209" spans="1:4" x14ac:dyDescent="0.2">
      <c r="A209" s="236">
        <v>42460</v>
      </c>
      <c r="B209" s="202">
        <v>42665</v>
      </c>
      <c r="C209" s="240">
        <f>Botoes!$B$16</f>
        <v>92</v>
      </c>
      <c r="D209" s="125">
        <v>170.59058182019189</v>
      </c>
    </row>
    <row r="210" spans="1:4" x14ac:dyDescent="0.2">
      <c r="A210" s="236">
        <v>42460</v>
      </c>
      <c r="B210" s="202">
        <v>42666</v>
      </c>
      <c r="C210" s="240">
        <f>Botoes!$B$16</f>
        <v>92</v>
      </c>
      <c r="D210" s="125">
        <v>168.16206248132477</v>
      </c>
    </row>
    <row r="211" spans="1:4" x14ac:dyDescent="0.2">
      <c r="A211" s="236">
        <v>42460</v>
      </c>
      <c r="B211" s="202">
        <v>42667</v>
      </c>
      <c r="C211" s="240">
        <f>Botoes!$B$16</f>
        <v>92</v>
      </c>
      <c r="D211" s="125">
        <v>165.76811542725986</v>
      </c>
    </row>
    <row r="212" spans="1:4" x14ac:dyDescent="0.2">
      <c r="A212" s="236">
        <v>42460</v>
      </c>
      <c r="B212" s="202">
        <v>42668</v>
      </c>
      <c r="C212" s="240">
        <f>Botoes!$B$16</f>
        <v>92</v>
      </c>
      <c r="D212" s="125">
        <v>163.40824848860913</v>
      </c>
    </row>
    <row r="213" spans="1:4" x14ac:dyDescent="0.2">
      <c r="A213" s="236">
        <v>42460</v>
      </c>
      <c r="B213" s="202">
        <v>42669</v>
      </c>
      <c r="C213" s="240">
        <f>Botoes!$B$16</f>
        <v>92</v>
      </c>
      <c r="D213" s="125">
        <v>161.08197650248474</v>
      </c>
    </row>
    <row r="214" spans="1:4" x14ac:dyDescent="0.2">
      <c r="A214" s="236">
        <v>42460</v>
      </c>
      <c r="B214" s="202">
        <v>42670</v>
      </c>
      <c r="C214" s="240">
        <f>Botoes!$B$16</f>
        <v>92</v>
      </c>
      <c r="D214" s="125">
        <v>158.78882121275402</v>
      </c>
    </row>
    <row r="215" spans="1:4" x14ac:dyDescent="0.2">
      <c r="A215" s="236">
        <v>42460</v>
      </c>
      <c r="B215" s="202">
        <v>42671</v>
      </c>
      <c r="C215" s="240">
        <f>Botoes!$B$16</f>
        <v>92</v>
      </c>
      <c r="D215" s="125">
        <v>156.52831117171596</v>
      </c>
    </row>
    <row r="216" spans="1:4" x14ac:dyDescent="0.2">
      <c r="A216" s="236">
        <v>42460</v>
      </c>
      <c r="B216" s="202">
        <v>42672</v>
      </c>
      <c r="C216" s="240">
        <f>Botoes!$B$16</f>
        <v>92</v>
      </c>
      <c r="D216" s="125">
        <v>154.29998164317624</v>
      </c>
    </row>
    <row r="217" spans="1:4" x14ac:dyDescent="0.2">
      <c r="A217" s="236">
        <v>42460</v>
      </c>
      <c r="B217" s="202">
        <v>42673</v>
      </c>
      <c r="C217" s="240">
        <f>Botoes!$B$16</f>
        <v>92</v>
      </c>
      <c r="D217" s="125">
        <v>152.10337450690278</v>
      </c>
    </row>
    <row r="218" spans="1:4" x14ac:dyDescent="0.2">
      <c r="A218" s="236">
        <v>42460</v>
      </c>
      <c r="B218" s="202">
        <v>42674</v>
      </c>
      <c r="C218" s="240">
        <f>Botoes!$B$16</f>
        <v>92</v>
      </c>
      <c r="D218" s="125">
        <v>149.93803816444108</v>
      </c>
    </row>
    <row r="219" spans="1:4" x14ac:dyDescent="0.2">
      <c r="A219" s="236">
        <v>42460</v>
      </c>
      <c r="B219" s="202">
        <v>42675</v>
      </c>
      <c r="C219" s="240">
        <f>Botoes!$B$16</f>
        <v>92</v>
      </c>
      <c r="D219" s="125">
        <v>147.80352744627069</v>
      </c>
    </row>
    <row r="220" spans="1:4" x14ac:dyDescent="0.2">
      <c r="A220" s="236">
        <v>42460</v>
      </c>
      <c r="B220" s="202">
        <v>42676</v>
      </c>
      <c r="C220" s="240">
        <f>Botoes!$B$16</f>
        <v>92</v>
      </c>
      <c r="D220" s="125">
        <v>145.69940352028303</v>
      </c>
    </row>
    <row r="221" spans="1:4" x14ac:dyDescent="0.2">
      <c r="A221" s="236">
        <v>42460</v>
      </c>
      <c r="B221" s="202">
        <v>42677</v>
      </c>
      <c r="C221" s="240">
        <f>Botoes!$B$16</f>
        <v>92</v>
      </c>
      <c r="D221" s="125">
        <v>143.62523380156227</v>
      </c>
    </row>
    <row r="222" spans="1:4" x14ac:dyDescent="0.2">
      <c r="A222" s="236">
        <v>42460</v>
      </c>
      <c r="B222" s="202">
        <v>42678</v>
      </c>
      <c r="C222" s="240">
        <f>Botoes!$B$16</f>
        <v>92</v>
      </c>
      <c r="D222" s="125">
        <v>141.58059186345091</v>
      </c>
    </row>
    <row r="223" spans="1:4" x14ac:dyDescent="0.2">
      <c r="A223" s="236">
        <v>42460</v>
      </c>
      <c r="B223" s="202">
        <v>42679</v>
      </c>
      <c r="C223" s="240">
        <f>Botoes!$B$16</f>
        <v>92</v>
      </c>
      <c r="D223" s="125">
        <v>139.56505734988068</v>
      </c>
    </row>
    <row r="224" spans="1:4" x14ac:dyDescent="0.2">
      <c r="A224" s="236">
        <v>42460</v>
      </c>
      <c r="B224" s="202">
        <v>42680</v>
      </c>
      <c r="C224" s="240">
        <f>Botoes!$B$16</f>
        <v>92</v>
      </c>
      <c r="D224" s="125">
        <v>137.5782158889522</v>
      </c>
    </row>
    <row r="225" spans="1:4" x14ac:dyDescent="0.2">
      <c r="A225" s="236">
        <v>42460</v>
      </c>
      <c r="B225" s="202">
        <v>42681</v>
      </c>
      <c r="C225" s="240">
        <f>Botoes!$B$16</f>
        <v>92</v>
      </c>
      <c r="D225" s="125">
        <v>135.61965900774467</v>
      </c>
    </row>
    <row r="226" spans="1:4" x14ac:dyDescent="0.2">
      <c r="A226" s="236">
        <v>42460</v>
      </c>
      <c r="B226" s="202">
        <v>42682</v>
      </c>
      <c r="C226" s="240">
        <f>Botoes!$B$16</f>
        <v>92</v>
      </c>
      <c r="D226" s="125">
        <v>133.68898404833803</v>
      </c>
    </row>
    <row r="227" spans="1:4" x14ac:dyDescent="0.2">
      <c r="A227" s="236">
        <v>42460</v>
      </c>
      <c r="B227" s="202">
        <v>42683</v>
      </c>
      <c r="C227" s="240">
        <f>Botoes!$B$16</f>
        <v>92</v>
      </c>
      <c r="D227" s="125">
        <v>131.78579408503117</v>
      </c>
    </row>
    <row r="228" spans="1:4" x14ac:dyDescent="0.2">
      <c r="A228" s="236">
        <v>42460</v>
      </c>
      <c r="B228" s="202">
        <v>42684</v>
      </c>
      <c r="C228" s="240">
        <f>Botoes!$B$16</f>
        <v>92</v>
      </c>
      <c r="D228" s="125">
        <v>129.90969784273815</v>
      </c>
    </row>
    <row r="229" spans="1:4" x14ac:dyDescent="0.2">
      <c r="A229" s="236">
        <v>42460</v>
      </c>
      <c r="B229" s="202">
        <v>42685</v>
      </c>
      <c r="C229" s="240">
        <f>Botoes!$B$16</f>
        <v>92</v>
      </c>
      <c r="D229" s="125">
        <v>128.06030961654645</v>
      </c>
    </row>
    <row r="230" spans="1:4" x14ac:dyDescent="0.2">
      <c r="A230" s="236">
        <v>42460</v>
      </c>
      <c r="B230" s="202">
        <v>42686</v>
      </c>
      <c r="C230" s="240">
        <f>Botoes!$B$16</f>
        <v>92</v>
      </c>
      <c r="D230" s="125">
        <v>126.23724919242012</v>
      </c>
    </row>
    <row r="231" spans="1:4" x14ac:dyDescent="0.2">
      <c r="A231" s="236">
        <v>42460</v>
      </c>
      <c r="B231" s="202">
        <v>42687</v>
      </c>
      <c r="C231" s="240">
        <f>Botoes!$B$16</f>
        <v>92</v>
      </c>
      <c r="D231" s="125">
        <v>124.44014176903204</v>
      </c>
    </row>
    <row r="232" spans="1:4" x14ac:dyDescent="0.2">
      <c r="A232" s="236">
        <v>42460</v>
      </c>
      <c r="B232" s="202">
        <v>42688</v>
      </c>
      <c r="C232" s="240">
        <f>Botoes!$B$16</f>
        <v>92</v>
      </c>
      <c r="D232" s="125">
        <v>122.66861788070874</v>
      </c>
    </row>
    <row r="233" spans="1:4" x14ac:dyDescent="0.2">
      <c r="A233" s="236">
        <v>42460</v>
      </c>
      <c r="B233" s="202">
        <v>42689</v>
      </c>
      <c r="C233" s="240">
        <f>Botoes!$B$16</f>
        <v>92</v>
      </c>
      <c r="D233" s="125">
        <v>120.92231332147236</v>
      </c>
    </row>
    <row r="234" spans="1:4" x14ac:dyDescent="0.2">
      <c r="A234" s="236">
        <v>42460</v>
      </c>
      <c r="B234" s="202">
        <v>42690</v>
      </c>
      <c r="C234" s="240">
        <f>Botoes!$B$16</f>
        <v>92</v>
      </c>
      <c r="D234" s="125">
        <v>119.20086907016395</v>
      </c>
    </row>
    <row r="235" spans="1:4" x14ac:dyDescent="0.2">
      <c r="A235" s="236">
        <v>42460</v>
      </c>
      <c r="B235" s="202">
        <v>42691</v>
      </c>
      <c r="C235" s="240">
        <f>Botoes!$B$16</f>
        <v>92</v>
      </c>
      <c r="D235" s="125">
        <v>117.50393121663245</v>
      </c>
    </row>
    <row r="236" spans="1:4" x14ac:dyDescent="0.2">
      <c r="A236" s="236">
        <v>42460</v>
      </c>
      <c r="B236" s="202">
        <v>42692</v>
      </c>
      <c r="C236" s="240">
        <f>Botoes!$B$16</f>
        <v>92</v>
      </c>
      <c r="D236" s="125">
        <v>115.83115088897483</v>
      </c>
    </row>
    <row r="237" spans="1:4" x14ac:dyDescent="0.2">
      <c r="A237" s="236">
        <v>42460</v>
      </c>
      <c r="B237" s="202">
        <v>42693</v>
      </c>
      <c r="C237" s="240">
        <f>Botoes!$B$16</f>
        <v>92</v>
      </c>
      <c r="D237" s="125">
        <v>114.18218418181165</v>
      </c>
    </row>
    <row r="238" spans="1:4" x14ac:dyDescent="0.2">
      <c r="A238" s="236">
        <v>42460</v>
      </c>
      <c r="B238" s="202">
        <v>42694</v>
      </c>
      <c r="C238" s="240">
        <f>Botoes!$B$16</f>
        <v>92</v>
      </c>
      <c r="D238" s="125">
        <v>112.55669208558398</v>
      </c>
    </row>
    <row r="239" spans="1:4" x14ac:dyDescent="0.2">
      <c r="A239" s="236">
        <v>42460</v>
      </c>
      <c r="B239" s="202">
        <v>42695</v>
      </c>
      <c r="C239" s="240">
        <f>Botoes!$B$16</f>
        <v>92</v>
      </c>
      <c r="D239" s="125">
        <v>110.95434041685675</v>
      </c>
    </row>
    <row r="240" spans="1:4" x14ac:dyDescent="0.2">
      <c r="A240" s="236">
        <v>42460</v>
      </c>
      <c r="B240" s="202">
        <v>42696</v>
      </c>
      <c r="C240" s="240">
        <f>Botoes!$B$16</f>
        <v>92</v>
      </c>
      <c r="D240" s="125">
        <v>109.37479974961417</v>
      </c>
    </row>
    <row r="241" spans="1:4" x14ac:dyDescent="0.2">
      <c r="A241" s="236">
        <v>42460</v>
      </c>
      <c r="B241" s="202">
        <v>42697</v>
      </c>
      <c r="C241" s="240">
        <f>Botoes!$B$16</f>
        <v>92</v>
      </c>
      <c r="D241" s="125">
        <v>107.81774534753343</v>
      </c>
    </row>
    <row r="242" spans="1:4" x14ac:dyDescent="0.2">
      <c r="A242" s="236">
        <v>42460</v>
      </c>
      <c r="B242" s="202">
        <v>42698</v>
      </c>
      <c r="C242" s="240">
        <f>Botoes!$B$16</f>
        <v>92</v>
      </c>
      <c r="D242" s="125">
        <v>106.2828570972225</v>
      </c>
    </row>
    <row r="243" spans="1:4" x14ac:dyDescent="0.2">
      <c r="A243" s="236">
        <v>42460</v>
      </c>
      <c r="B243" s="202">
        <v>42699</v>
      </c>
      <c r="C243" s="240">
        <f>Botoes!$B$16</f>
        <v>92</v>
      </c>
      <c r="D243" s="125">
        <v>104.76981944240812</v>
      </c>
    </row>
    <row r="244" spans="1:4" x14ac:dyDescent="0.2">
      <c r="A244" s="236">
        <v>42460</v>
      </c>
      <c r="B244" s="202">
        <v>42700</v>
      </c>
      <c r="C244" s="240">
        <f>Botoes!$B$16</f>
        <v>92</v>
      </c>
      <c r="D244" s="125">
        <v>103.27832131906112</v>
      </c>
    </row>
    <row r="245" spans="1:4" x14ac:dyDescent="0.2">
      <c r="A245" s="236">
        <v>42460</v>
      </c>
      <c r="B245" s="202">
        <v>42701</v>
      </c>
      <c r="C245" s="240">
        <f>Botoes!$B$16</f>
        <v>92</v>
      </c>
      <c r="D245" s="125">
        <v>101.80805609144487</v>
      </c>
    </row>
    <row r="246" spans="1:4" x14ac:dyDescent="0.2">
      <c r="A246" s="236">
        <v>42460</v>
      </c>
      <c r="B246" s="202">
        <v>42702</v>
      </c>
      <c r="C246" s="240">
        <f>Botoes!$B$16</f>
        <v>92</v>
      </c>
      <c r="D246" s="125">
        <v>100.3587214890743</v>
      </c>
    </row>
    <row r="247" spans="1:4" x14ac:dyDescent="0.2">
      <c r="A247" s="236">
        <v>42460</v>
      </c>
      <c r="B247" s="202">
        <v>42703</v>
      </c>
      <c r="C247" s="240">
        <f>Botoes!$B$16</f>
        <v>92</v>
      </c>
      <c r="D247" s="125">
        <v>98.930019544572616</v>
      </c>
    </row>
    <row r="248" spans="1:4" x14ac:dyDescent="0.2">
      <c r="A248" s="236">
        <v>42460</v>
      </c>
      <c r="B248" s="202">
        <v>42704</v>
      </c>
      <c r="C248" s="240">
        <f>Botoes!$B$16</f>
        <v>92</v>
      </c>
      <c r="D248" s="125">
        <v>97.52165653241218</v>
      </c>
    </row>
    <row r="249" spans="1:4" x14ac:dyDescent="0.2">
      <c r="A249" s="236">
        <v>42460</v>
      </c>
      <c r="B249" s="202">
        <v>42705</v>
      </c>
      <c r="C249" s="240">
        <f>Botoes!$B$16</f>
        <v>92</v>
      </c>
      <c r="D249" s="125">
        <v>96.133342908528007</v>
      </c>
    </row>
    <row r="250" spans="1:4" x14ac:dyDescent="0.2">
      <c r="A250" s="236">
        <v>42460</v>
      </c>
      <c r="B250" s="202">
        <v>42706</v>
      </c>
      <c r="C250" s="240">
        <f>Botoes!$B$16</f>
        <v>92</v>
      </c>
      <c r="D250" s="125">
        <v>94.764793250790348</v>
      </c>
    </row>
    <row r="251" spans="1:4" x14ac:dyDescent="0.2">
      <c r="A251" s="236">
        <v>42460</v>
      </c>
      <c r="B251" s="202">
        <v>42707</v>
      </c>
      <c r="C251" s="240">
        <f>Botoes!$B$16</f>
        <v>92</v>
      </c>
      <c r="D251" s="125">
        <v>93.415726200325366</v>
      </c>
    </row>
    <row r="252" spans="1:4" x14ac:dyDescent="0.2">
      <c r="A252" s="236">
        <v>42460</v>
      </c>
      <c r="B252" s="202">
        <v>42708</v>
      </c>
      <c r="C252" s="240">
        <f>Botoes!$B$16</f>
        <v>92</v>
      </c>
      <c r="D252" s="125">
        <v>92.085864403670513</v>
      </c>
    </row>
    <row r="253" spans="1:4" x14ac:dyDescent="0.2">
      <c r="A253" s="236">
        <v>42460</v>
      </c>
      <c r="B253" s="202">
        <v>42709</v>
      </c>
      <c r="C253" s="240">
        <f>Botoes!$B$16</f>
        <v>92</v>
      </c>
      <c r="D253" s="125">
        <v>90.774934455753979</v>
      </c>
    </row>
    <row r="254" spans="1:4" x14ac:dyDescent="0.2">
      <c r="A254" s="236">
        <v>42460</v>
      </c>
      <c r="B254" s="202">
        <v>42710</v>
      </c>
      <c r="C254" s="240">
        <f>Botoes!$B$16</f>
        <v>92</v>
      </c>
      <c r="D254" s="125">
        <v>89.482666843685323</v>
      </c>
    </row>
    <row r="255" spans="1:4" x14ac:dyDescent="0.2">
      <c r="A255" s="236">
        <v>42460</v>
      </c>
      <c r="B255" s="202">
        <v>42711</v>
      </c>
      <c r="C255" s="240">
        <f>Botoes!$B$16</f>
        <v>92</v>
      </c>
      <c r="D255" s="125">
        <v>88.208795891346767</v>
      </c>
    </row>
    <row r="256" spans="1:4" x14ac:dyDescent="0.2">
      <c r="A256" s="236">
        <v>42460</v>
      </c>
      <c r="B256" s="202">
        <v>42712</v>
      </c>
      <c r="C256" s="240">
        <f>Botoes!$B$16</f>
        <v>92</v>
      </c>
      <c r="D256" s="125">
        <v>86.953059704772883</v>
      </c>
    </row>
    <row r="257" spans="1:4" x14ac:dyDescent="0.2">
      <c r="A257" s="236">
        <v>42460</v>
      </c>
      <c r="B257" s="202">
        <v>42713</v>
      </c>
      <c r="C257" s="240">
        <f>Botoes!$B$16</f>
        <v>92</v>
      </c>
      <c r="D257" s="125">
        <v>85.715200118308289</v>
      </c>
    </row>
    <row r="258" spans="1:4" x14ac:dyDescent="0.2">
      <c r="A258" s="236">
        <v>42460</v>
      </c>
      <c r="B258" s="202">
        <v>42714</v>
      </c>
      <c r="C258" s="240">
        <f>Botoes!$B$16</f>
        <v>92</v>
      </c>
      <c r="D258" s="125">
        <v>84.494962641531444</v>
      </c>
    </row>
    <row r="259" spans="1:4" x14ac:dyDescent="0.2">
      <c r="A259" s="236">
        <v>42460</v>
      </c>
      <c r="B259" s="202">
        <v>42715</v>
      </c>
      <c r="C259" s="240">
        <f>Botoes!$B$16</f>
        <v>92</v>
      </c>
      <c r="D259" s="125">
        <v>83.292096406934249</v>
      </c>
    </row>
    <row r="260" spans="1:4" x14ac:dyDescent="0.2">
      <c r="A260" s="236">
        <v>42460</v>
      </c>
      <c r="B260" s="202">
        <v>42716</v>
      </c>
      <c r="C260" s="240">
        <f>Botoes!$B$16</f>
        <v>92</v>
      </c>
      <c r="D260" s="125">
        <v>82.10635411834636</v>
      </c>
    </row>
    <row r="261" spans="1:4" x14ac:dyDescent="0.2">
      <c r="A261" s="236">
        <v>42460</v>
      </c>
      <c r="B261" s="202">
        <v>42717</v>
      </c>
      <c r="C261" s="240">
        <f>Botoes!$B$16</f>
        <v>92</v>
      </c>
      <c r="D261" s="125">
        <v>80.93749200009394</v>
      </c>
    </row>
    <row r="262" spans="1:4" x14ac:dyDescent="0.2">
      <c r="A262" s="236">
        <v>42460</v>
      </c>
      <c r="B262" s="202">
        <v>42718</v>
      </c>
      <c r="C262" s="240">
        <f>Botoes!$B$16</f>
        <v>92</v>
      </c>
      <c r="D262" s="125">
        <v>79.785269746881866</v>
      </c>
    </row>
    <row r="263" spans="1:4" x14ac:dyDescent="0.2">
      <c r="A263" s="236">
        <v>42460</v>
      </c>
      <c r="B263" s="202">
        <v>42719</v>
      </c>
      <c r="C263" s="240">
        <f>Botoes!$B$16</f>
        <v>92</v>
      </c>
      <c r="D263" s="125">
        <v>78.649450474389724</v>
      </c>
    </row>
    <row r="264" spans="1:4" x14ac:dyDescent="0.2">
      <c r="A264" s="236">
        <v>42460</v>
      </c>
      <c r="B264" s="202">
        <v>42720</v>
      </c>
      <c r="C264" s="240">
        <f>Botoes!$B$16</f>
        <v>92</v>
      </c>
      <c r="D264" s="125">
        <v>77.529800670570907</v>
      </c>
    </row>
    <row r="265" spans="1:4" x14ac:dyDescent="0.2">
      <c r="A265" s="236">
        <v>42460</v>
      </c>
      <c r="B265" s="202">
        <v>42721</v>
      </c>
      <c r="C265" s="240">
        <f>Botoes!$B$16</f>
        <v>92</v>
      </c>
      <c r="D265" s="125">
        <v>76.426090147645112</v>
      </c>
    </row>
    <row r="266" spans="1:4" x14ac:dyDescent="0.2">
      <c r="A266" s="236">
        <v>42460</v>
      </c>
      <c r="B266" s="202">
        <v>42722</v>
      </c>
      <c r="C266" s="240">
        <f>Botoes!$B$16</f>
        <v>92</v>
      </c>
      <c r="D266" s="125">
        <v>75.338091994774175</v>
      </c>
    </row>
    <row r="267" spans="1:4" x14ac:dyDescent="0.2">
      <c r="A267" s="236">
        <v>42460</v>
      </c>
      <c r="B267" s="202">
        <v>42723</v>
      </c>
      <c r="C267" s="240">
        <f>Botoes!$B$16</f>
        <v>92</v>
      </c>
      <c r="D267" s="125">
        <v>74.265582531411809</v>
      </c>
    </row>
    <row r="268" spans="1:4" x14ac:dyDescent="0.2">
      <c r="A268" s="236">
        <v>42460</v>
      </c>
      <c r="B268" s="202">
        <v>42724</v>
      </c>
      <c r="C268" s="240">
        <f>Botoes!$B$16</f>
        <v>92</v>
      </c>
      <c r="D268" s="125">
        <v>73.208341261317216</v>
      </c>
    </row>
    <row r="269" spans="1:4" x14ac:dyDescent="0.2">
      <c r="A269" s="236">
        <v>42460</v>
      </c>
      <c r="B269" s="202">
        <v>42725</v>
      </c>
      <c r="C269" s="240">
        <f>Botoes!$B$16</f>
        <v>92</v>
      </c>
      <c r="D269" s="125">
        <v>72.166150827223518</v>
      </c>
    </row>
    <row r="270" spans="1:4" x14ac:dyDescent="0.2">
      <c r="A270" s="236">
        <v>42460</v>
      </c>
      <c r="B270" s="202">
        <v>42726</v>
      </c>
      <c r="C270" s="240">
        <f>Botoes!$B$16</f>
        <v>92</v>
      </c>
      <c r="D270" s="125">
        <v>71.13879696615146</v>
      </c>
    </row>
    <row r="271" spans="1:4" x14ac:dyDescent="0.2">
      <c r="A271" s="236">
        <v>42460</v>
      </c>
      <c r="B271" s="202">
        <v>42727</v>
      </c>
      <c r="C271" s="240">
        <f>Botoes!$B$16</f>
        <v>92</v>
      </c>
      <c r="D271" s="125">
        <v>70.126068465359268</v>
      </c>
    </row>
    <row r="272" spans="1:4" x14ac:dyDescent="0.2">
      <c r="A272" s="236">
        <v>42460</v>
      </c>
      <c r="B272" s="202">
        <v>42728</v>
      </c>
      <c r="C272" s="240">
        <f>Botoes!$B$16</f>
        <v>92</v>
      </c>
      <c r="D272" s="125">
        <v>69.127757118919661</v>
      </c>
    </row>
    <row r="273" spans="1:4" x14ac:dyDescent="0.2">
      <c r="A273" s="236">
        <v>42460</v>
      </c>
      <c r="B273" s="202">
        <v>42729</v>
      </c>
      <c r="C273" s="240">
        <f>Botoes!$B$16</f>
        <v>92</v>
      </c>
      <c r="D273" s="125">
        <v>68.143657684914885</v>
      </c>
    </row>
    <row r="274" spans="1:4" x14ac:dyDescent="0.2">
      <c r="A274" s="236">
        <v>42269</v>
      </c>
      <c r="B274" s="202">
        <v>42730</v>
      </c>
      <c r="C274" s="240">
        <f>Botoes!$B$16</f>
        <v>92</v>
      </c>
      <c r="D274" s="125">
        <v>67.173567843241329</v>
      </c>
    </row>
  </sheetData>
  <pageMargins left="0.511811024" right="0.511811024" top="0.78740157499999996" bottom="0.78740157499999996" header="0.31496062000000002" footer="0.31496062000000002"/>
  <drawing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2"/>
  <dimension ref="A1:BQ69"/>
  <sheetViews>
    <sheetView topLeftCell="A31" zoomScale="70" zoomScaleNormal="70" zoomScaleSheetLayoutView="75" zoomScalePageLayoutView="115" workbookViewId="0">
      <pane xSplit="1" topLeftCell="B1" activePane="topRight" state="frozen"/>
      <selection activeCell="N21" sqref="N21"/>
      <selection pane="topRight" activeCell="B24" sqref="B24:B52"/>
    </sheetView>
  </sheetViews>
  <sheetFormatPr defaultRowHeight="12.75" x14ac:dyDescent="0.2"/>
  <cols>
    <col min="1" max="1" width="13.42578125" style="125" customWidth="1"/>
    <col min="2" max="2" width="10.85546875" style="125" bestFit="1" customWidth="1"/>
    <col min="3" max="3" width="10.28515625" style="125" bestFit="1" customWidth="1"/>
    <col min="4" max="4" width="9.5703125" style="125" customWidth="1"/>
    <col min="5" max="6" width="11.5703125" style="125" bestFit="1" customWidth="1"/>
    <col min="7" max="7" width="2.140625" style="297" customWidth="1"/>
    <col min="8" max="8" width="10.5703125" style="125" customWidth="1"/>
    <col min="9" max="9" width="7.42578125" style="125" customWidth="1"/>
    <col min="10" max="25" width="6.140625" style="125" customWidth="1"/>
    <col min="26" max="26" width="7.140625" style="125" customWidth="1"/>
    <col min="27" max="27" width="2.140625" style="297" customWidth="1"/>
    <col min="28" max="28" width="10" style="125" customWidth="1"/>
    <col min="29" max="29" width="10.7109375" style="125" bestFit="1" customWidth="1"/>
    <col min="30" max="30" width="12.85546875" style="125" customWidth="1"/>
    <col min="31" max="31" width="9" style="125" customWidth="1"/>
    <col min="32" max="32" width="12" style="125" customWidth="1"/>
    <col min="33" max="33" width="6.85546875" style="125" customWidth="1"/>
    <col min="34" max="34" width="6.85546875" style="125" bestFit="1" customWidth="1"/>
    <col min="35" max="35" width="12.42578125" style="125" customWidth="1"/>
    <col min="36" max="36" width="5.42578125" style="125" customWidth="1"/>
    <col min="37" max="37" width="12.42578125" style="125" customWidth="1"/>
    <col min="38" max="38" width="13.140625" style="125" customWidth="1"/>
    <col min="39" max="39" width="5.42578125" style="125" customWidth="1"/>
    <col min="40" max="40" width="13.7109375" style="125" customWidth="1"/>
    <col min="41" max="41" width="7" style="125" customWidth="1"/>
    <col min="42" max="44" width="33.7109375" style="125" customWidth="1"/>
    <col min="45" max="46" width="12" style="125" bestFit="1" customWidth="1"/>
    <col min="47" max="48" width="9.140625" style="125"/>
    <col min="49" max="50" width="12.5703125" style="125" bestFit="1" customWidth="1"/>
    <col min="51" max="51" width="25.5703125" style="125" bestFit="1" customWidth="1"/>
    <col min="52" max="52" width="17.28515625" style="125" bestFit="1" customWidth="1"/>
    <col min="53" max="55" width="9.140625" style="125"/>
    <col min="56" max="56" width="13" style="209" customWidth="1"/>
    <col min="57" max="60" width="9.140625" style="209"/>
    <col min="61" max="16384" width="9.140625" style="125"/>
  </cols>
  <sheetData>
    <row r="1" spans="2:57" x14ac:dyDescent="0.2">
      <c r="B1" s="205"/>
      <c r="C1" s="206"/>
      <c r="G1" s="301"/>
      <c r="I1" s="135">
        <v>0.13333333333333333</v>
      </c>
      <c r="J1" s="135">
        <v>0.13333333333333333</v>
      </c>
      <c r="K1" s="135">
        <v>0.13333333333333333</v>
      </c>
      <c r="L1" s="135">
        <v>0.13333333333333333</v>
      </c>
      <c r="M1" s="135">
        <v>0.13333333333333333</v>
      </c>
      <c r="N1" s="135">
        <v>0.13333333333333333</v>
      </c>
      <c r="O1" s="135">
        <v>0.13333333333333333</v>
      </c>
      <c r="P1" s="135">
        <v>0.13333333333333333</v>
      </c>
      <c r="Q1" s="135">
        <v>0.13333333333333333</v>
      </c>
      <c r="R1" s="135">
        <v>0.13333333333333333</v>
      </c>
      <c r="S1" s="135">
        <v>0.13333333333333333</v>
      </c>
      <c r="T1" s="135">
        <v>0.13333333333333333</v>
      </c>
      <c r="U1" s="135">
        <v>0.13333333333333333</v>
      </c>
      <c r="V1" s="135">
        <v>0.13333333333333333</v>
      </c>
      <c r="W1" s="135">
        <v>0.13333333333333333</v>
      </c>
      <c r="X1" s="135">
        <v>0.13333333333333333</v>
      </c>
      <c r="Y1" s="135">
        <v>0.13333333333333333</v>
      </c>
      <c r="Z1" s="135">
        <v>0.13333333333333333</v>
      </c>
      <c r="AA1" s="296"/>
      <c r="AB1" s="208"/>
      <c r="AC1" s="145"/>
      <c r="AD1" s="146"/>
      <c r="AE1" s="146"/>
      <c r="AF1" s="146"/>
      <c r="AG1" s="146"/>
      <c r="AH1" s="146"/>
    </row>
    <row r="2" spans="2:57" x14ac:dyDescent="0.2">
      <c r="B2" s="147" t="s">
        <v>35</v>
      </c>
      <c r="C2" s="148">
        <f>AT20+BB22</f>
        <v>1.9137314878589207</v>
      </c>
      <c r="D2" s="149"/>
      <c r="E2" s="150"/>
      <c r="I2" s="135">
        <v>8.3333333333333332E-3</v>
      </c>
      <c r="J2" s="135">
        <v>8.3333333333333332E-3</v>
      </c>
      <c r="K2" s="135">
        <v>8.3333333333333332E-3</v>
      </c>
      <c r="L2" s="135">
        <v>8.3333333333333332E-3</v>
      </c>
      <c r="M2" s="135">
        <v>8.3333333333333332E-3</v>
      </c>
      <c r="N2" s="135">
        <v>8.3333333333333332E-3</v>
      </c>
      <c r="O2" s="135">
        <v>8.3333333333333332E-3</v>
      </c>
      <c r="P2" s="135">
        <v>8.3333333333333332E-3</v>
      </c>
      <c r="Q2" s="135">
        <v>8.3333333333333332E-3</v>
      </c>
      <c r="R2" s="135">
        <v>8.3333333333333332E-3</v>
      </c>
      <c r="S2" s="135">
        <v>8.3333333333333332E-3</v>
      </c>
      <c r="T2" s="135">
        <v>8.3333333333333332E-3</v>
      </c>
      <c r="U2" s="135">
        <v>8.3333333333333332E-3</v>
      </c>
      <c r="V2" s="135">
        <v>8.3333333333333332E-3</v>
      </c>
      <c r="W2" s="135">
        <v>8.3333333333333332E-3</v>
      </c>
      <c r="X2" s="135">
        <v>8.3333333333333332E-3</v>
      </c>
      <c r="Y2" s="135">
        <v>8.3333333333333332E-3</v>
      </c>
      <c r="Z2" s="135">
        <v>8.3333333333333332E-3</v>
      </c>
      <c r="AC2" s="146"/>
      <c r="AD2" s="146"/>
      <c r="AE2" s="146"/>
      <c r="AF2" s="146"/>
      <c r="AG2" s="146"/>
      <c r="AH2" s="146"/>
      <c r="AM2" s="136"/>
      <c r="AN2" s="136"/>
      <c r="AO2" s="136"/>
    </row>
    <row r="3" spans="2:57" x14ac:dyDescent="0.2">
      <c r="B3" s="152" t="s">
        <v>36</v>
      </c>
      <c r="C3" s="153">
        <f>AZ20</f>
        <v>0.99703650458312898</v>
      </c>
      <c r="D3" s="151"/>
      <c r="I3" s="208" t="s">
        <v>69</v>
      </c>
      <c r="M3" s="154"/>
      <c r="S3" s="150"/>
      <c r="T3" s="150"/>
      <c r="U3" s="150"/>
      <c r="V3" s="150"/>
      <c r="X3" s="387" t="s">
        <v>26</v>
      </c>
      <c r="Y3" s="388"/>
      <c r="Z3" s="389"/>
      <c r="AC3" s="146"/>
      <c r="AD3" s="146"/>
      <c r="AE3" s="146"/>
      <c r="AF3" s="146"/>
      <c r="AG3" s="157"/>
      <c r="AH3" s="157"/>
      <c r="AM3" s="136"/>
      <c r="AN3" s="136"/>
      <c r="AO3" s="136"/>
    </row>
    <row r="4" spans="2:57" x14ac:dyDescent="0.2">
      <c r="B4" s="152" t="s">
        <v>41</v>
      </c>
      <c r="C4" s="158">
        <f>AV22</f>
        <v>1.7586206896551724</v>
      </c>
      <c r="D4" s="159"/>
      <c r="I4" s="125" t="s">
        <v>49</v>
      </c>
      <c r="J4" s="125" t="s">
        <v>51</v>
      </c>
      <c r="M4" s="154"/>
      <c r="N4" s="387" t="s">
        <v>34</v>
      </c>
      <c r="O4" s="388"/>
      <c r="P4" s="388"/>
      <c r="Q4" s="388"/>
      <c r="R4" s="389"/>
      <c r="S4" s="154"/>
      <c r="T4" s="154"/>
      <c r="U4" s="154"/>
      <c r="V4" s="154"/>
      <c r="X4" s="155" t="s">
        <v>23</v>
      </c>
      <c r="Y4" s="232">
        <f>Botoes!I6</f>
        <v>61.347914490414695</v>
      </c>
      <c r="Z4" s="156">
        <f>Y4/100</f>
        <v>0.6134791449041469</v>
      </c>
      <c r="AC4" s="146"/>
      <c r="AD4" s="146"/>
      <c r="AE4" s="146"/>
      <c r="AF4" s="146"/>
      <c r="AG4" s="157"/>
      <c r="AH4" s="157"/>
      <c r="AM4" s="136"/>
      <c r="AN4" s="136"/>
      <c r="AO4" s="136"/>
    </row>
    <row r="5" spans="2:57" x14ac:dyDescent="0.2">
      <c r="B5" s="160" t="s">
        <v>45</v>
      </c>
      <c r="C5" s="161">
        <f>BA22</f>
        <v>0.16137522131610382</v>
      </c>
      <c r="D5" s="159"/>
      <c r="H5" s="162"/>
      <c r="I5" s="125">
        <v>3</v>
      </c>
      <c r="J5" s="122">
        <f>ETP_Parametros!F7*1</f>
        <v>2.2987808881364698E-2</v>
      </c>
      <c r="K5" s="135">
        <v>0</v>
      </c>
      <c r="L5" s="135">
        <v>1</v>
      </c>
      <c r="N5" s="155" t="s">
        <v>93</v>
      </c>
      <c r="O5" s="268">
        <f>ETP_Parametros!G7*10000</f>
        <v>78.021296834139704</v>
      </c>
      <c r="P5" s="156"/>
      <c r="Q5" s="269">
        <v>25</v>
      </c>
      <c r="R5" s="270">
        <v>2000</v>
      </c>
      <c r="S5" s="154"/>
      <c r="T5" s="154"/>
      <c r="U5" s="154"/>
      <c r="V5" s="154"/>
      <c r="X5" s="163" t="s">
        <v>24</v>
      </c>
      <c r="Y5" s="273">
        <f>Botoes!J6</f>
        <v>249.84495960979811</v>
      </c>
      <c r="Z5" s="189"/>
      <c r="AC5" s="146"/>
      <c r="AD5" s="146"/>
      <c r="AE5" s="146"/>
      <c r="AF5" s="146"/>
      <c r="AG5" s="157"/>
      <c r="AH5" s="157"/>
      <c r="AM5" s="136"/>
      <c r="AN5" s="136"/>
      <c r="AO5" s="136"/>
    </row>
    <row r="6" spans="2:57" x14ac:dyDescent="0.2">
      <c r="I6" s="125">
        <v>2</v>
      </c>
      <c r="J6" s="122">
        <f>ETP_Parametros!F8*1</f>
        <v>0</v>
      </c>
      <c r="K6" s="135">
        <v>0</v>
      </c>
      <c r="L6" s="135">
        <v>1</v>
      </c>
      <c r="N6" s="164" t="s">
        <v>50</v>
      </c>
      <c r="O6" s="143">
        <f>ETP_Parametros!G8*10000</f>
        <v>2.4326154</v>
      </c>
      <c r="P6" s="140">
        <f>0.5^(1/O6)</f>
        <v>0.75206007259991525</v>
      </c>
      <c r="Q6" s="142">
        <v>0.2</v>
      </c>
      <c r="R6" s="261">
        <v>10</v>
      </c>
      <c r="S6" s="154"/>
      <c r="T6" s="154"/>
      <c r="U6" s="154"/>
      <c r="V6" s="154"/>
      <c r="X6" s="136"/>
      <c r="Z6" s="136"/>
      <c r="AC6" s="146"/>
      <c r="AD6" s="146"/>
      <c r="AE6" s="146"/>
      <c r="AF6" s="146"/>
      <c r="AG6" s="146"/>
      <c r="AH6" s="146"/>
    </row>
    <row r="7" spans="2:57" x14ac:dyDescent="0.2">
      <c r="B7" s="146"/>
      <c r="C7" s="137"/>
      <c r="D7" s="137"/>
      <c r="E7" s="136"/>
      <c r="F7" s="136"/>
      <c r="I7" s="125">
        <v>1</v>
      </c>
      <c r="J7" s="122">
        <f>ETP_Parametros!F9*1</f>
        <v>0.40454725138639203</v>
      </c>
      <c r="K7" s="135">
        <v>0</v>
      </c>
      <c r="L7" s="135">
        <v>1</v>
      </c>
      <c r="N7" s="164" t="s">
        <v>94</v>
      </c>
      <c r="O7" s="143">
        <f>ETP_Parametros!G9*10000</f>
        <v>6.1669564867628806</v>
      </c>
      <c r="P7" s="140">
        <f>O7/100</f>
        <v>6.1669564867628805E-2</v>
      </c>
      <c r="Q7" s="142">
        <v>0</v>
      </c>
      <c r="R7" s="261">
        <v>20</v>
      </c>
      <c r="S7" s="154"/>
      <c r="T7" s="154"/>
      <c r="U7" s="154"/>
      <c r="V7" s="154"/>
      <c r="AC7" s="146"/>
      <c r="AD7" s="146"/>
      <c r="AE7" s="146"/>
      <c r="AF7" s="146"/>
      <c r="AG7" s="146"/>
      <c r="AH7" s="146"/>
      <c r="AM7" s="136"/>
      <c r="AN7" s="136"/>
      <c r="AO7" s="136"/>
    </row>
    <row r="8" spans="2:57" x14ac:dyDescent="0.2">
      <c r="B8" s="136"/>
      <c r="C8" s="140"/>
      <c r="D8" s="140"/>
      <c r="E8" s="136"/>
      <c r="F8" s="136"/>
      <c r="I8" s="125">
        <v>0</v>
      </c>
      <c r="J8" s="122">
        <f>ETP_Parametros!F10*1</f>
        <v>0.35862847617556698</v>
      </c>
      <c r="K8" s="135">
        <v>0</v>
      </c>
      <c r="L8" s="135">
        <v>1</v>
      </c>
      <c r="N8" s="164" t="s">
        <v>95</v>
      </c>
      <c r="O8" s="123">
        <f>ETP_Parametros!G10*10000</f>
        <v>2</v>
      </c>
      <c r="P8" s="140"/>
      <c r="Q8" s="142">
        <v>2</v>
      </c>
      <c r="R8" s="261">
        <v>2.1</v>
      </c>
      <c r="S8" s="154"/>
      <c r="T8" s="154"/>
      <c r="U8" s="154"/>
      <c r="V8" s="154"/>
      <c r="X8" s="155" t="s">
        <v>27</v>
      </c>
      <c r="Y8" s="156"/>
      <c r="Z8" s="275"/>
      <c r="AC8" s="146"/>
      <c r="AD8" s="146"/>
      <c r="AE8" s="146"/>
      <c r="AF8" s="146"/>
      <c r="AG8" s="157"/>
      <c r="AH8" s="157"/>
      <c r="AM8" s="136"/>
      <c r="AN8" s="136"/>
      <c r="AO8" s="136"/>
    </row>
    <row r="9" spans="2:57" x14ac:dyDescent="0.2">
      <c r="B9" s="136"/>
      <c r="C9" s="140"/>
      <c r="D9" s="140"/>
      <c r="E9" s="136"/>
      <c r="F9" s="136"/>
      <c r="I9" s="125">
        <v>-1</v>
      </c>
      <c r="J9" s="122">
        <f>ETP_Parametros!F11*1</f>
        <v>0.21383646355667599</v>
      </c>
      <c r="K9" s="135">
        <v>0</v>
      </c>
      <c r="L9" s="135">
        <v>1</v>
      </c>
      <c r="N9" s="164" t="s">
        <v>96</v>
      </c>
      <c r="O9" s="138">
        <f>ETP_Parametros!G11*10000</f>
        <v>47.624739322009098</v>
      </c>
      <c r="P9" s="140">
        <f>O9/100</f>
        <v>0.47624739322009096</v>
      </c>
      <c r="Q9" s="142">
        <v>20</v>
      </c>
      <c r="R9" s="261">
        <v>50</v>
      </c>
      <c r="S9" s="154"/>
      <c r="T9" s="154"/>
      <c r="U9" s="154"/>
      <c r="V9" s="154"/>
      <c r="X9" s="165" t="s">
        <v>8</v>
      </c>
      <c r="Y9" s="391">
        <f>ETP_Parametros!A21</f>
        <v>55726</v>
      </c>
      <c r="Z9" s="392"/>
      <c r="AC9" s="146"/>
      <c r="AD9" s="146"/>
      <c r="AE9" s="146"/>
      <c r="AF9" s="146"/>
      <c r="AG9" s="157"/>
      <c r="AH9" s="157"/>
      <c r="AI9" s="154"/>
      <c r="AM9" s="136"/>
      <c r="AN9" s="136"/>
      <c r="AO9" s="136"/>
    </row>
    <row r="10" spans="2:57" x14ac:dyDescent="0.2">
      <c r="B10" s="136"/>
      <c r="C10" s="140"/>
      <c r="D10" s="140"/>
      <c r="E10" s="136"/>
      <c r="F10" s="136"/>
      <c r="M10" s="154"/>
      <c r="N10" s="163" t="s">
        <v>97</v>
      </c>
      <c r="O10" s="271">
        <f>ETP_Parametros!G12*10000</f>
        <v>48.342505227826699</v>
      </c>
      <c r="P10" s="272">
        <f>0.5^(1/O10)</f>
        <v>0.98576404797407446</v>
      </c>
      <c r="Q10" s="266">
        <v>30</v>
      </c>
      <c r="R10" s="267">
        <v>180</v>
      </c>
      <c r="S10" s="154"/>
      <c r="T10" s="154"/>
      <c r="U10" s="154"/>
      <c r="V10" s="154"/>
      <c r="X10" s="146"/>
      <c r="Y10" s="146"/>
      <c r="Z10" s="136"/>
      <c r="AC10" s="146"/>
      <c r="AD10" s="146"/>
      <c r="AE10" s="146"/>
      <c r="AF10" s="146"/>
      <c r="AG10" s="157"/>
      <c r="AH10" s="157"/>
      <c r="AI10" s="154"/>
      <c r="AM10" s="136"/>
      <c r="AN10" s="136"/>
      <c r="AO10" s="136"/>
    </row>
    <row r="11" spans="2:57" x14ac:dyDescent="0.2">
      <c r="B11" s="136"/>
      <c r="C11" s="140"/>
      <c r="D11" s="140"/>
      <c r="E11" s="145"/>
      <c r="F11" s="260"/>
      <c r="I11" s="166" t="s">
        <v>46</v>
      </c>
      <c r="J11" s="172">
        <f>SUM(J5:J9)</f>
        <v>0.99999999999999967</v>
      </c>
      <c r="N11" s="340" t="s">
        <v>83</v>
      </c>
      <c r="O11" s="138">
        <f>ETP_Parametros!G13*10000</f>
        <v>0.87752911268068001</v>
      </c>
      <c r="P11" s="341"/>
      <c r="Q11" s="342">
        <v>0.8</v>
      </c>
      <c r="R11" s="343">
        <v>1.2</v>
      </c>
      <c r="X11" s="393"/>
      <c r="Y11" s="393"/>
      <c r="Z11" s="393"/>
      <c r="AB11" s="274"/>
      <c r="AC11" s="274"/>
      <c r="AD11" s="274"/>
      <c r="AE11" s="274"/>
      <c r="AF11" s="274"/>
      <c r="AG11" s="274"/>
      <c r="AH11" s="274"/>
      <c r="AI11" s="274"/>
      <c r="AJ11" s="274"/>
      <c r="AK11" s="274"/>
      <c r="AL11" s="274"/>
      <c r="AM11" s="274"/>
      <c r="AN11" s="274"/>
      <c r="AO11" s="274"/>
    </row>
    <row r="12" spans="2:57" x14ac:dyDescent="0.2">
      <c r="C12" s="168"/>
      <c r="D12" s="168"/>
      <c r="N12" s="262" t="s">
        <v>104</v>
      </c>
      <c r="O12" s="141">
        <f>ETP_Parametros!G14*10000</f>
        <v>358</v>
      </c>
      <c r="P12" s="137"/>
      <c r="Q12" s="142">
        <v>200</v>
      </c>
      <c r="R12" s="261">
        <v>500</v>
      </c>
    </row>
    <row r="13" spans="2:57" ht="18" customHeight="1" x14ac:dyDescent="0.25">
      <c r="B13" s="252" t="s">
        <v>1</v>
      </c>
      <c r="C13" s="253" t="s">
        <v>5</v>
      </c>
      <c r="D13" s="254" t="s">
        <v>5</v>
      </c>
      <c r="E13" s="255" t="s">
        <v>1</v>
      </c>
      <c r="F13" s="256" t="s">
        <v>21</v>
      </c>
      <c r="H13" s="125" t="s">
        <v>2</v>
      </c>
      <c r="J13" s="280"/>
      <c r="K13" s="280"/>
      <c r="L13" s="280"/>
      <c r="M13" s="280"/>
      <c r="N13" s="262" t="s">
        <v>107</v>
      </c>
      <c r="O13" s="141">
        <f>ETP_Parametros!G15*10000</f>
        <v>54.400000000000006</v>
      </c>
      <c r="P13" s="137"/>
      <c r="Q13" s="142">
        <v>0.1</v>
      </c>
      <c r="R13" s="261">
        <v>100</v>
      </c>
      <c r="S13" s="280"/>
      <c r="T13" s="280"/>
      <c r="U13" s="280"/>
      <c r="V13" s="280"/>
      <c r="W13" s="280"/>
      <c r="X13" s="280"/>
      <c r="Y13" s="280"/>
      <c r="Z13" s="280"/>
      <c r="AB13" s="294" t="s">
        <v>0</v>
      </c>
      <c r="AC13" s="283" t="s">
        <v>0</v>
      </c>
      <c r="AD13" s="282" t="s">
        <v>12</v>
      </c>
      <c r="AE13" s="284" t="s">
        <v>13</v>
      </c>
      <c r="AF13" s="285" t="s">
        <v>17</v>
      </c>
      <c r="AG13" s="283" t="s">
        <v>18</v>
      </c>
      <c r="AH13" s="286" t="s">
        <v>19</v>
      </c>
      <c r="AI13" s="287" t="s">
        <v>103</v>
      </c>
      <c r="AJ13" s="169" t="s">
        <v>98</v>
      </c>
      <c r="AK13" s="287" t="s">
        <v>110</v>
      </c>
      <c r="AL13" s="285" t="s">
        <v>21</v>
      </c>
      <c r="AM13" s="170" t="s">
        <v>105</v>
      </c>
      <c r="AN13" s="288" t="s">
        <v>106</v>
      </c>
      <c r="AO13" s="171" t="s">
        <v>108</v>
      </c>
      <c r="BD13" s="212"/>
      <c r="BE13" s="210"/>
    </row>
    <row r="14" spans="2:57" ht="18" customHeight="1" x14ac:dyDescent="0.25">
      <c r="B14" s="252" t="s">
        <v>25</v>
      </c>
      <c r="C14" s="253" t="s">
        <v>139</v>
      </c>
      <c r="D14" s="254" t="s">
        <v>140</v>
      </c>
      <c r="E14" s="255" t="s">
        <v>22</v>
      </c>
      <c r="F14" s="390" t="s">
        <v>88</v>
      </c>
      <c r="H14" s="125" t="s">
        <v>3</v>
      </c>
      <c r="I14" s="339"/>
      <c r="J14" s="339"/>
      <c r="K14" s="339"/>
      <c r="L14" s="339"/>
      <c r="M14" s="339"/>
      <c r="N14" s="263" t="s">
        <v>109</v>
      </c>
      <c r="O14" s="264">
        <f>ETP_Parametros!G16*10000</f>
        <v>163.89999999999998</v>
      </c>
      <c r="P14" s="265"/>
      <c r="Q14" s="266">
        <v>0.1</v>
      </c>
      <c r="R14" s="267">
        <v>200</v>
      </c>
      <c r="S14" s="339"/>
      <c r="T14" s="339"/>
      <c r="U14" s="339"/>
      <c r="V14" s="339"/>
      <c r="W14" s="339"/>
      <c r="X14" s="339"/>
      <c r="Y14" s="339"/>
      <c r="Z14" s="339"/>
      <c r="AB14" s="295" t="s">
        <v>4</v>
      </c>
      <c r="AC14" s="283" t="s">
        <v>53</v>
      </c>
      <c r="AD14" s="396" t="s">
        <v>143</v>
      </c>
      <c r="AE14" s="397" t="s">
        <v>86</v>
      </c>
      <c r="AF14" s="398" t="s">
        <v>87</v>
      </c>
      <c r="AG14" s="289"/>
      <c r="AH14" s="289"/>
      <c r="AI14" s="396" t="s">
        <v>144</v>
      </c>
      <c r="AK14" s="396" t="s">
        <v>145</v>
      </c>
      <c r="AL14" s="399" t="s">
        <v>88</v>
      </c>
      <c r="AN14" s="400" t="s">
        <v>146</v>
      </c>
      <c r="BD14" s="212"/>
      <c r="BE14" s="210"/>
    </row>
    <row r="15" spans="2:57" ht="18" x14ac:dyDescent="0.25">
      <c r="B15" s="252" t="s">
        <v>141</v>
      </c>
      <c r="C15" s="253" t="s">
        <v>43</v>
      </c>
      <c r="D15" s="254" t="s">
        <v>43</v>
      </c>
      <c r="E15" s="255" t="s">
        <v>141</v>
      </c>
      <c r="F15" s="390"/>
      <c r="H15" s="208" t="s">
        <v>99</v>
      </c>
      <c r="I15" s="393"/>
      <c r="J15" s="393"/>
      <c r="K15" s="393"/>
      <c r="L15" s="393"/>
      <c r="M15" s="393"/>
      <c r="N15" s="393"/>
      <c r="O15" s="393"/>
      <c r="P15" s="393"/>
      <c r="Q15" s="393"/>
      <c r="R15" s="393"/>
      <c r="S15" s="393"/>
      <c r="T15" s="393"/>
      <c r="U15" s="393"/>
      <c r="V15" s="393"/>
      <c r="W15" s="393"/>
      <c r="X15" s="393"/>
      <c r="Y15" s="393"/>
      <c r="Z15" s="393"/>
      <c r="AB15" s="295" t="s">
        <v>10</v>
      </c>
      <c r="AC15" s="290"/>
      <c r="AD15" s="396"/>
      <c r="AE15" s="397"/>
      <c r="AF15" s="398"/>
      <c r="AG15" s="289"/>
      <c r="AH15" s="289"/>
      <c r="AI15" s="396"/>
      <c r="AK15" s="396"/>
      <c r="AL15" s="399"/>
      <c r="AN15" s="400"/>
      <c r="BD15" s="212"/>
      <c r="BE15" s="210"/>
    </row>
    <row r="16" spans="2:57" ht="18" customHeight="1" x14ac:dyDescent="0.25">
      <c r="B16" s="257"/>
      <c r="C16" s="174"/>
      <c r="D16" s="175"/>
      <c r="E16" s="258" t="s">
        <v>84</v>
      </c>
      <c r="F16" s="259" t="s">
        <v>141</v>
      </c>
      <c r="G16" s="298"/>
      <c r="I16" s="394" t="s">
        <v>142</v>
      </c>
      <c r="J16" s="394"/>
      <c r="K16" s="394"/>
      <c r="L16" s="394"/>
      <c r="M16" s="394"/>
      <c r="N16" s="394"/>
      <c r="O16" s="394"/>
      <c r="P16" s="394"/>
      <c r="Q16" s="394"/>
      <c r="R16" s="394"/>
      <c r="S16" s="394"/>
      <c r="T16" s="394"/>
      <c r="U16" s="394"/>
      <c r="V16" s="394"/>
      <c r="W16" s="394"/>
      <c r="X16" s="394"/>
      <c r="Y16" s="394"/>
      <c r="Z16" s="394"/>
      <c r="AA16" s="298"/>
      <c r="BA16" s="125" t="s">
        <v>5</v>
      </c>
      <c r="BD16" s="212"/>
      <c r="BE16" s="210"/>
    </row>
    <row r="17" spans="1:69" x14ac:dyDescent="0.2">
      <c r="B17" s="173">
        <f>STDEV(B24:B68)</f>
        <v>538.82346535137606</v>
      </c>
      <c r="C17" s="174">
        <f>ABS(F17-B17)/B17</f>
        <v>0.90849467072675383</v>
      </c>
      <c r="D17" s="175"/>
      <c r="E17" s="133">
        <f>STDEV(E24:E68)</f>
        <v>548.50984026454364</v>
      </c>
      <c r="F17" s="133">
        <f>STDEV(F24:F68)</f>
        <v>49.305218617129242</v>
      </c>
      <c r="I17" s="281">
        <f>1/18</f>
        <v>5.5555555555555552E-2</v>
      </c>
      <c r="J17" s="281">
        <f t="shared" ref="J17:Z17" si="0">1/18</f>
        <v>5.5555555555555552E-2</v>
      </c>
      <c r="K17" s="281">
        <f t="shared" si="0"/>
        <v>5.5555555555555552E-2</v>
      </c>
      <c r="L17" s="281">
        <f t="shared" si="0"/>
        <v>5.5555555555555552E-2</v>
      </c>
      <c r="M17" s="281">
        <f t="shared" si="0"/>
        <v>5.5555555555555552E-2</v>
      </c>
      <c r="N17" s="281">
        <f t="shared" si="0"/>
        <v>5.5555555555555552E-2</v>
      </c>
      <c r="O17" s="281">
        <f t="shared" si="0"/>
        <v>5.5555555555555552E-2</v>
      </c>
      <c r="P17" s="281">
        <f t="shared" si="0"/>
        <v>5.5555555555555552E-2</v>
      </c>
      <c r="Q17" s="281">
        <f t="shared" si="0"/>
        <v>5.5555555555555552E-2</v>
      </c>
      <c r="R17" s="281">
        <f t="shared" si="0"/>
        <v>5.5555555555555552E-2</v>
      </c>
      <c r="S17" s="281">
        <f t="shared" si="0"/>
        <v>5.5555555555555552E-2</v>
      </c>
      <c r="T17" s="281">
        <f t="shared" si="0"/>
        <v>5.5555555555555552E-2</v>
      </c>
      <c r="U17" s="281">
        <f t="shared" si="0"/>
        <v>5.5555555555555552E-2</v>
      </c>
      <c r="V17" s="281">
        <f t="shared" si="0"/>
        <v>5.5555555555555552E-2</v>
      </c>
      <c r="W17" s="281">
        <f t="shared" si="0"/>
        <v>5.5555555555555552E-2</v>
      </c>
      <c r="X17" s="281">
        <f t="shared" si="0"/>
        <v>5.5555555555555552E-2</v>
      </c>
      <c r="Y17" s="281">
        <f t="shared" si="0"/>
        <v>5.5555555555555552E-2</v>
      </c>
      <c r="Z17" s="281">
        <f t="shared" si="0"/>
        <v>5.5555555555555552E-2</v>
      </c>
      <c r="AB17" s="207">
        <f>SUM(I17:Z17)</f>
        <v>1.0000000000000002</v>
      </c>
      <c r="AC17" s="176"/>
      <c r="BA17" s="125" t="s">
        <v>44</v>
      </c>
      <c r="BD17" s="210"/>
      <c r="BE17" s="210"/>
    </row>
    <row r="18" spans="1:69" x14ac:dyDescent="0.2">
      <c r="B18" s="177"/>
      <c r="C18" s="178"/>
      <c r="D18" s="179"/>
      <c r="E18" s="180" t="s">
        <v>4</v>
      </c>
      <c r="F18" s="180" t="s">
        <v>4</v>
      </c>
      <c r="I18" s="134">
        <v>2352002</v>
      </c>
      <c r="J18" s="134">
        <v>2353044</v>
      </c>
      <c r="K18" s="134">
        <v>2352000</v>
      </c>
      <c r="L18" s="134">
        <v>2550000</v>
      </c>
      <c r="M18" s="134">
        <v>2451003</v>
      </c>
      <c r="N18" s="134">
        <v>2353001</v>
      </c>
      <c r="O18" s="134">
        <v>2353002</v>
      </c>
      <c r="P18" s="134">
        <v>2453013</v>
      </c>
      <c r="Q18" s="134">
        <v>2451015</v>
      </c>
      <c r="R18" s="134">
        <v>2451002</v>
      </c>
      <c r="S18" s="134">
        <v>2552006</v>
      </c>
      <c r="T18" s="134">
        <v>2452000</v>
      </c>
      <c r="U18" s="134">
        <v>2553009</v>
      </c>
      <c r="V18" s="134">
        <v>2453000</v>
      </c>
      <c r="W18" s="134">
        <v>2353004</v>
      </c>
      <c r="X18" s="134">
        <v>2451010</v>
      </c>
      <c r="Y18" s="134">
        <v>2451013</v>
      </c>
      <c r="Z18" s="134">
        <v>2452009</v>
      </c>
      <c r="AB18" s="207"/>
      <c r="AC18" s="181"/>
      <c r="BA18" s="125" t="s">
        <v>6</v>
      </c>
      <c r="BD18" s="210"/>
      <c r="BE18" s="210"/>
    </row>
    <row r="19" spans="1:69" x14ac:dyDescent="0.2">
      <c r="A19" s="182" t="s">
        <v>100</v>
      </c>
      <c r="B19" s="183">
        <f>AVERAGE(B24:B68)</f>
        <v>1515.2042847344769</v>
      </c>
      <c r="C19" s="174">
        <f>ABS(F19-B19)/B19</f>
        <v>0.7890367259012292</v>
      </c>
      <c r="D19" s="175">
        <f>AVERAGE(D24:D68)</f>
        <v>5.1341138269311429E-2</v>
      </c>
      <c r="E19" s="184">
        <f>AVERAGE(E24:E68)</f>
        <v>1395.3537730781213</v>
      </c>
      <c r="F19" s="184">
        <f>AVERAGE(F24:F68)</f>
        <v>319.65245683607145</v>
      </c>
      <c r="G19" s="299"/>
      <c r="H19" s="185">
        <f t="shared" ref="H19:Z19" si="1">SUM(H21:H68)</f>
        <v>201.73805309734516</v>
      </c>
      <c r="I19" s="185">
        <f t="shared" si="1"/>
        <v>272.95</v>
      </c>
      <c r="J19" s="185">
        <f t="shared" si="1"/>
        <v>272.95</v>
      </c>
      <c r="K19" s="185">
        <f t="shared" si="1"/>
        <v>272.95</v>
      </c>
      <c r="L19" s="185">
        <f t="shared" si="1"/>
        <v>272.95</v>
      </c>
      <c r="M19" s="185">
        <f t="shared" si="1"/>
        <v>272.95</v>
      </c>
      <c r="N19" s="185">
        <f t="shared" si="1"/>
        <v>272.95</v>
      </c>
      <c r="O19" s="185">
        <f t="shared" si="1"/>
        <v>272.95</v>
      </c>
      <c r="P19" s="185">
        <f t="shared" si="1"/>
        <v>272.95</v>
      </c>
      <c r="Q19" s="185">
        <f t="shared" si="1"/>
        <v>272.95</v>
      </c>
      <c r="R19" s="185">
        <f t="shared" si="1"/>
        <v>272.95</v>
      </c>
      <c r="S19" s="185">
        <f t="shared" si="1"/>
        <v>272.95</v>
      </c>
      <c r="T19" s="185">
        <f t="shared" si="1"/>
        <v>272.95</v>
      </c>
      <c r="U19" s="185">
        <f t="shared" si="1"/>
        <v>272.95</v>
      </c>
      <c r="V19" s="185">
        <f t="shared" si="1"/>
        <v>272.95</v>
      </c>
      <c r="W19" s="185">
        <f t="shared" si="1"/>
        <v>272.95</v>
      </c>
      <c r="X19" s="185">
        <f t="shared" si="1"/>
        <v>272.95</v>
      </c>
      <c r="Y19" s="185">
        <f t="shared" si="1"/>
        <v>272.95</v>
      </c>
      <c r="Z19" s="185">
        <f t="shared" si="1"/>
        <v>272.95</v>
      </c>
      <c r="AA19" s="299"/>
      <c r="AB19" s="185">
        <f>SUM(AB21:AB68)</f>
        <v>272.94999999999993</v>
      </c>
      <c r="AC19" s="185"/>
      <c r="AD19" s="185">
        <f>AVERAGE(AD24:AD68)</f>
        <v>57.228578006546527</v>
      </c>
      <c r="AE19" s="181">
        <f>AVERAGE(AE24:AE68)</f>
        <v>0.72956254566168488</v>
      </c>
      <c r="AF19" s="185">
        <f>SUM(AF24:AF68)</f>
        <v>63.146137608625011</v>
      </c>
      <c r="AG19" s="185">
        <f>SUM(AG24:AG68)</f>
        <v>150.80922375383818</v>
      </c>
      <c r="AH19" s="185">
        <f>SUM(AH24:AH68)</f>
        <v>36.820655594476676</v>
      </c>
      <c r="AI19" s="185">
        <f>AVERAGE(AI24:AI68)</f>
        <v>4.9907104998113532</v>
      </c>
      <c r="AJ19" s="185">
        <f>SUM(AJ24:AJ68)</f>
        <v>65.813699946618172</v>
      </c>
      <c r="AK19" s="185">
        <f>AVERAGE(AK24:AK68)</f>
        <v>35.451329452195409</v>
      </c>
      <c r="AL19" s="185">
        <f>SUM(AL24:AL68)</f>
        <v>19.94712625934643</v>
      </c>
      <c r="AM19" s="185"/>
      <c r="AN19" s="185"/>
      <c r="AO19" s="185"/>
      <c r="AS19" s="168"/>
      <c r="AT19" s="186" t="s">
        <v>35</v>
      </c>
      <c r="AV19" s="151"/>
      <c r="AW19" s="151"/>
      <c r="AX19" s="151"/>
      <c r="AY19" s="168"/>
      <c r="AZ19" s="186" t="s">
        <v>36</v>
      </c>
      <c r="BA19" s="156"/>
      <c r="BB19" s="156"/>
      <c r="BD19" s="210"/>
      <c r="BE19" s="210"/>
    </row>
    <row r="20" spans="1:69" ht="13.5" thickBot="1" x14ac:dyDescent="0.25">
      <c r="A20" s="182"/>
      <c r="B20" s="185"/>
      <c r="C20" s="181"/>
      <c r="D20" s="181"/>
      <c r="E20" s="185"/>
      <c r="F20" s="185"/>
      <c r="G20" s="299"/>
      <c r="H20" s="185"/>
      <c r="I20" s="185"/>
      <c r="J20" s="185"/>
      <c r="K20" s="185"/>
      <c r="L20" s="185"/>
      <c r="M20" s="185"/>
      <c r="N20" s="185"/>
      <c r="O20" s="185"/>
      <c r="P20" s="185"/>
      <c r="Q20" s="185"/>
      <c r="R20" s="185"/>
      <c r="S20" s="185"/>
      <c r="T20" s="185"/>
      <c r="U20" s="185"/>
      <c r="V20" s="185"/>
      <c r="W20" s="185"/>
      <c r="X20" s="185"/>
      <c r="Y20" s="185"/>
      <c r="Z20" s="185"/>
      <c r="AA20" s="299"/>
      <c r="AB20" s="185"/>
      <c r="AC20" s="185"/>
      <c r="AD20" s="132">
        <f>Z4*O5</f>
        <v>47.864438466120653</v>
      </c>
      <c r="AE20" s="185"/>
      <c r="AF20" s="185"/>
      <c r="AG20" s="185"/>
      <c r="AH20" s="185"/>
      <c r="AI20" s="204">
        <f>Botoes!H6</f>
        <v>5</v>
      </c>
      <c r="AJ20" s="185"/>
      <c r="AK20" s="132">
        <f>Y5/(1-P10)/Y9*86.4</f>
        <v>27.210714675381308</v>
      </c>
      <c r="AL20" s="185"/>
      <c r="AM20" s="185"/>
      <c r="AN20" s="187">
        <v>0</v>
      </c>
      <c r="AO20" s="185"/>
      <c r="AS20" s="132"/>
      <c r="AT20" s="188">
        <f>(AS22-AT22)/AS22</f>
        <v>0.96211547215769322</v>
      </c>
      <c r="AV20" s="151"/>
      <c r="AW20" s="151" t="s">
        <v>42</v>
      </c>
      <c r="AX20" s="151"/>
      <c r="AY20" s="132"/>
      <c r="AZ20" s="188">
        <f>(AY22-AZ22)/AY22</f>
        <v>0.99703650458312898</v>
      </c>
      <c r="BA20" s="189"/>
      <c r="BB20" s="189"/>
      <c r="BD20" s="210"/>
      <c r="BE20" s="210"/>
    </row>
    <row r="21" spans="1:69" ht="13.5" thickBot="1" x14ac:dyDescent="0.25">
      <c r="A21" s="213">
        <f t="shared" ref="A21:A50" si="2">A22-1</f>
        <v>42426</v>
      </c>
      <c r="B21" s="190">
        <f>VLOOKUP(A21,P_Q_obs!$A$4:$H$304,8,FALSE)</f>
        <v>777.36546287369697</v>
      </c>
      <c r="C21" s="168"/>
      <c r="D21" s="168"/>
      <c r="E21" s="132"/>
      <c r="F21" s="132"/>
      <c r="G21" s="300"/>
      <c r="H21" s="127">
        <f>VLOOKUP(MONTH(A21),ETP_Parametros!$A$6:$D$17,4,FALSE)</f>
        <v>5.7345132743362832</v>
      </c>
      <c r="I21" s="229">
        <f>VLOOKUP(A21,P_Q_obs!$A$4:$F$308,2,FALSE)*1</f>
        <v>3.9</v>
      </c>
      <c r="J21" s="229">
        <f>I21</f>
        <v>3.9</v>
      </c>
      <c r="K21" s="229">
        <f t="shared" ref="K21:S21" si="3">J21</f>
        <v>3.9</v>
      </c>
      <c r="L21" s="229">
        <f t="shared" si="3"/>
        <v>3.9</v>
      </c>
      <c r="M21" s="229">
        <f t="shared" si="3"/>
        <v>3.9</v>
      </c>
      <c r="N21" s="229">
        <f t="shared" si="3"/>
        <v>3.9</v>
      </c>
      <c r="O21" s="229">
        <f t="shared" si="3"/>
        <v>3.9</v>
      </c>
      <c r="P21" s="229">
        <f t="shared" si="3"/>
        <v>3.9</v>
      </c>
      <c r="Q21" s="229">
        <f t="shared" si="3"/>
        <v>3.9</v>
      </c>
      <c r="R21" s="229">
        <f t="shared" si="3"/>
        <v>3.9</v>
      </c>
      <c r="S21" s="229">
        <f t="shared" si="3"/>
        <v>3.9</v>
      </c>
      <c r="T21" s="229">
        <f t="shared" ref="T21:T63" si="4">S21</f>
        <v>3.9</v>
      </c>
      <c r="U21" s="229">
        <f t="shared" ref="U21:U63" si="5">T21</f>
        <v>3.9</v>
      </c>
      <c r="V21" s="229">
        <f t="shared" ref="V21:V63" si="6">U21</f>
        <v>3.9</v>
      </c>
      <c r="W21" s="229">
        <f t="shared" ref="W21:W63" si="7">V21</f>
        <v>3.9</v>
      </c>
      <c r="X21" s="229">
        <f t="shared" ref="X21:X63" si="8">W21</f>
        <v>3.9</v>
      </c>
      <c r="Y21" s="229">
        <f t="shared" ref="Y21:Y63" si="9">X21</f>
        <v>3.9</v>
      </c>
      <c r="Z21" s="291">
        <f t="shared" ref="Z21:Z63" si="10">Y21</f>
        <v>3.9</v>
      </c>
      <c r="AA21" s="300"/>
      <c r="AB21" s="191">
        <f t="shared" ref="AB21:AB62" si="11">SUMPRODUCT($I$17:$Z$17,I21:Z21)</f>
        <v>3.9000000000000004</v>
      </c>
      <c r="AC21" s="191"/>
      <c r="AD21" s="132"/>
      <c r="AE21" s="168"/>
      <c r="AF21" s="192"/>
      <c r="AG21" s="192"/>
      <c r="AH21" s="192"/>
      <c r="AI21" s="167"/>
      <c r="AJ21" s="192"/>
      <c r="AK21" s="132"/>
      <c r="AL21" s="192"/>
      <c r="AM21" s="192"/>
      <c r="AN21" s="192"/>
      <c r="AO21" s="192"/>
      <c r="AS21" s="168" t="s">
        <v>37</v>
      </c>
      <c r="AT21" s="144" t="s">
        <v>38</v>
      </c>
      <c r="AU21" s="147" t="s">
        <v>39</v>
      </c>
      <c r="AV21" s="193" t="s">
        <v>40</v>
      </c>
      <c r="AW21" s="144"/>
      <c r="AX21" s="144"/>
      <c r="AY21" s="168" t="s">
        <v>37</v>
      </c>
      <c r="AZ21" s="144" t="s">
        <v>38</v>
      </c>
      <c r="BA21" s="156"/>
      <c r="BB21" s="156"/>
      <c r="BD21" s="210"/>
      <c r="BE21" s="210"/>
    </row>
    <row r="22" spans="1:69" ht="13.5" thickBot="1" x14ac:dyDescent="0.25">
      <c r="A22" s="213">
        <f t="shared" si="2"/>
        <v>42427</v>
      </c>
      <c r="B22" s="190">
        <f>VLOOKUP(A22,P_Q_obs!$A$4:$H$304,8,FALSE)</f>
        <v>1041.38518966268</v>
      </c>
      <c r="C22" s="168"/>
      <c r="D22" s="168"/>
      <c r="E22" s="132"/>
      <c r="F22" s="132"/>
      <c r="G22" s="300"/>
      <c r="H22" s="127">
        <f>VLOOKUP(MONTH(A22),ETP_Parametros!$A$6:$D$17,4,FALSE)</f>
        <v>5.7345132743362832</v>
      </c>
      <c r="I22" s="229">
        <f>VLOOKUP(A22,P_Q_obs!$A$4:$F$308,2,FALSE)*1</f>
        <v>14.85</v>
      </c>
      <c r="J22" s="229">
        <f t="shared" ref="J22:S22" si="12">I22</f>
        <v>14.85</v>
      </c>
      <c r="K22" s="229">
        <f t="shared" si="12"/>
        <v>14.85</v>
      </c>
      <c r="L22" s="229">
        <f t="shared" si="12"/>
        <v>14.85</v>
      </c>
      <c r="M22" s="229">
        <f t="shared" si="12"/>
        <v>14.85</v>
      </c>
      <c r="N22" s="229">
        <f t="shared" si="12"/>
        <v>14.85</v>
      </c>
      <c r="O22" s="229">
        <f t="shared" si="12"/>
        <v>14.85</v>
      </c>
      <c r="P22" s="229">
        <f t="shared" si="12"/>
        <v>14.85</v>
      </c>
      <c r="Q22" s="229">
        <f t="shared" si="12"/>
        <v>14.85</v>
      </c>
      <c r="R22" s="229">
        <f t="shared" si="12"/>
        <v>14.85</v>
      </c>
      <c r="S22" s="229">
        <f t="shared" si="12"/>
        <v>14.85</v>
      </c>
      <c r="T22" s="229">
        <f t="shared" si="4"/>
        <v>14.85</v>
      </c>
      <c r="U22" s="229">
        <f t="shared" si="5"/>
        <v>14.85</v>
      </c>
      <c r="V22" s="229">
        <f t="shared" si="6"/>
        <v>14.85</v>
      </c>
      <c r="W22" s="229">
        <f t="shared" si="7"/>
        <v>14.85</v>
      </c>
      <c r="X22" s="229">
        <f t="shared" si="8"/>
        <v>14.85</v>
      </c>
      <c r="Y22" s="229">
        <f t="shared" si="9"/>
        <v>14.85</v>
      </c>
      <c r="Z22" s="291">
        <f t="shared" si="10"/>
        <v>14.85</v>
      </c>
      <c r="AA22" s="300"/>
      <c r="AB22" s="191">
        <f t="shared" si="11"/>
        <v>14.849999999999994</v>
      </c>
      <c r="AC22" s="192"/>
      <c r="AD22" s="132"/>
      <c r="AE22" s="168"/>
      <c r="AF22" s="192"/>
      <c r="AG22" s="192"/>
      <c r="AH22" s="192"/>
      <c r="AI22" s="167"/>
      <c r="AJ22" s="192"/>
      <c r="AK22" s="132"/>
      <c r="AL22" s="192"/>
      <c r="AM22" s="192"/>
      <c r="AN22" s="192"/>
      <c r="AO22" s="192"/>
      <c r="AS22" s="185">
        <f>SUM(BP24:BP68)</f>
        <v>8677156.4091362786</v>
      </c>
      <c r="AT22" s="185">
        <f>SUM(BQ24:BQ68)</f>
        <v>328729.97357397445</v>
      </c>
      <c r="AU22" s="195"/>
      <c r="AV22" s="196">
        <f>AVERAGE(AV24:AV68)</f>
        <v>1.7586206896551724</v>
      </c>
      <c r="AW22" s="185">
        <f>SUM(AW24:AW68)</f>
        <v>3048.9611501779691</v>
      </c>
      <c r="AX22" s="185">
        <f>SUM(AX24:AX68)</f>
        <v>-30907.337405983733</v>
      </c>
      <c r="AY22" s="185">
        <f>SUM(AY24:AY68)</f>
        <v>25859008120.591743</v>
      </c>
      <c r="AZ22" s="185">
        <f>SUM(AZ24:AZ68)</f>
        <v>76633052.050203428</v>
      </c>
      <c r="BA22" s="197">
        <f>SUM(BA24:BA68)</f>
        <v>0.16137522131610382</v>
      </c>
      <c r="BB22" s="197">
        <f>1-AVERAGE(BC24:BC68)</f>
        <v>0.95161601570122745</v>
      </c>
      <c r="BD22" s="395" t="s">
        <v>119</v>
      </c>
      <c r="BE22" s="395"/>
      <c r="BF22" s="395"/>
      <c r="BG22" s="395"/>
      <c r="BH22" s="395"/>
      <c r="BI22" s="395"/>
      <c r="BJ22" s="395"/>
      <c r="BK22" s="386" t="s">
        <v>148</v>
      </c>
      <c r="BL22" s="386"/>
      <c r="BN22" s="363" t="s">
        <v>157</v>
      </c>
    </row>
    <row r="23" spans="1:69" ht="13.5" thickBot="1" x14ac:dyDescent="0.25">
      <c r="A23" s="213">
        <f t="shared" si="2"/>
        <v>42428</v>
      </c>
      <c r="B23" s="190">
        <f>VLOOKUP(A23,P_Q_obs!$A$4:$H$304,8,FALSE)</f>
        <v>1128.6026205929199</v>
      </c>
      <c r="C23" s="168"/>
      <c r="D23" s="168"/>
      <c r="E23" s="132"/>
      <c r="F23" s="132"/>
      <c r="G23" s="300"/>
      <c r="H23" s="127">
        <f>VLOOKUP(MONTH(A23),ETP_Parametros!$A$6:$D$17,4,FALSE)</f>
        <v>5.7345132743362832</v>
      </c>
      <c r="I23" s="229">
        <f>VLOOKUP(A23,P_Q_obs!$A$4:$F$308,2,FALSE)*1</f>
        <v>3.05</v>
      </c>
      <c r="J23" s="229">
        <f t="shared" ref="J23:S23" si="13">I23</f>
        <v>3.05</v>
      </c>
      <c r="K23" s="229">
        <f t="shared" si="13"/>
        <v>3.05</v>
      </c>
      <c r="L23" s="229">
        <f t="shared" si="13"/>
        <v>3.05</v>
      </c>
      <c r="M23" s="229">
        <f t="shared" si="13"/>
        <v>3.05</v>
      </c>
      <c r="N23" s="229">
        <f t="shared" si="13"/>
        <v>3.05</v>
      </c>
      <c r="O23" s="229">
        <f t="shared" si="13"/>
        <v>3.05</v>
      </c>
      <c r="P23" s="229">
        <f t="shared" si="13"/>
        <v>3.05</v>
      </c>
      <c r="Q23" s="229">
        <f t="shared" si="13"/>
        <v>3.05</v>
      </c>
      <c r="R23" s="229">
        <f t="shared" si="13"/>
        <v>3.05</v>
      </c>
      <c r="S23" s="229">
        <f t="shared" si="13"/>
        <v>3.05</v>
      </c>
      <c r="T23" s="229">
        <f t="shared" si="4"/>
        <v>3.05</v>
      </c>
      <c r="U23" s="229">
        <f t="shared" si="5"/>
        <v>3.05</v>
      </c>
      <c r="V23" s="229">
        <f t="shared" si="6"/>
        <v>3.05</v>
      </c>
      <c r="W23" s="229">
        <f t="shared" si="7"/>
        <v>3.05</v>
      </c>
      <c r="X23" s="229">
        <f t="shared" si="8"/>
        <v>3.05</v>
      </c>
      <c r="Y23" s="229">
        <f t="shared" si="9"/>
        <v>3.05</v>
      </c>
      <c r="Z23" s="291">
        <f t="shared" si="10"/>
        <v>3.05</v>
      </c>
      <c r="AA23" s="300"/>
      <c r="AB23" s="191">
        <f t="shared" si="11"/>
        <v>3.0499999999999994</v>
      </c>
      <c r="AC23" s="192"/>
      <c r="AD23" s="132"/>
      <c r="AE23" s="168"/>
      <c r="AF23" s="192"/>
      <c r="AG23" s="192"/>
      <c r="AH23" s="192"/>
      <c r="AI23" s="167"/>
      <c r="AJ23" s="192"/>
      <c r="AK23" s="132"/>
      <c r="AL23" s="192"/>
      <c r="AM23" s="192"/>
      <c r="AN23" s="192"/>
      <c r="AO23" s="192"/>
      <c r="AS23" s="181"/>
      <c r="AT23" s="181"/>
      <c r="AU23" s="181"/>
      <c r="AV23" s="185">
        <v>0</v>
      </c>
      <c r="AW23" s="185">
        <v>0</v>
      </c>
      <c r="AX23" s="185">
        <v>0</v>
      </c>
      <c r="AY23" s="185"/>
      <c r="AZ23" s="185"/>
      <c r="BA23" s="185"/>
      <c r="BB23" s="185"/>
      <c r="BE23" s="395" t="s">
        <v>111</v>
      </c>
      <c r="BF23" s="395"/>
      <c r="BG23" s="395"/>
      <c r="BH23" s="395"/>
      <c r="BI23" s="395"/>
      <c r="BJ23" s="395"/>
      <c r="BK23" s="280" t="s">
        <v>149</v>
      </c>
      <c r="BL23" s="280" t="s">
        <v>150</v>
      </c>
      <c r="BM23" s="242"/>
      <c r="BN23" s="363" t="s">
        <v>158</v>
      </c>
      <c r="BP23" s="363" t="s">
        <v>37</v>
      </c>
      <c r="BQ23" s="363" t="s">
        <v>38</v>
      </c>
    </row>
    <row r="24" spans="1:69" ht="13.5" thickBot="1" x14ac:dyDescent="0.25">
      <c r="A24" s="213">
        <f t="shared" si="2"/>
        <v>42429</v>
      </c>
      <c r="B24" s="190">
        <f>VLOOKUP(A24,P_Q_obs!$A$4:$H$304,8,FALSE)</f>
        <v>1035.03556978713</v>
      </c>
      <c r="C24" s="168">
        <f t="shared" ref="C24:C52" si="14">((E24-B24)/B24)^2</f>
        <v>1.9320904696515425E-4</v>
      </c>
      <c r="D24" s="198">
        <f t="shared" ref="D24:D52" si="15">ABS(B24-E24)/B24</f>
        <v>1.3899965718128741E-2</v>
      </c>
      <c r="E24" s="132">
        <f t="shared" ref="E24:E62" si="16">(AJ24+AL24+AO24)*Y$9/86.4</f>
        <v>1049.422528724215</v>
      </c>
      <c r="F24" s="168">
        <f>(AL24*$Y$9)/86.4</f>
        <v>249.8449596097982</v>
      </c>
      <c r="G24" s="300"/>
      <c r="H24" s="127">
        <f>VLOOKUP(MONTH(A24),ETP_Parametros!$A$6:$D$17,4,FALSE)</f>
        <v>5.7345132743362832</v>
      </c>
      <c r="I24" s="229">
        <f>VLOOKUP(A24,P_Q_obs!$A$4:$F$308,2,FALSE)*1</f>
        <v>0.46</v>
      </c>
      <c r="J24" s="229">
        <f t="shared" ref="J24:S24" si="17">I24</f>
        <v>0.46</v>
      </c>
      <c r="K24" s="229">
        <f t="shared" si="17"/>
        <v>0.46</v>
      </c>
      <c r="L24" s="229">
        <f t="shared" si="17"/>
        <v>0.46</v>
      </c>
      <c r="M24" s="229">
        <f t="shared" si="17"/>
        <v>0.46</v>
      </c>
      <c r="N24" s="229">
        <f t="shared" si="17"/>
        <v>0.46</v>
      </c>
      <c r="O24" s="229">
        <f t="shared" si="17"/>
        <v>0.46</v>
      </c>
      <c r="P24" s="229">
        <f t="shared" si="17"/>
        <v>0.46</v>
      </c>
      <c r="Q24" s="229">
        <f t="shared" si="17"/>
        <v>0.46</v>
      </c>
      <c r="R24" s="229">
        <f t="shared" si="17"/>
        <v>0.46</v>
      </c>
      <c r="S24" s="229">
        <f t="shared" si="17"/>
        <v>0.46</v>
      </c>
      <c r="T24" s="229">
        <f t="shared" si="4"/>
        <v>0.46</v>
      </c>
      <c r="U24" s="229">
        <f t="shared" si="5"/>
        <v>0.46</v>
      </c>
      <c r="V24" s="229">
        <f t="shared" si="6"/>
        <v>0.46</v>
      </c>
      <c r="W24" s="229">
        <f t="shared" si="7"/>
        <v>0.46</v>
      </c>
      <c r="X24" s="229">
        <f t="shared" si="8"/>
        <v>0.46</v>
      </c>
      <c r="Y24" s="229">
        <f t="shared" si="9"/>
        <v>0.46</v>
      </c>
      <c r="Z24" s="291">
        <f t="shared" si="10"/>
        <v>0.46</v>
      </c>
      <c r="AA24" s="300"/>
      <c r="AB24" s="191">
        <f t="shared" si="11"/>
        <v>0.45999999999999996</v>
      </c>
      <c r="AC24" s="139">
        <f>(AB21*$J$5+AB22*$J$6+AB23*$J$7+AB24*$J$8+AB25*$J$9)*BE24</f>
        <v>1.8739810199400995</v>
      </c>
      <c r="AD24" s="132">
        <f>AD20+AC24-AF24-AG24-AH24</f>
        <v>45.521857732536013</v>
      </c>
      <c r="AE24" s="168">
        <f>AD20/$O$5</f>
        <v>0.6134791449041469</v>
      </c>
      <c r="AF24" s="192">
        <f>IF(AC24&gt;O$8,(AC24-O$8)^2/(AC24-O$8+O$5-AD20),0)</f>
        <v>0</v>
      </c>
      <c r="AG24" s="192">
        <f>IF((AC24-AF24)&gt;H24,H24*$O$11,(AC24-AF24+(H24*$O$11-(AC24-AF24))*AE24))</f>
        <v>3.8114839380300558</v>
      </c>
      <c r="AH24" s="192">
        <f>IF(AD20&gt;(P$9*O$5),(P$7*AE24*(AD20-(P$9*O$5))),0)</f>
        <v>0.40507781549467714</v>
      </c>
      <c r="AI24" s="168">
        <f>AI20+AF24-AJ24</f>
        <v>3.7603003629995762</v>
      </c>
      <c r="AJ24" s="192">
        <f>(AI20+AF24)*(1-P$6)</f>
        <v>1.2396996370004238</v>
      </c>
      <c r="AK24" s="132">
        <f>AK20-AL24+AH24</f>
        <v>27.228422062166111</v>
      </c>
      <c r="AL24" s="192">
        <f>AK20*(1-P$10)</f>
        <v>0.38737042870987626</v>
      </c>
      <c r="AM24" s="199">
        <v>0</v>
      </c>
      <c r="AN24" s="199">
        <v>0</v>
      </c>
      <c r="AO24" s="199">
        <v>0</v>
      </c>
      <c r="AS24" s="132">
        <f>(B24-B$19)^2</f>
        <v>230561.99481418644</v>
      </c>
      <c r="AT24" s="132">
        <f>(B24-E24)^2</f>
        <v>206.98458745736866</v>
      </c>
      <c r="AU24" s="200" t="str">
        <f>IF(E24&lt;B24,"-","+")</f>
        <v>+</v>
      </c>
      <c r="AV24" s="132">
        <f>IF(AU24="-",AV23-1,AV23+1)</f>
        <v>1</v>
      </c>
      <c r="AW24" s="132">
        <f>E24-E$19</f>
        <v>-345.93124435390632</v>
      </c>
      <c r="AX24" s="132">
        <f>B24-B$19</f>
        <v>-480.16871494734687</v>
      </c>
      <c r="AY24" s="132">
        <f t="shared" ref="AY24:AY52" si="18">(AX24-AX$22)^2</f>
        <v>925812594.55278492</v>
      </c>
      <c r="AZ24" s="132">
        <f>(AX24-AW24)^2</f>
        <v>18019.698511324816</v>
      </c>
      <c r="BA24" s="167">
        <f>((E24-B24)/B24)^2</f>
        <v>1.9320904696515425E-4</v>
      </c>
      <c r="BB24" s="167">
        <f>ABS((E24-B24)/B24)</f>
        <v>1.3899965718128741E-2</v>
      </c>
      <c r="BC24" s="125">
        <f>BB24*BN24</f>
        <v>6.9499828590643704E-3</v>
      </c>
      <c r="BD24" s="211">
        <f>A24</f>
        <v>42429</v>
      </c>
      <c r="BE24" s="210">
        <v>1.2170198204658247</v>
      </c>
      <c r="BF24" s="209">
        <v>0.5</v>
      </c>
      <c r="BG24" s="209">
        <v>2.5</v>
      </c>
      <c r="BH24" s="210"/>
      <c r="BI24" s="209"/>
      <c r="BJ24" s="209"/>
      <c r="BL24" s="168"/>
      <c r="BN24" s="125">
        <v>0.5</v>
      </c>
      <c r="BP24" s="132">
        <f>AS24*BN24</f>
        <v>115280.99740709322</v>
      </c>
      <c r="BQ24" s="125">
        <f>AT24*BN24</f>
        <v>103.49229372868433</v>
      </c>
    </row>
    <row r="25" spans="1:69" ht="13.5" thickBot="1" x14ac:dyDescent="0.25">
      <c r="A25" s="213">
        <f t="shared" si="2"/>
        <v>42430</v>
      </c>
      <c r="B25" s="190">
        <f>VLOOKUP(A25,P_Q_obs!$A$4:$H$304,8,FALSE)</f>
        <v>894.423546771171</v>
      </c>
      <c r="C25" s="168">
        <f t="shared" si="14"/>
        <v>1.2366162118570292E-3</v>
      </c>
      <c r="D25" s="198">
        <f t="shared" si="15"/>
        <v>3.5165554337405647E-2</v>
      </c>
      <c r="E25" s="132">
        <f t="shared" si="16"/>
        <v>862.97064693653431</v>
      </c>
      <c r="F25" s="168">
        <f t="shared" ref="F25:F62" si="19">(AL25*$Y$9)/86.4</f>
        <v>250.00754634773659</v>
      </c>
      <c r="G25" s="300"/>
      <c r="H25" s="127">
        <f>VLOOKUP(MONTH(A25),ETP_Parametros!$A$6:$D$17,4,FALSE)</f>
        <v>4.838709677419355</v>
      </c>
      <c r="I25" s="229">
        <f>VLOOKUP(A25,P_Q_obs!$A$4:$F$308,2,FALSE)*1</f>
        <v>0.24</v>
      </c>
      <c r="J25" s="229">
        <f t="shared" ref="J25:S25" si="20">I25</f>
        <v>0.24</v>
      </c>
      <c r="K25" s="229">
        <f t="shared" si="20"/>
        <v>0.24</v>
      </c>
      <c r="L25" s="229">
        <f t="shared" si="20"/>
        <v>0.24</v>
      </c>
      <c r="M25" s="229">
        <f t="shared" si="20"/>
        <v>0.24</v>
      </c>
      <c r="N25" s="229">
        <f t="shared" si="20"/>
        <v>0.24</v>
      </c>
      <c r="O25" s="229">
        <f t="shared" si="20"/>
        <v>0.24</v>
      </c>
      <c r="P25" s="229">
        <f t="shared" si="20"/>
        <v>0.24</v>
      </c>
      <c r="Q25" s="229">
        <f t="shared" si="20"/>
        <v>0.24</v>
      </c>
      <c r="R25" s="229">
        <f t="shared" si="20"/>
        <v>0.24</v>
      </c>
      <c r="S25" s="229">
        <f t="shared" si="20"/>
        <v>0.24</v>
      </c>
      <c r="T25" s="229">
        <f t="shared" si="4"/>
        <v>0.24</v>
      </c>
      <c r="U25" s="229">
        <f t="shared" si="5"/>
        <v>0.24</v>
      </c>
      <c r="V25" s="229">
        <f t="shared" si="6"/>
        <v>0.24</v>
      </c>
      <c r="W25" s="229">
        <f t="shared" si="7"/>
        <v>0.24</v>
      </c>
      <c r="X25" s="229">
        <f t="shared" si="8"/>
        <v>0.24</v>
      </c>
      <c r="Y25" s="229">
        <f t="shared" si="9"/>
        <v>0.24</v>
      </c>
      <c r="Z25" s="291">
        <f t="shared" si="10"/>
        <v>0.24</v>
      </c>
      <c r="AA25" s="300"/>
      <c r="AB25" s="191">
        <f t="shared" si="11"/>
        <v>0.24000000000000002</v>
      </c>
      <c r="AC25" s="139">
        <f t="shared" ref="AC25:AC62" si="21">(AB22*$J$5+AB23*$J$6+AB24*$J$7+AB25*$J$8+AB26*$J$9)*BE25</f>
        <v>3.5743669305951831</v>
      </c>
      <c r="AD25" s="132">
        <f>AD24+AC25-AF25-AG25-AH25</f>
        <v>44.786521733610442</v>
      </c>
      <c r="AE25" s="168">
        <f t="shared" ref="AE25:AE63" si="22">AD24/$O$5</f>
        <v>0.58345425646164162</v>
      </c>
      <c r="AF25" s="192">
        <f t="shared" ref="AF25:AF63" si="23">IF(AC25&gt;O$8,(AC25-O$8)^2/(AC25-O$8+O$5-AD24),0)</f>
        <v>7.274301056387579E-2</v>
      </c>
      <c r="AG25" s="192">
        <f>IF((AC25-AF25)&gt;H25,H25*$O$11,(AC25-AF25+(H25*$O$11-(AC25-AF25))*AE25))</f>
        <v>3.9359966811154177</v>
      </c>
      <c r="AH25" s="192">
        <f t="shared" ref="AH25:AH63" si="24">IF(AD24&gt;(P$9*O$5),(P$7*AE25*(AD24-(P$9*O$5))),0)</f>
        <v>0.30096323784146134</v>
      </c>
      <c r="AI25" s="168">
        <f t="shared" ref="AI25:AI63" si="25">AI24+AF25-AJ25</f>
        <v>2.8826788778007542</v>
      </c>
      <c r="AJ25" s="192">
        <f t="shared" ref="AJ25:AJ63" si="26">(AI24+AF25)*(1-P$6)</f>
        <v>0.95036449576269821</v>
      </c>
      <c r="AK25" s="132">
        <f t="shared" ref="AK25:AK44" si="27">AK24-AL25+AH25</f>
        <v>27.141762789788924</v>
      </c>
      <c r="AL25" s="192">
        <f t="shared" ref="AL25:AL63" si="28">AK24*(1-P$10)</f>
        <v>0.38762251021864919</v>
      </c>
      <c r="AM25" s="192">
        <f t="shared" ref="AM25:AM63" si="29">IF(AI24&lt;=$O$12,0,(AI24-$O$12)*(1-0.5^(1/$O$13)))</f>
        <v>0</v>
      </c>
      <c r="AN25" s="192">
        <f>AN24+AM25-AO25</f>
        <v>0</v>
      </c>
      <c r="AO25" s="192">
        <f t="shared" ref="AO25:AO63" si="30">AN24*(1-0.5^(1/$O$14))</f>
        <v>0</v>
      </c>
      <c r="AS25" s="132">
        <f t="shared" ref="AS25:AS52" si="31">(B25-B$19)^2</f>
        <v>385368.72462626669</v>
      </c>
      <c r="AT25" s="132">
        <f>(B25-E25)^2</f>
        <v>989.28490800768907</v>
      </c>
      <c r="AU25" s="200" t="str">
        <f t="shared" ref="AU25:AU52" si="32">IF(E25&lt;B25,"-","+")</f>
        <v>-</v>
      </c>
      <c r="AV25" s="132">
        <f>IF(AU25="-",AV24-1,AV24+1)</f>
        <v>0</v>
      </c>
      <c r="AW25" s="132">
        <f t="shared" ref="AW25:AW52" si="33">E25-E$19</f>
        <v>-532.38312614158701</v>
      </c>
      <c r="AX25" s="132">
        <f t="shared" ref="AX25:AX52" si="34">B25-B$19+AX24</f>
        <v>-1100.9494529106528</v>
      </c>
      <c r="AY25" s="132">
        <f t="shared" si="18"/>
        <v>888420762.80910015</v>
      </c>
      <c r="AZ25" s="132">
        <f t="shared" ref="AZ25:AZ52" si="35">(AX25-AW25)^2</f>
        <v>323267.66793566808</v>
      </c>
      <c r="BA25" s="167">
        <f t="shared" ref="BA25:BA52" si="36">((E25-B25)/B25)^2</f>
        <v>1.2366162118570292E-3</v>
      </c>
      <c r="BB25" s="167">
        <f t="shared" ref="BB25:BB52" si="37">ABS((E25-B25)/B25)</f>
        <v>3.5165554337405647E-2</v>
      </c>
      <c r="BC25" s="125">
        <f t="shared" ref="BC25:BC52" si="38">BB25*BN25</f>
        <v>1.8838689823610168E-2</v>
      </c>
      <c r="BD25" s="211">
        <f t="shared" ref="BD25:BD63" si="39">A25</f>
        <v>42430</v>
      </c>
      <c r="BE25" s="210">
        <v>1.3735886218004494</v>
      </c>
      <c r="BF25" s="209">
        <v>0.5</v>
      </c>
      <c r="BG25" s="209">
        <v>2.5</v>
      </c>
      <c r="BH25" s="210"/>
      <c r="BI25" s="209"/>
      <c r="BJ25" s="209"/>
      <c r="BL25" s="168"/>
      <c r="BN25" s="125">
        <f>BN24+(1/28)</f>
        <v>0.5357142857142857</v>
      </c>
      <c r="BP25" s="132">
        <f t="shared" ref="BP25:BP52" si="40">AS25*BN25</f>
        <v>206447.53104978573</v>
      </c>
      <c r="BQ25" s="125">
        <f t="shared" ref="BQ25:BQ52" si="41">AT25*BN25</f>
        <v>529.97405786126194</v>
      </c>
    </row>
    <row r="26" spans="1:69" ht="13.5" thickBot="1" x14ac:dyDescent="0.25">
      <c r="A26" s="213">
        <f t="shared" si="2"/>
        <v>42431</v>
      </c>
      <c r="B26" s="190">
        <f>VLOOKUP(A26,P_Q_obs!$A$4:$H$304,8,FALSE)</f>
        <v>770.51679494953601</v>
      </c>
      <c r="C26" s="168">
        <f t="shared" si="14"/>
        <v>2.1737215230292778E-4</v>
      </c>
      <c r="D26" s="198">
        <f t="shared" si="15"/>
        <v>1.4743546123742679E-2</v>
      </c>
      <c r="E26" s="132">
        <f t="shared" si="16"/>
        <v>781.87694485499287</v>
      </c>
      <c r="F26" s="168">
        <f t="shared" si="19"/>
        <v>249.21185308259496</v>
      </c>
      <c r="G26" s="300"/>
      <c r="H26" s="127">
        <f>VLOOKUP(MONTH(A26),ETP_Parametros!$A$6:$D$17,4,FALSE)</f>
        <v>4.838709677419355</v>
      </c>
      <c r="I26" s="229">
        <f>VLOOKUP(A26,P_Q_obs!$A$4:$F$308,2,FALSE)*1</f>
        <v>9.3000000000000007</v>
      </c>
      <c r="J26" s="229">
        <f t="shared" ref="J26:S26" si="42">I26</f>
        <v>9.3000000000000007</v>
      </c>
      <c r="K26" s="229">
        <f t="shared" si="42"/>
        <v>9.3000000000000007</v>
      </c>
      <c r="L26" s="229">
        <f t="shared" si="42"/>
        <v>9.3000000000000007</v>
      </c>
      <c r="M26" s="229">
        <f t="shared" si="42"/>
        <v>9.3000000000000007</v>
      </c>
      <c r="N26" s="229">
        <f t="shared" si="42"/>
        <v>9.3000000000000007</v>
      </c>
      <c r="O26" s="229">
        <f t="shared" si="42"/>
        <v>9.3000000000000007</v>
      </c>
      <c r="P26" s="229">
        <f t="shared" si="42"/>
        <v>9.3000000000000007</v>
      </c>
      <c r="Q26" s="229">
        <f t="shared" si="42"/>
        <v>9.3000000000000007</v>
      </c>
      <c r="R26" s="229">
        <f t="shared" si="42"/>
        <v>9.3000000000000007</v>
      </c>
      <c r="S26" s="229">
        <f t="shared" si="42"/>
        <v>9.3000000000000007</v>
      </c>
      <c r="T26" s="229">
        <f t="shared" si="4"/>
        <v>9.3000000000000007</v>
      </c>
      <c r="U26" s="229">
        <f t="shared" si="5"/>
        <v>9.3000000000000007</v>
      </c>
      <c r="V26" s="229">
        <f t="shared" si="6"/>
        <v>9.3000000000000007</v>
      </c>
      <c r="W26" s="229">
        <f t="shared" si="7"/>
        <v>9.3000000000000007</v>
      </c>
      <c r="X26" s="229">
        <f t="shared" si="8"/>
        <v>9.3000000000000007</v>
      </c>
      <c r="Y26" s="229">
        <f t="shared" si="9"/>
        <v>9.3000000000000007</v>
      </c>
      <c r="Z26" s="291">
        <f t="shared" si="10"/>
        <v>9.3000000000000007</v>
      </c>
      <c r="AA26" s="300"/>
      <c r="AB26" s="191">
        <f t="shared" si="11"/>
        <v>9.3000000000000025</v>
      </c>
      <c r="AC26" s="139">
        <f t="shared" si="21"/>
        <v>6.0902894020061362</v>
      </c>
      <c r="AD26" s="132">
        <f>AD25+AC26-AF26-AG26-AH26</f>
        <v>45.912395092847802</v>
      </c>
      <c r="AE26" s="168">
        <f t="shared" si="22"/>
        <v>0.57402944517596444</v>
      </c>
      <c r="AF26" s="192">
        <f t="shared" si="23"/>
        <v>0.44823679785006815</v>
      </c>
      <c r="AG26" s="192">
        <f t="shared" ref="AG26:AG63" si="43">IF((AC26-AF26)&gt;H26,H26*$O$11,(AC26-AF26+(H26*$O$11-(AC26-AF26))*AE26))</f>
        <v>4.2461086097452263</v>
      </c>
      <c r="AH26" s="192">
        <f t="shared" si="24"/>
        <v>0.27007063517348312</v>
      </c>
      <c r="AI26" s="168">
        <f t="shared" si="25"/>
        <v>2.5050486848541533</v>
      </c>
      <c r="AJ26" s="192">
        <f t="shared" si="26"/>
        <v>0.82586699079666914</v>
      </c>
      <c r="AK26" s="132">
        <f t="shared" si="27"/>
        <v>27.02544459198792</v>
      </c>
      <c r="AL26" s="192">
        <f t="shared" si="28"/>
        <v>0.38638883297448595</v>
      </c>
      <c r="AM26" s="192">
        <f t="shared" si="29"/>
        <v>0</v>
      </c>
      <c r="AN26" s="192">
        <f t="shared" ref="AN26:AN63" si="44">AN25+AM26-AO26</f>
        <v>0</v>
      </c>
      <c r="AO26" s="192">
        <f t="shared" si="30"/>
        <v>0</v>
      </c>
      <c r="AS26" s="132">
        <f t="shared" si="31"/>
        <v>554559.45744219644</v>
      </c>
      <c r="AT26" s="132">
        <f t="shared" ref="AT26:AT52" si="45">(B26-E26)^2</f>
        <v>129.05300587445163</v>
      </c>
      <c r="AU26" s="200" t="str">
        <f t="shared" si="32"/>
        <v>+</v>
      </c>
      <c r="AV26" s="132">
        <f t="shared" ref="AV26:AV52" si="46">IF(AU26="-",AV25-1,AV25+1)</f>
        <v>1</v>
      </c>
      <c r="AW26" s="132">
        <f t="shared" si="33"/>
        <v>-613.47682822312845</v>
      </c>
      <c r="AX26" s="132">
        <f t="shared" si="34"/>
        <v>-1845.6369426955937</v>
      </c>
      <c r="AY26" s="132">
        <f t="shared" si="18"/>
        <v>844582433.81788206</v>
      </c>
      <c r="AZ26" s="132">
        <f t="shared" si="35"/>
        <v>1518218.5476967986</v>
      </c>
      <c r="BA26" s="167">
        <f t="shared" si="36"/>
        <v>2.1737215230292778E-4</v>
      </c>
      <c r="BB26" s="167">
        <f t="shared" si="37"/>
        <v>1.4743546123742679E-2</v>
      </c>
      <c r="BC26" s="125">
        <f t="shared" si="38"/>
        <v>8.4248834992815304E-3</v>
      </c>
      <c r="BD26" s="211">
        <f t="shared" si="39"/>
        <v>42431</v>
      </c>
      <c r="BE26" s="210">
        <v>0.59747426994914621</v>
      </c>
      <c r="BF26" s="209">
        <v>0.5</v>
      </c>
      <c r="BG26" s="209">
        <v>2.5</v>
      </c>
      <c r="BH26" s="210"/>
      <c r="BI26" s="209"/>
      <c r="BJ26" s="209"/>
      <c r="BL26" s="168"/>
      <c r="BN26" s="125">
        <f t="shared" ref="BN26:BN52" si="47">BN25+(1/28)</f>
        <v>0.5714285714285714</v>
      </c>
      <c r="BP26" s="132">
        <f t="shared" si="40"/>
        <v>316891.11853839795</v>
      </c>
      <c r="BQ26" s="125">
        <f t="shared" si="41"/>
        <v>73.744574785400928</v>
      </c>
    </row>
    <row r="27" spans="1:69" ht="13.5" thickBot="1" x14ac:dyDescent="0.25">
      <c r="A27" s="213">
        <f t="shared" si="2"/>
        <v>42432</v>
      </c>
      <c r="B27" s="190">
        <f>VLOOKUP(A27,P_Q_obs!$A$4:$H$304,8,FALSE)</f>
        <v>2008.20300002503</v>
      </c>
      <c r="C27" s="168">
        <f t="shared" si="14"/>
        <v>1.243132393040255E-5</v>
      </c>
      <c r="D27" s="198">
        <f t="shared" si="15"/>
        <v>3.5258082662564835E-3</v>
      </c>
      <c r="E27" s="132">
        <f t="shared" si="16"/>
        <v>2015.2835387628393</v>
      </c>
      <c r="F27" s="168">
        <f t="shared" si="19"/>
        <v>248.143835730674</v>
      </c>
      <c r="G27" s="300"/>
      <c r="H27" s="127">
        <f>VLOOKUP(MONTH(A27),ETP_Parametros!$A$6:$D$17,4,FALSE)</f>
        <v>4.838709677419355</v>
      </c>
      <c r="I27" s="229">
        <f>VLOOKUP(A27,P_Q_obs!$A$4:$F$308,2,FALSE)*1</f>
        <v>31.29</v>
      </c>
      <c r="J27" s="229">
        <f t="shared" ref="J27:S27" si="48">I27</f>
        <v>31.29</v>
      </c>
      <c r="K27" s="229">
        <f t="shared" si="48"/>
        <v>31.29</v>
      </c>
      <c r="L27" s="229">
        <f t="shared" si="48"/>
        <v>31.29</v>
      </c>
      <c r="M27" s="229">
        <f t="shared" si="48"/>
        <v>31.29</v>
      </c>
      <c r="N27" s="229">
        <f t="shared" si="48"/>
        <v>31.29</v>
      </c>
      <c r="O27" s="229">
        <f t="shared" si="48"/>
        <v>31.29</v>
      </c>
      <c r="P27" s="229">
        <f t="shared" si="48"/>
        <v>31.29</v>
      </c>
      <c r="Q27" s="229">
        <f t="shared" si="48"/>
        <v>31.29</v>
      </c>
      <c r="R27" s="229">
        <f t="shared" si="48"/>
        <v>31.29</v>
      </c>
      <c r="S27" s="229">
        <f t="shared" si="48"/>
        <v>31.29</v>
      </c>
      <c r="T27" s="229">
        <f t="shared" si="4"/>
        <v>31.29</v>
      </c>
      <c r="U27" s="229">
        <f t="shared" si="5"/>
        <v>31.29</v>
      </c>
      <c r="V27" s="229">
        <f t="shared" si="6"/>
        <v>31.29</v>
      </c>
      <c r="W27" s="229">
        <f t="shared" si="7"/>
        <v>31.29</v>
      </c>
      <c r="X27" s="229">
        <f t="shared" si="8"/>
        <v>31.29</v>
      </c>
      <c r="Y27" s="229">
        <f t="shared" si="9"/>
        <v>31.29</v>
      </c>
      <c r="Z27" s="291">
        <f t="shared" si="10"/>
        <v>31.29</v>
      </c>
      <c r="AA27" s="300"/>
      <c r="AB27" s="191">
        <f t="shared" si="11"/>
        <v>31.29</v>
      </c>
      <c r="AC27" s="139">
        <f t="shared" si="21"/>
        <v>23.379420429365496</v>
      </c>
      <c r="AD27" s="132">
        <f t="shared" ref="AD27:AD63" si="49">AD26+AC27-AF27-AG27-AH27</f>
        <v>56.182579524370311</v>
      </c>
      <c r="AE27" s="168">
        <f t="shared" si="22"/>
        <v>0.58845977900687696</v>
      </c>
      <c r="AF27" s="192">
        <f t="shared" si="23"/>
        <v>8.5454095276578954</v>
      </c>
      <c r="AG27" s="192">
        <f t="shared" si="43"/>
        <v>4.2461086097452263</v>
      </c>
      <c r="AH27" s="192">
        <f t="shared" si="24"/>
        <v>0.31771786043986056</v>
      </c>
      <c r="AI27" s="168">
        <f>AI26+AF27-AJ27</f>
        <v>8.3106084055641407</v>
      </c>
      <c r="AJ27" s="192">
        <f t="shared" si="26"/>
        <v>2.7398498069479076</v>
      </c>
      <c r="AK27" s="132">
        <f t="shared" si="27"/>
        <v>26.958429519736931</v>
      </c>
      <c r="AL27" s="192">
        <f t="shared" si="28"/>
        <v>0.38473293269084874</v>
      </c>
      <c r="AM27" s="192">
        <f t="shared" si="29"/>
        <v>0</v>
      </c>
      <c r="AN27" s="192">
        <f t="shared" si="44"/>
        <v>0</v>
      </c>
      <c r="AO27" s="192">
        <f t="shared" si="30"/>
        <v>0</v>
      </c>
      <c r="AS27" s="132">
        <f t="shared" si="31"/>
        <v>243047.73327813577</v>
      </c>
      <c r="AT27" s="132">
        <f t="shared" si="45"/>
        <v>50.1340288176184</v>
      </c>
      <c r="AU27" s="200" t="str">
        <f t="shared" si="32"/>
        <v>+</v>
      </c>
      <c r="AV27" s="132">
        <f t="shared" si="46"/>
        <v>2</v>
      </c>
      <c r="AW27" s="132">
        <f t="shared" si="33"/>
        <v>619.92976568471795</v>
      </c>
      <c r="AX27" s="132">
        <f t="shared" si="34"/>
        <v>-1352.6382274050407</v>
      </c>
      <c r="AY27" s="132">
        <f t="shared" si="18"/>
        <v>873480243.53628004</v>
      </c>
      <c r="AZ27" s="132">
        <f t="shared" si="35"/>
        <v>3891024.487362158</v>
      </c>
      <c r="BA27" s="167">
        <f t="shared" si="36"/>
        <v>1.243132393040255E-5</v>
      </c>
      <c r="BB27" s="167">
        <f t="shared" si="37"/>
        <v>3.5258082662564835E-3</v>
      </c>
      <c r="BC27" s="125">
        <f t="shared" si="38"/>
        <v>2.140669304512865E-3</v>
      </c>
      <c r="BD27" s="211">
        <f t="shared" si="39"/>
        <v>42432</v>
      </c>
      <c r="BE27" s="210">
        <v>1.4681381157415605</v>
      </c>
      <c r="BF27" s="209">
        <v>0.5</v>
      </c>
      <c r="BG27" s="209">
        <v>2.5</v>
      </c>
      <c r="BH27" s="210"/>
      <c r="BI27" s="209"/>
      <c r="BJ27" s="209"/>
      <c r="BL27" s="168"/>
      <c r="BN27" s="125">
        <f t="shared" si="47"/>
        <v>0.6071428571428571</v>
      </c>
      <c r="BP27" s="132">
        <f t="shared" si="40"/>
        <v>147564.69520458241</v>
      </c>
      <c r="BQ27" s="125">
        <f t="shared" si="41"/>
        <v>30.438517496411169</v>
      </c>
    </row>
    <row r="28" spans="1:69" ht="13.5" thickBot="1" x14ac:dyDescent="0.25">
      <c r="A28" s="213">
        <f t="shared" si="2"/>
        <v>42433</v>
      </c>
      <c r="B28" s="190">
        <f>VLOOKUP(A28,P_Q_obs!$A$4:$H$304,8,FALSE)</f>
        <v>2064.5436128544702</v>
      </c>
      <c r="C28" s="168">
        <f t="shared" si="14"/>
        <v>1.4887478678581607E-2</v>
      </c>
      <c r="D28" s="198">
        <f t="shared" si="15"/>
        <v>0.12201425604650305</v>
      </c>
      <c r="E28" s="132">
        <f t="shared" si="16"/>
        <v>2316.447365852468</v>
      </c>
      <c r="F28" s="168">
        <f t="shared" si="19"/>
        <v>247.52851275148947</v>
      </c>
      <c r="G28" s="300"/>
      <c r="H28" s="127">
        <f>VLOOKUP(MONTH(A28),ETP_Parametros!$A$6:$D$17,4,FALSE)</f>
        <v>4.838709677419355</v>
      </c>
      <c r="I28" s="229">
        <f>VLOOKUP(A28,P_Q_obs!$A$4:$F$308,2,FALSE)*1</f>
        <v>4.3499999999999996</v>
      </c>
      <c r="J28" s="229">
        <f t="shared" ref="J28:S28" si="50">I28</f>
        <v>4.3499999999999996</v>
      </c>
      <c r="K28" s="229">
        <f t="shared" si="50"/>
        <v>4.3499999999999996</v>
      </c>
      <c r="L28" s="229">
        <f t="shared" si="50"/>
        <v>4.3499999999999996</v>
      </c>
      <c r="M28" s="229">
        <f t="shared" si="50"/>
        <v>4.3499999999999996</v>
      </c>
      <c r="N28" s="229">
        <f t="shared" si="50"/>
        <v>4.3499999999999996</v>
      </c>
      <c r="O28" s="229">
        <f t="shared" si="50"/>
        <v>4.3499999999999996</v>
      </c>
      <c r="P28" s="229">
        <f t="shared" si="50"/>
        <v>4.3499999999999996</v>
      </c>
      <c r="Q28" s="229">
        <f t="shared" si="50"/>
        <v>4.3499999999999996</v>
      </c>
      <c r="R28" s="229">
        <f t="shared" si="50"/>
        <v>4.3499999999999996</v>
      </c>
      <c r="S28" s="229">
        <f t="shared" si="50"/>
        <v>4.3499999999999996</v>
      </c>
      <c r="T28" s="229">
        <f t="shared" si="4"/>
        <v>4.3499999999999996</v>
      </c>
      <c r="U28" s="229">
        <f t="shared" si="5"/>
        <v>4.3499999999999996</v>
      </c>
      <c r="V28" s="229">
        <f t="shared" si="6"/>
        <v>4.3499999999999996</v>
      </c>
      <c r="W28" s="229">
        <f t="shared" si="7"/>
        <v>4.3499999999999996</v>
      </c>
      <c r="X28" s="229">
        <f t="shared" si="8"/>
        <v>4.3499999999999996</v>
      </c>
      <c r="Y28" s="229">
        <f t="shared" si="9"/>
        <v>4.3499999999999996</v>
      </c>
      <c r="Z28" s="291">
        <f t="shared" si="10"/>
        <v>4.3499999999999996</v>
      </c>
      <c r="AA28" s="300"/>
      <c r="AB28" s="191">
        <f t="shared" si="11"/>
        <v>4.3499999999999996</v>
      </c>
      <c r="AC28" s="139">
        <f t="shared" si="21"/>
        <v>14.628482023902196</v>
      </c>
      <c r="AD28" s="132">
        <f t="shared" si="49"/>
        <v>61.093122083401489</v>
      </c>
      <c r="AE28" s="168">
        <f t="shared" si="22"/>
        <v>0.72009286956361573</v>
      </c>
      <c r="AF28" s="192">
        <f t="shared" si="23"/>
        <v>4.626965965065331</v>
      </c>
      <c r="AG28" s="192">
        <f t="shared" si="43"/>
        <v>4.2461086097452263</v>
      </c>
      <c r="AH28" s="192">
        <f t="shared" si="24"/>
        <v>0.84486489006046062</v>
      </c>
      <c r="AI28" s="168">
        <f t="shared" si="25"/>
        <v>9.7298331204424038</v>
      </c>
      <c r="AJ28" s="192">
        <f t="shared" si="26"/>
        <v>3.2077412501870683</v>
      </c>
      <c r="AK28" s="132">
        <f t="shared" si="27"/>
        <v>27.419515500460122</v>
      </c>
      <c r="AL28" s="192">
        <f t="shared" si="28"/>
        <v>0.38377890933726971</v>
      </c>
      <c r="AM28" s="192">
        <f t="shared" si="29"/>
        <v>0</v>
      </c>
      <c r="AN28" s="192">
        <f t="shared" si="44"/>
        <v>0</v>
      </c>
      <c r="AO28" s="192">
        <f t="shared" si="30"/>
        <v>0</v>
      </c>
      <c r="AS28" s="132">
        <f t="shared" si="31"/>
        <v>301773.69741932565</v>
      </c>
      <c r="AT28" s="132">
        <f t="shared" si="45"/>
        <v>63455.500774476284</v>
      </c>
      <c r="AU28" s="200" t="str">
        <f t="shared" si="32"/>
        <v>+</v>
      </c>
      <c r="AV28" s="132">
        <f t="shared" si="46"/>
        <v>3</v>
      </c>
      <c r="AW28" s="132">
        <f t="shared" si="33"/>
        <v>921.09359277434669</v>
      </c>
      <c r="AX28" s="132">
        <f t="shared" si="34"/>
        <v>-803.29889928504736</v>
      </c>
      <c r="AY28" s="132">
        <f t="shared" si="18"/>
        <v>906253134.41279721</v>
      </c>
      <c r="AZ28" s="132">
        <f t="shared" si="35"/>
        <v>2973529.4666708075</v>
      </c>
      <c r="BA28" s="167">
        <f t="shared" si="36"/>
        <v>1.4887478678581607E-2</v>
      </c>
      <c r="BB28" s="167">
        <f t="shared" si="37"/>
        <v>0.12201425604650305</v>
      </c>
      <c r="BC28" s="125">
        <f t="shared" si="38"/>
        <v>7.8437736029894817E-2</v>
      </c>
      <c r="BD28" s="211">
        <f t="shared" si="39"/>
        <v>42433</v>
      </c>
      <c r="BE28" s="210">
        <v>1.0084366895767167</v>
      </c>
      <c r="BF28" s="209">
        <v>0.5</v>
      </c>
      <c r="BG28" s="209">
        <v>2.5</v>
      </c>
      <c r="BH28" s="210"/>
      <c r="BI28" s="209"/>
      <c r="BJ28" s="209"/>
      <c r="BL28" s="168"/>
      <c r="BN28" s="125">
        <f t="shared" si="47"/>
        <v>0.64285714285714279</v>
      </c>
      <c r="BP28" s="132">
        <f t="shared" si="40"/>
        <v>193997.37691242361</v>
      </c>
      <c r="BQ28" s="125">
        <f t="shared" si="41"/>
        <v>40792.821926449033</v>
      </c>
    </row>
    <row r="29" spans="1:69" ht="13.5" thickBot="1" x14ac:dyDescent="0.25">
      <c r="A29" s="213">
        <f t="shared" si="2"/>
        <v>42434</v>
      </c>
      <c r="B29" s="190">
        <f>VLOOKUP(A29,P_Q_obs!$A$4:$H$304,8,FALSE)</f>
        <v>1933.3914916014901</v>
      </c>
      <c r="C29" s="168">
        <f t="shared" si="14"/>
        <v>6.6330040222668834E-5</v>
      </c>
      <c r="D29" s="198">
        <f t="shared" si="15"/>
        <v>8.1443256456669774E-3</v>
      </c>
      <c r="E29" s="132">
        <f t="shared" si="16"/>
        <v>1949.1376615096544</v>
      </c>
      <c r="F29" s="168">
        <f t="shared" si="19"/>
        <v>251.76213945349801</v>
      </c>
      <c r="G29" s="300"/>
      <c r="H29" s="127">
        <f>VLOOKUP(MONTH(A29),ETP_Parametros!$A$6:$D$17,4,FALSE)</f>
        <v>4.838709677419355</v>
      </c>
      <c r="I29" s="229">
        <f>VLOOKUP(A29,P_Q_obs!$A$4:$F$308,2,FALSE)*1</f>
        <v>1.32</v>
      </c>
      <c r="J29" s="229">
        <f t="shared" ref="J29:S29" si="51">I29</f>
        <v>1.32</v>
      </c>
      <c r="K29" s="229">
        <f t="shared" si="51"/>
        <v>1.32</v>
      </c>
      <c r="L29" s="229">
        <f t="shared" si="51"/>
        <v>1.32</v>
      </c>
      <c r="M29" s="229">
        <f t="shared" si="51"/>
        <v>1.32</v>
      </c>
      <c r="N29" s="229">
        <f t="shared" si="51"/>
        <v>1.32</v>
      </c>
      <c r="O29" s="229">
        <f t="shared" si="51"/>
        <v>1.32</v>
      </c>
      <c r="P29" s="229">
        <f t="shared" si="51"/>
        <v>1.32</v>
      </c>
      <c r="Q29" s="229">
        <f t="shared" si="51"/>
        <v>1.32</v>
      </c>
      <c r="R29" s="229">
        <f t="shared" si="51"/>
        <v>1.32</v>
      </c>
      <c r="S29" s="229">
        <f t="shared" si="51"/>
        <v>1.32</v>
      </c>
      <c r="T29" s="229">
        <f t="shared" si="4"/>
        <v>1.32</v>
      </c>
      <c r="U29" s="229">
        <f t="shared" si="5"/>
        <v>1.32</v>
      </c>
      <c r="V29" s="229">
        <f t="shared" si="6"/>
        <v>1.32</v>
      </c>
      <c r="W29" s="229">
        <f t="shared" si="7"/>
        <v>1.32</v>
      </c>
      <c r="X29" s="229">
        <f t="shared" si="8"/>
        <v>1.32</v>
      </c>
      <c r="Y29" s="229">
        <f t="shared" si="9"/>
        <v>1.32</v>
      </c>
      <c r="Z29" s="291">
        <f t="shared" si="10"/>
        <v>1.32</v>
      </c>
      <c r="AA29" s="300"/>
      <c r="AB29" s="191">
        <f t="shared" si="11"/>
        <v>1.3199999999999998</v>
      </c>
      <c r="AC29" s="139">
        <f t="shared" si="21"/>
        <v>6.3365742618437073</v>
      </c>
      <c r="AD29" s="132">
        <f t="shared" si="49"/>
        <v>61.143384082351041</v>
      </c>
      <c r="AE29" s="168">
        <f t="shared" si="22"/>
        <v>0.78303135890288134</v>
      </c>
      <c r="AF29" s="192">
        <f t="shared" si="23"/>
        <v>0.88436860069960077</v>
      </c>
      <c r="AG29" s="192">
        <f t="shared" si="43"/>
        <v>4.2461086097452263</v>
      </c>
      <c r="AH29" s="192">
        <f t="shared" si="24"/>
        <v>1.1558350524493168</v>
      </c>
      <c r="AI29" s="168">
        <f t="shared" si="25"/>
        <v>7.982517316992201</v>
      </c>
      <c r="AJ29" s="192">
        <f t="shared" si="26"/>
        <v>2.6316844041498033</v>
      </c>
      <c r="AK29" s="132">
        <f t="shared" si="27"/>
        <v>28.185007645670765</v>
      </c>
      <c r="AL29" s="192">
        <f t="shared" si="28"/>
        <v>0.39034290723867188</v>
      </c>
      <c r="AM29" s="192">
        <f t="shared" si="29"/>
        <v>0</v>
      </c>
      <c r="AN29" s="192">
        <f t="shared" si="44"/>
        <v>0</v>
      </c>
      <c r="AO29" s="192">
        <f t="shared" si="30"/>
        <v>0</v>
      </c>
      <c r="AS29" s="132">
        <f t="shared" si="31"/>
        <v>174880.53998723408</v>
      </c>
      <c r="AT29" s="132">
        <f t="shared" si="45"/>
        <v>247.94186677678042</v>
      </c>
      <c r="AU29" s="200" t="str">
        <f t="shared" si="32"/>
        <v>+</v>
      </c>
      <c r="AV29" s="132">
        <f t="shared" si="46"/>
        <v>4</v>
      </c>
      <c r="AW29" s="132">
        <f t="shared" si="33"/>
        <v>553.78388843153311</v>
      </c>
      <c r="AX29" s="132">
        <f t="shared" si="34"/>
        <v>-385.11169241803418</v>
      </c>
      <c r="AY29" s="132">
        <f t="shared" si="18"/>
        <v>931606262.5098511</v>
      </c>
      <c r="AZ29" s="132">
        <f t="shared" si="35"/>
        <v>881524.91173884633</v>
      </c>
      <c r="BA29" s="167">
        <f t="shared" si="36"/>
        <v>6.6330040222668834E-5</v>
      </c>
      <c r="BB29" s="167">
        <f t="shared" si="37"/>
        <v>8.1443256456669774E-3</v>
      </c>
      <c r="BC29" s="125">
        <f t="shared" si="38"/>
        <v>5.5265066881311628E-3</v>
      </c>
      <c r="BD29" s="211">
        <f t="shared" si="39"/>
        <v>42434</v>
      </c>
      <c r="BE29" s="210">
        <v>2.5</v>
      </c>
      <c r="BF29" s="209">
        <v>0.5</v>
      </c>
      <c r="BG29" s="209">
        <v>2.5</v>
      </c>
      <c r="BH29" s="210"/>
      <c r="BI29" s="209"/>
      <c r="BJ29" s="209"/>
      <c r="BL29" s="168"/>
      <c r="BN29" s="125">
        <f t="shared" si="47"/>
        <v>0.67857142857142849</v>
      </c>
      <c r="BP29" s="132">
        <f t="shared" si="40"/>
        <v>118668.93784848026</v>
      </c>
      <c r="BQ29" s="125">
        <f t="shared" si="41"/>
        <v>168.24626674138668</v>
      </c>
    </row>
    <row r="30" spans="1:69" ht="13.5" thickBot="1" x14ac:dyDescent="0.25">
      <c r="A30" s="213">
        <f t="shared" si="2"/>
        <v>42435</v>
      </c>
      <c r="B30" s="190">
        <f>VLOOKUP(A30,P_Q_obs!$A$4:$H$304,8,FALSE)</f>
        <v>1700.6263589523101</v>
      </c>
      <c r="C30" s="168">
        <f t="shared" si="14"/>
        <v>9.4485644839026849E-3</v>
      </c>
      <c r="D30" s="198">
        <f t="shared" si="15"/>
        <v>9.7203726697604992E-2</v>
      </c>
      <c r="E30" s="132">
        <f t="shared" si="16"/>
        <v>1535.3191391419666</v>
      </c>
      <c r="F30" s="168">
        <f t="shared" si="19"/>
        <v>258.79078079509446</v>
      </c>
      <c r="G30" s="300"/>
      <c r="H30" s="127">
        <f>VLOOKUP(MONTH(A30),ETP_Parametros!$A$6:$D$17,4,FALSE)</f>
        <v>4.838709677419355</v>
      </c>
      <c r="I30" s="229">
        <f>VLOOKUP(A30,P_Q_obs!$A$4:$F$308,2,FALSE)*1</f>
        <v>0.41</v>
      </c>
      <c r="J30" s="229">
        <f t="shared" ref="J30:S30" si="52">I30</f>
        <v>0.41</v>
      </c>
      <c r="K30" s="229">
        <f t="shared" si="52"/>
        <v>0.41</v>
      </c>
      <c r="L30" s="229">
        <f t="shared" si="52"/>
        <v>0.41</v>
      </c>
      <c r="M30" s="229">
        <f t="shared" si="52"/>
        <v>0.41</v>
      </c>
      <c r="N30" s="229">
        <f t="shared" si="52"/>
        <v>0.41</v>
      </c>
      <c r="O30" s="229">
        <f t="shared" si="52"/>
        <v>0.41</v>
      </c>
      <c r="P30" s="229">
        <f t="shared" si="52"/>
        <v>0.41</v>
      </c>
      <c r="Q30" s="229">
        <f t="shared" si="52"/>
        <v>0.41</v>
      </c>
      <c r="R30" s="229">
        <f t="shared" si="52"/>
        <v>0.41</v>
      </c>
      <c r="S30" s="229">
        <f t="shared" si="52"/>
        <v>0.41</v>
      </c>
      <c r="T30" s="229">
        <f t="shared" si="4"/>
        <v>0.41</v>
      </c>
      <c r="U30" s="229">
        <f t="shared" si="5"/>
        <v>0.41</v>
      </c>
      <c r="V30" s="229">
        <f t="shared" si="6"/>
        <v>0.41</v>
      </c>
      <c r="W30" s="229">
        <f t="shared" si="7"/>
        <v>0.41</v>
      </c>
      <c r="X30" s="229">
        <f t="shared" si="8"/>
        <v>0.41</v>
      </c>
      <c r="Y30" s="229">
        <f t="shared" si="9"/>
        <v>0.41</v>
      </c>
      <c r="Z30" s="291">
        <f t="shared" si="10"/>
        <v>0.41</v>
      </c>
      <c r="AA30" s="300"/>
      <c r="AB30" s="191">
        <f t="shared" si="11"/>
        <v>0.41000000000000009</v>
      </c>
      <c r="AC30" s="139">
        <f t="shared" si="21"/>
        <v>1.9112568381984532</v>
      </c>
      <c r="AD30" s="132">
        <f t="shared" si="49"/>
        <v>58.154402715349185</v>
      </c>
      <c r="AE30" s="168">
        <f t="shared" si="22"/>
        <v>0.78367556761241364</v>
      </c>
      <c r="AF30" s="192">
        <f t="shared" si="23"/>
        <v>0</v>
      </c>
      <c r="AG30" s="192">
        <f t="shared" si="43"/>
        <v>3.7410231255562199</v>
      </c>
      <c r="AH30" s="192">
        <f t="shared" si="24"/>
        <v>1.1592150796440899</v>
      </c>
      <c r="AI30" s="168">
        <f t="shared" si="25"/>
        <v>6.003332552947235</v>
      </c>
      <c r="AJ30" s="192">
        <f t="shared" si="26"/>
        <v>1.9791847640449656</v>
      </c>
      <c r="AK30" s="132">
        <f t="shared" si="27"/>
        <v>28.942982308620742</v>
      </c>
      <c r="AL30" s="192">
        <f t="shared" si="28"/>
        <v>0.40124041669411342</v>
      </c>
      <c r="AM30" s="192">
        <f t="shared" si="29"/>
        <v>0</v>
      </c>
      <c r="AN30" s="192">
        <f t="shared" si="44"/>
        <v>0</v>
      </c>
      <c r="AO30" s="192">
        <f t="shared" si="30"/>
        <v>0</v>
      </c>
      <c r="AS30" s="132">
        <f t="shared" si="31"/>
        <v>34381.345607243624</v>
      </c>
      <c r="AT30" s="132">
        <f t="shared" si="45"/>
        <v>27326.476921425201</v>
      </c>
      <c r="AU30" s="200" t="str">
        <f t="shared" si="32"/>
        <v>-</v>
      </c>
      <c r="AV30" s="132">
        <f t="shared" si="46"/>
        <v>3</v>
      </c>
      <c r="AW30" s="132">
        <f t="shared" si="33"/>
        <v>139.96536606384529</v>
      </c>
      <c r="AX30" s="132">
        <f t="shared" si="34"/>
        <v>-199.68961820020104</v>
      </c>
      <c r="AY30" s="132">
        <f t="shared" si="18"/>
        <v>942959632.65856683</v>
      </c>
      <c r="AZ30" s="132">
        <f t="shared" si="35"/>
        <v>115365.50833540957</v>
      </c>
      <c r="BA30" s="167">
        <f t="shared" si="36"/>
        <v>9.4485644839026849E-3</v>
      </c>
      <c r="BB30" s="167">
        <f t="shared" si="37"/>
        <v>9.7203726697604992E-2</v>
      </c>
      <c r="BC30" s="125">
        <f t="shared" si="38"/>
        <v>6.9431233355432123E-2</v>
      </c>
      <c r="BD30" s="211">
        <f t="shared" si="39"/>
        <v>42435</v>
      </c>
      <c r="BE30" s="210">
        <v>1.3012757095019813</v>
      </c>
      <c r="BF30" s="209">
        <v>0.5</v>
      </c>
      <c r="BG30" s="209">
        <v>2.5</v>
      </c>
      <c r="BH30" s="210"/>
      <c r="BI30" s="209"/>
      <c r="BJ30" s="209"/>
      <c r="BL30" s="168"/>
      <c r="BN30" s="125">
        <f t="shared" si="47"/>
        <v>0.71428571428571419</v>
      </c>
      <c r="BP30" s="132">
        <f t="shared" si="40"/>
        <v>24558.104005174013</v>
      </c>
      <c r="BQ30" s="125">
        <f t="shared" si="41"/>
        <v>19518.912086732285</v>
      </c>
    </row>
    <row r="31" spans="1:69" ht="13.5" thickBot="1" x14ac:dyDescent="0.25">
      <c r="A31" s="213">
        <f t="shared" si="2"/>
        <v>42436</v>
      </c>
      <c r="B31" s="190">
        <f>VLOOKUP(A31,P_Q_obs!$A$4:$H$304,8,FALSE)</f>
        <v>1339.08532292257</v>
      </c>
      <c r="C31" s="168">
        <f t="shared" si="14"/>
        <v>7.1599776225109739E-3</v>
      </c>
      <c r="D31" s="198">
        <f t="shared" si="15"/>
        <v>8.4616650976690008E-2</v>
      </c>
      <c r="E31" s="132">
        <f t="shared" si="16"/>
        <v>1225.7764075248226</v>
      </c>
      <c r="F31" s="168">
        <f t="shared" si="19"/>
        <v>265.75039767062344</v>
      </c>
      <c r="G31" s="300"/>
      <c r="H31" s="127">
        <f>VLOOKUP(MONTH(A31),ETP_Parametros!$A$6:$D$17,4,FALSE)</f>
        <v>4.838709677419355</v>
      </c>
      <c r="I31" s="229">
        <f>VLOOKUP(A31,P_Q_obs!$A$4:$F$308,2,FALSE)*1</f>
        <v>0.32</v>
      </c>
      <c r="J31" s="229">
        <f t="shared" ref="J31:S31" si="53">I31</f>
        <v>0.32</v>
      </c>
      <c r="K31" s="229">
        <f t="shared" si="53"/>
        <v>0.32</v>
      </c>
      <c r="L31" s="229">
        <f t="shared" si="53"/>
        <v>0.32</v>
      </c>
      <c r="M31" s="229">
        <f t="shared" si="53"/>
        <v>0.32</v>
      </c>
      <c r="N31" s="229">
        <f t="shared" si="53"/>
        <v>0.32</v>
      </c>
      <c r="O31" s="229">
        <f t="shared" si="53"/>
        <v>0.32</v>
      </c>
      <c r="P31" s="229">
        <f t="shared" si="53"/>
        <v>0.32</v>
      </c>
      <c r="Q31" s="229">
        <f t="shared" si="53"/>
        <v>0.32</v>
      </c>
      <c r="R31" s="229">
        <f t="shared" si="53"/>
        <v>0.32</v>
      </c>
      <c r="S31" s="229">
        <f t="shared" si="53"/>
        <v>0.32</v>
      </c>
      <c r="T31" s="229">
        <f t="shared" si="4"/>
        <v>0.32</v>
      </c>
      <c r="U31" s="229">
        <f t="shared" si="5"/>
        <v>0.32</v>
      </c>
      <c r="V31" s="229">
        <f t="shared" si="6"/>
        <v>0.32</v>
      </c>
      <c r="W31" s="229">
        <f t="shared" si="7"/>
        <v>0.32</v>
      </c>
      <c r="X31" s="229">
        <f t="shared" si="8"/>
        <v>0.32</v>
      </c>
      <c r="Y31" s="229">
        <f t="shared" si="9"/>
        <v>0.32</v>
      </c>
      <c r="Z31" s="291">
        <f t="shared" si="10"/>
        <v>0.32</v>
      </c>
      <c r="AA31" s="300"/>
      <c r="AB31" s="191">
        <f t="shared" si="11"/>
        <v>0.32</v>
      </c>
      <c r="AC31" s="139">
        <f t="shared" si="21"/>
        <v>0.42522718957934413</v>
      </c>
      <c r="AD31" s="132">
        <f t="shared" si="49"/>
        <v>54.341294118145584</v>
      </c>
      <c r="AE31" s="168">
        <f t="shared" si="22"/>
        <v>0.74536575364769664</v>
      </c>
      <c r="AF31" s="192">
        <f t="shared" si="23"/>
        <v>0</v>
      </c>
      <c r="AG31" s="192">
        <f t="shared" si="43"/>
        <v>3.2731813489197683</v>
      </c>
      <c r="AH31" s="192">
        <f t="shared" si="24"/>
        <v>0.96515443786317701</v>
      </c>
      <c r="AI31" s="168">
        <f t="shared" si="25"/>
        <v>4.5148667156109319</v>
      </c>
      <c r="AJ31" s="192">
        <f t="shared" si="26"/>
        <v>1.4884658373363029</v>
      </c>
      <c r="AK31" s="132">
        <f t="shared" si="27"/>
        <v>29.496105838851182</v>
      </c>
      <c r="AL31" s="192">
        <f t="shared" si="28"/>
        <v>0.41203090763273637</v>
      </c>
      <c r="AM31" s="192">
        <f t="shared" si="29"/>
        <v>0</v>
      </c>
      <c r="AN31" s="192">
        <f t="shared" si="44"/>
        <v>0</v>
      </c>
      <c r="AO31" s="192">
        <f t="shared" si="30"/>
        <v>0</v>
      </c>
      <c r="AS31" s="132">
        <f t="shared" si="31"/>
        <v>31017.888709703941</v>
      </c>
      <c r="AT31" s="132">
        <f t="shared" si="45"/>
        <v>12838.910308613864</v>
      </c>
      <c r="AU31" s="200" t="str">
        <f t="shared" si="32"/>
        <v>-</v>
      </c>
      <c r="AV31" s="132">
        <f t="shared" si="46"/>
        <v>2</v>
      </c>
      <c r="AW31" s="132">
        <f t="shared" si="33"/>
        <v>-169.5773655532987</v>
      </c>
      <c r="AX31" s="132">
        <f t="shared" si="34"/>
        <v>-375.808580012108</v>
      </c>
      <c r="AY31" s="132">
        <f t="shared" si="18"/>
        <v>932174252.45113635</v>
      </c>
      <c r="AZ31" s="132">
        <f t="shared" si="35"/>
        <v>42531.313817155387</v>
      </c>
      <c r="BA31" s="167">
        <f t="shared" si="36"/>
        <v>7.1599776225109739E-3</v>
      </c>
      <c r="BB31" s="167">
        <f t="shared" si="37"/>
        <v>8.4616650976690008E-2</v>
      </c>
      <c r="BC31" s="125">
        <f t="shared" si="38"/>
        <v>6.3462488232517503E-2</v>
      </c>
      <c r="BD31" s="211">
        <f t="shared" si="39"/>
        <v>42436</v>
      </c>
      <c r="BE31" s="210">
        <v>1.0749162204469316</v>
      </c>
      <c r="BF31" s="209">
        <v>0.5</v>
      </c>
      <c r="BG31" s="209">
        <v>2.5</v>
      </c>
      <c r="BH31" s="210"/>
      <c r="BI31" s="209"/>
      <c r="BJ31" s="209"/>
      <c r="BL31" s="168"/>
      <c r="BN31" s="125">
        <f t="shared" si="47"/>
        <v>0.74999999999999989</v>
      </c>
      <c r="BP31" s="132">
        <f t="shared" si="40"/>
        <v>23263.416532277952</v>
      </c>
      <c r="BQ31" s="125">
        <f t="shared" si="41"/>
        <v>9629.1827314603961</v>
      </c>
    </row>
    <row r="32" spans="1:69" ht="13.5" thickBot="1" x14ac:dyDescent="0.25">
      <c r="A32" s="213">
        <f t="shared" si="2"/>
        <v>42437</v>
      </c>
      <c r="B32" s="190">
        <f>VLOOKUP(A32,P_Q_obs!$A$4:$H$304,8,FALSE)</f>
        <v>1099.2439515618901</v>
      </c>
      <c r="C32" s="168">
        <f t="shared" si="14"/>
        <v>7.7253197606676231E-3</v>
      </c>
      <c r="D32" s="198">
        <f t="shared" si="15"/>
        <v>8.7893798192293537E-2</v>
      </c>
      <c r="E32" s="132">
        <f t="shared" si="16"/>
        <v>1002.62722551921</v>
      </c>
      <c r="F32" s="168">
        <f t="shared" si="19"/>
        <v>270.8291002228458</v>
      </c>
      <c r="G32" s="300"/>
      <c r="H32" s="127">
        <f>VLOOKUP(MONTH(A32),ETP_Parametros!$A$6:$D$17,4,FALSE)</f>
        <v>4.838709677419355</v>
      </c>
      <c r="I32" s="229">
        <f>VLOOKUP(A32,P_Q_obs!$A$4:$F$308,2,FALSE)*1</f>
        <v>7.0000000000000007E-2</v>
      </c>
      <c r="J32" s="229">
        <f t="shared" ref="J32:S32" si="54">I32</f>
        <v>7.0000000000000007E-2</v>
      </c>
      <c r="K32" s="229">
        <f t="shared" si="54"/>
        <v>7.0000000000000007E-2</v>
      </c>
      <c r="L32" s="229">
        <f t="shared" si="54"/>
        <v>7.0000000000000007E-2</v>
      </c>
      <c r="M32" s="229">
        <f t="shared" si="54"/>
        <v>7.0000000000000007E-2</v>
      </c>
      <c r="N32" s="229">
        <f t="shared" si="54"/>
        <v>7.0000000000000007E-2</v>
      </c>
      <c r="O32" s="229">
        <f t="shared" si="54"/>
        <v>7.0000000000000007E-2</v>
      </c>
      <c r="P32" s="229">
        <f t="shared" si="54"/>
        <v>7.0000000000000007E-2</v>
      </c>
      <c r="Q32" s="229">
        <f t="shared" si="54"/>
        <v>7.0000000000000007E-2</v>
      </c>
      <c r="R32" s="229">
        <f t="shared" si="54"/>
        <v>7.0000000000000007E-2</v>
      </c>
      <c r="S32" s="229">
        <f t="shared" si="54"/>
        <v>7.0000000000000007E-2</v>
      </c>
      <c r="T32" s="229">
        <f t="shared" si="4"/>
        <v>7.0000000000000007E-2</v>
      </c>
      <c r="U32" s="229">
        <f t="shared" si="5"/>
        <v>7.0000000000000007E-2</v>
      </c>
      <c r="V32" s="229">
        <f t="shared" si="6"/>
        <v>7.0000000000000007E-2</v>
      </c>
      <c r="W32" s="229">
        <f t="shared" si="7"/>
        <v>7.0000000000000007E-2</v>
      </c>
      <c r="X32" s="229">
        <f t="shared" si="8"/>
        <v>7.0000000000000007E-2</v>
      </c>
      <c r="Y32" s="229">
        <f t="shared" si="9"/>
        <v>7.0000000000000007E-2</v>
      </c>
      <c r="Z32" s="291">
        <f t="shared" si="10"/>
        <v>7.0000000000000007E-2</v>
      </c>
      <c r="AA32" s="300"/>
      <c r="AB32" s="191">
        <f t="shared" si="11"/>
        <v>6.9999999999999979E-2</v>
      </c>
      <c r="AC32" s="139">
        <f t="shared" si="21"/>
        <v>3.235732341488867</v>
      </c>
      <c r="AD32" s="132">
        <f t="shared" si="49"/>
        <v>52.856799140848167</v>
      </c>
      <c r="AE32" s="168">
        <f t="shared" si="22"/>
        <v>0.69649309000420911</v>
      </c>
      <c r="AF32" s="192">
        <f t="shared" si="23"/>
        <v>6.1287953828315436E-2</v>
      </c>
      <c r="AG32" s="192">
        <f t="shared" si="43"/>
        <v>3.9208511131472639</v>
      </c>
      <c r="AH32" s="192">
        <f t="shared" si="24"/>
        <v>0.73808825181070958</v>
      </c>
      <c r="AI32" s="168">
        <f t="shared" si="25"/>
        <v>3.4415432129269212</v>
      </c>
      <c r="AJ32" s="192">
        <f t="shared" si="26"/>
        <v>1.1346114565123258</v>
      </c>
      <c r="AK32" s="132">
        <f t="shared" si="27"/>
        <v>29.814288942988384</v>
      </c>
      <c r="AL32" s="192">
        <f t="shared" si="28"/>
        <v>0.41990514767350751</v>
      </c>
      <c r="AM32" s="192">
        <f t="shared" si="29"/>
        <v>0</v>
      </c>
      <c r="AN32" s="192">
        <f t="shared" si="44"/>
        <v>0</v>
      </c>
      <c r="AO32" s="192">
        <f t="shared" si="30"/>
        <v>0</v>
      </c>
      <c r="AS32" s="132">
        <f t="shared" si="31"/>
        <v>173022.99877304945</v>
      </c>
      <c r="AT32" s="132">
        <f>(B32-E32)^2</f>
        <v>9334.7917512062904</v>
      </c>
      <c r="AU32" s="200" t="str">
        <f t="shared" si="32"/>
        <v>-</v>
      </c>
      <c r="AV32" s="132">
        <f t="shared" si="46"/>
        <v>1</v>
      </c>
      <c r="AW32" s="132">
        <f t="shared" si="33"/>
        <v>-392.72654755891131</v>
      </c>
      <c r="AX32" s="132">
        <f t="shared" si="34"/>
        <v>-791.76891318469484</v>
      </c>
      <c r="AY32" s="132">
        <f t="shared" si="18"/>
        <v>906947465.6444701</v>
      </c>
      <c r="AZ32" s="132">
        <f t="shared" si="35"/>
        <v>159234.8095642215</v>
      </c>
      <c r="BA32" s="167">
        <f t="shared" si="36"/>
        <v>7.7253197606676231E-3</v>
      </c>
      <c r="BB32" s="167">
        <f t="shared" si="37"/>
        <v>8.7893798192293537E-2</v>
      </c>
      <c r="BC32" s="125">
        <f t="shared" si="38"/>
        <v>6.9059412865373482E-2</v>
      </c>
      <c r="BD32" s="211">
        <f t="shared" si="39"/>
        <v>42437</v>
      </c>
      <c r="BE32" s="210">
        <v>1.4828282690857177</v>
      </c>
      <c r="BF32" s="209">
        <v>0.5</v>
      </c>
      <c r="BG32" s="209">
        <v>2.5</v>
      </c>
      <c r="BH32" s="210"/>
      <c r="BI32" s="209"/>
      <c r="BJ32" s="209"/>
      <c r="BL32" s="168"/>
      <c r="BN32" s="125">
        <f t="shared" si="47"/>
        <v>0.78571428571428559</v>
      </c>
      <c r="BP32" s="132">
        <f t="shared" si="40"/>
        <v>135946.64189311027</v>
      </c>
      <c r="BQ32" s="125">
        <f t="shared" si="41"/>
        <v>7334.4792330906557</v>
      </c>
    </row>
    <row r="33" spans="1:69" ht="13.5" thickBot="1" x14ac:dyDescent="0.25">
      <c r="A33" s="213">
        <f t="shared" si="2"/>
        <v>42438</v>
      </c>
      <c r="B33" s="190">
        <f>VLOOKUP(A33,P_Q_obs!$A$4:$H$304,8,FALSE)</f>
        <v>1180.2527855814201</v>
      </c>
      <c r="C33" s="168">
        <f t="shared" si="14"/>
        <v>7.9285715576180203E-7</v>
      </c>
      <c r="D33" s="198">
        <f t="shared" si="15"/>
        <v>8.904252668033416E-4</v>
      </c>
      <c r="E33" s="132">
        <f t="shared" si="16"/>
        <v>1181.3037124829168</v>
      </c>
      <c r="F33" s="168">
        <f t="shared" si="19"/>
        <v>273.75061278692425</v>
      </c>
      <c r="G33" s="300"/>
      <c r="H33" s="127">
        <f>VLOOKUP(MONTH(A33),ETP_Parametros!$A$6:$D$17,4,FALSE)</f>
        <v>4.838709677419355</v>
      </c>
      <c r="I33" s="229">
        <f>VLOOKUP(A33,P_Q_obs!$A$4:$F$308,2,FALSE)*1</f>
        <v>9.34</v>
      </c>
      <c r="J33" s="229">
        <f t="shared" ref="J33:S33" si="55">I33</f>
        <v>9.34</v>
      </c>
      <c r="K33" s="229">
        <f t="shared" si="55"/>
        <v>9.34</v>
      </c>
      <c r="L33" s="229">
        <f t="shared" si="55"/>
        <v>9.34</v>
      </c>
      <c r="M33" s="229">
        <f t="shared" si="55"/>
        <v>9.34</v>
      </c>
      <c r="N33" s="229">
        <f t="shared" si="55"/>
        <v>9.34</v>
      </c>
      <c r="O33" s="229">
        <f t="shared" si="55"/>
        <v>9.34</v>
      </c>
      <c r="P33" s="229">
        <f t="shared" si="55"/>
        <v>9.34</v>
      </c>
      <c r="Q33" s="229">
        <f t="shared" si="55"/>
        <v>9.34</v>
      </c>
      <c r="R33" s="229">
        <f t="shared" si="55"/>
        <v>9.34</v>
      </c>
      <c r="S33" s="229">
        <f t="shared" si="55"/>
        <v>9.34</v>
      </c>
      <c r="T33" s="229">
        <f t="shared" si="4"/>
        <v>9.34</v>
      </c>
      <c r="U33" s="229">
        <f t="shared" si="5"/>
        <v>9.34</v>
      </c>
      <c r="V33" s="229">
        <f t="shared" si="6"/>
        <v>9.34</v>
      </c>
      <c r="W33" s="229">
        <f t="shared" si="7"/>
        <v>9.34</v>
      </c>
      <c r="X33" s="229">
        <f t="shared" si="8"/>
        <v>9.34</v>
      </c>
      <c r="Y33" s="229">
        <f t="shared" si="9"/>
        <v>9.34</v>
      </c>
      <c r="Z33" s="291">
        <f t="shared" si="10"/>
        <v>9.34</v>
      </c>
      <c r="AA33" s="300"/>
      <c r="AB33" s="191">
        <f t="shared" si="11"/>
        <v>9.34</v>
      </c>
      <c r="AC33" s="139">
        <f t="shared" si="21"/>
        <v>10.696820386751661</v>
      </c>
      <c r="AD33" s="132">
        <f t="shared" si="49"/>
        <v>56.417946159981177</v>
      </c>
      <c r="AE33" s="168">
        <f t="shared" si="22"/>
        <v>0.67746629812130565</v>
      </c>
      <c r="AF33" s="192">
        <f t="shared" si="23"/>
        <v>2.2336603867761431</v>
      </c>
      <c r="AG33" s="192">
        <f t="shared" si="43"/>
        <v>4.2461086097452263</v>
      </c>
      <c r="AH33" s="192">
        <f t="shared" si="24"/>
        <v>0.65590437109728195</v>
      </c>
      <c r="AI33" s="168">
        <f t="shared" si="25"/>
        <v>4.2680940312119864</v>
      </c>
      <c r="AJ33" s="192">
        <f t="shared" si="26"/>
        <v>1.4071095684910773</v>
      </c>
      <c r="AK33" s="132">
        <f t="shared" si="27"/>
        <v>30.0457585270062</v>
      </c>
      <c r="AL33" s="192">
        <f t="shared" si="28"/>
        <v>0.4244347870794648</v>
      </c>
      <c r="AM33" s="192">
        <f t="shared" si="29"/>
        <v>0</v>
      </c>
      <c r="AN33" s="192">
        <f t="shared" si="44"/>
        <v>0</v>
      </c>
      <c r="AO33" s="192">
        <f t="shared" si="30"/>
        <v>0</v>
      </c>
      <c r="AS33" s="132">
        <f t="shared" si="31"/>
        <v>112192.50678488023</v>
      </c>
      <c r="AT33" s="132">
        <f t="shared" si="45"/>
        <v>1.1044473522895031</v>
      </c>
      <c r="AU33" s="200" t="str">
        <f t="shared" si="32"/>
        <v>+</v>
      </c>
      <c r="AV33" s="132">
        <f t="shared" si="46"/>
        <v>2</v>
      </c>
      <c r="AW33" s="132">
        <f t="shared" si="33"/>
        <v>-214.05006059520451</v>
      </c>
      <c r="AX33" s="132">
        <f t="shared" si="34"/>
        <v>-1126.7204123377517</v>
      </c>
      <c r="AY33" s="132">
        <f t="shared" si="18"/>
        <v>886885148.52223575</v>
      </c>
      <c r="AZ33" s="132">
        <f t="shared" si="35"/>
        <v>832967.17094986478</v>
      </c>
      <c r="BA33" s="167">
        <f t="shared" si="36"/>
        <v>7.9285715576180203E-7</v>
      </c>
      <c r="BB33" s="167">
        <f t="shared" si="37"/>
        <v>8.904252668033416E-4</v>
      </c>
      <c r="BC33" s="125">
        <f t="shared" si="38"/>
        <v>7.3142075487417336E-4</v>
      </c>
      <c r="BD33" s="211">
        <f t="shared" si="39"/>
        <v>42438</v>
      </c>
      <c r="BE33" s="210">
        <v>1.2708942179801364</v>
      </c>
      <c r="BF33" s="209">
        <v>0.5</v>
      </c>
      <c r="BG33" s="209">
        <v>2.5</v>
      </c>
      <c r="BH33" s="210"/>
      <c r="BI33" s="209"/>
      <c r="BJ33" s="209"/>
      <c r="BL33" s="168"/>
      <c r="BN33" s="125">
        <f t="shared" si="47"/>
        <v>0.82142857142857129</v>
      </c>
      <c r="BP33" s="132">
        <f t="shared" si="40"/>
        <v>92158.13057329446</v>
      </c>
      <c r="BQ33" s="125">
        <f t="shared" si="41"/>
        <v>0.90722461080923456</v>
      </c>
    </row>
    <row r="34" spans="1:69" ht="13.5" thickBot="1" x14ac:dyDescent="0.25">
      <c r="A34" s="213">
        <f t="shared" si="2"/>
        <v>42439</v>
      </c>
      <c r="B34" s="190">
        <f>VLOOKUP(A34,P_Q_obs!$A$4:$H$304,8,FALSE)</f>
        <v>1709.14781201286</v>
      </c>
      <c r="C34" s="168">
        <f t="shared" si="14"/>
        <v>3.4132029782806381E-7</v>
      </c>
      <c r="D34" s="198">
        <f t="shared" si="15"/>
        <v>5.8422623856521866E-4</v>
      </c>
      <c r="E34" s="132">
        <f t="shared" si="16"/>
        <v>1710.1463410102242</v>
      </c>
      <c r="F34" s="168">
        <f t="shared" si="19"/>
        <v>275.87593399071278</v>
      </c>
      <c r="G34" s="300"/>
      <c r="H34" s="127">
        <f>VLOOKUP(MONTH(A34),ETP_Parametros!$A$6:$D$17,4,FALSE)</f>
        <v>4.838709677419355</v>
      </c>
      <c r="I34" s="229">
        <f>VLOOKUP(A34,P_Q_obs!$A$4:$F$308,2,FALSE)*1</f>
        <v>23.52</v>
      </c>
      <c r="J34" s="229">
        <f t="shared" ref="J34:S34" si="56">I34</f>
        <v>23.52</v>
      </c>
      <c r="K34" s="229">
        <f t="shared" si="56"/>
        <v>23.52</v>
      </c>
      <c r="L34" s="229">
        <f t="shared" si="56"/>
        <v>23.52</v>
      </c>
      <c r="M34" s="229">
        <f t="shared" si="56"/>
        <v>23.52</v>
      </c>
      <c r="N34" s="229">
        <f t="shared" si="56"/>
        <v>23.52</v>
      </c>
      <c r="O34" s="229">
        <f t="shared" si="56"/>
        <v>23.52</v>
      </c>
      <c r="P34" s="229">
        <f t="shared" si="56"/>
        <v>23.52</v>
      </c>
      <c r="Q34" s="229">
        <f t="shared" si="56"/>
        <v>23.52</v>
      </c>
      <c r="R34" s="229">
        <f t="shared" si="56"/>
        <v>23.52</v>
      </c>
      <c r="S34" s="229">
        <f t="shared" si="56"/>
        <v>23.52</v>
      </c>
      <c r="T34" s="229">
        <f t="shared" si="4"/>
        <v>23.52</v>
      </c>
      <c r="U34" s="229">
        <f t="shared" si="5"/>
        <v>23.52</v>
      </c>
      <c r="V34" s="229">
        <f t="shared" si="6"/>
        <v>23.52</v>
      </c>
      <c r="W34" s="229">
        <f t="shared" si="7"/>
        <v>23.52</v>
      </c>
      <c r="X34" s="229">
        <f t="shared" si="8"/>
        <v>23.52</v>
      </c>
      <c r="Y34" s="229">
        <f t="shared" si="9"/>
        <v>23.52</v>
      </c>
      <c r="Z34" s="291">
        <f t="shared" si="10"/>
        <v>23.52</v>
      </c>
      <c r="AA34" s="300"/>
      <c r="AB34" s="191">
        <f t="shared" si="11"/>
        <v>23.519999999999989</v>
      </c>
      <c r="AC34" s="139">
        <f t="shared" si="21"/>
        <v>14.698274516498451</v>
      </c>
      <c r="AD34" s="132">
        <f t="shared" si="49"/>
        <v>61.310379912989333</v>
      </c>
      <c r="AE34" s="168">
        <f t="shared" si="22"/>
        <v>0.72310956686501049</v>
      </c>
      <c r="AF34" s="192">
        <f t="shared" si="23"/>
        <v>4.7008319518421526</v>
      </c>
      <c r="AG34" s="192">
        <f t="shared" si="43"/>
        <v>4.2461086097452263</v>
      </c>
      <c r="AH34" s="192">
        <f t="shared" si="24"/>
        <v>0.85890020190291849</v>
      </c>
      <c r="AI34" s="168">
        <f t="shared" si="25"/>
        <v>6.7451711259589615</v>
      </c>
      <c r="AJ34" s="192">
        <f t="shared" si="26"/>
        <v>2.2237548570951766</v>
      </c>
      <c r="AK34" s="132">
        <f t="shared" si="27"/>
        <v>30.476928751936114</v>
      </c>
      <c r="AL34" s="192">
        <f t="shared" si="28"/>
        <v>0.42772997697300336</v>
      </c>
      <c r="AM34" s="192">
        <f t="shared" si="29"/>
        <v>0</v>
      </c>
      <c r="AN34" s="192">
        <f t="shared" si="44"/>
        <v>0</v>
      </c>
      <c r="AO34" s="192">
        <f t="shared" si="30"/>
        <v>0</v>
      </c>
      <c r="AS34" s="132">
        <f t="shared" si="31"/>
        <v>37614.09177318091</v>
      </c>
      <c r="AT34" s="132">
        <f t="shared" si="45"/>
        <v>0.99706015857724761</v>
      </c>
      <c r="AU34" s="200" t="str">
        <f t="shared" si="32"/>
        <v>+</v>
      </c>
      <c r="AV34" s="132">
        <f t="shared" si="46"/>
        <v>3</v>
      </c>
      <c r="AW34" s="132">
        <f t="shared" si="33"/>
        <v>314.79256793210288</v>
      </c>
      <c r="AX34" s="132">
        <f t="shared" si="34"/>
        <v>-932.77688505936862</v>
      </c>
      <c r="AY34" s="132">
        <f t="shared" si="18"/>
        <v>898474278.42255759</v>
      </c>
      <c r="AZ34" s="132">
        <f t="shared" si="35"/>
        <v>1556429.5400374394</v>
      </c>
      <c r="BA34" s="167">
        <f t="shared" si="36"/>
        <v>3.4132029782806381E-7</v>
      </c>
      <c r="BB34" s="167">
        <f t="shared" si="37"/>
        <v>5.8422623856521866E-4</v>
      </c>
      <c r="BC34" s="125">
        <f t="shared" si="38"/>
        <v>5.0076534734161589E-4</v>
      </c>
      <c r="BD34" s="211">
        <f t="shared" si="39"/>
        <v>42439</v>
      </c>
      <c r="BE34" s="210">
        <v>1.1410353835134694</v>
      </c>
      <c r="BF34" s="209">
        <v>0.5</v>
      </c>
      <c r="BG34" s="209">
        <v>2.5</v>
      </c>
      <c r="BH34" s="210"/>
      <c r="BI34" s="209"/>
      <c r="BJ34" s="209"/>
      <c r="BL34" s="168"/>
      <c r="BN34" s="125">
        <f t="shared" si="47"/>
        <v>0.85714285714285698</v>
      </c>
      <c r="BP34" s="132">
        <f t="shared" si="40"/>
        <v>32240.650091297917</v>
      </c>
      <c r="BQ34" s="125">
        <f t="shared" si="41"/>
        <v>0.85462299306621203</v>
      </c>
    </row>
    <row r="35" spans="1:69" ht="13.5" thickBot="1" x14ac:dyDescent="0.25">
      <c r="A35" s="213">
        <f t="shared" si="2"/>
        <v>42440</v>
      </c>
      <c r="B35" s="190">
        <f>VLOOKUP(A35,P_Q_obs!$A$4:$H$304,8,FALSE)</f>
        <v>2064.19808210052</v>
      </c>
      <c r="C35" s="168">
        <f t="shared" si="14"/>
        <v>3.3187819612905463E-2</v>
      </c>
      <c r="D35" s="198">
        <f t="shared" si="15"/>
        <v>0.18217524423726036</v>
      </c>
      <c r="E35" s="132">
        <f t="shared" si="16"/>
        <v>2440.2438718612666</v>
      </c>
      <c r="F35" s="168">
        <f t="shared" si="19"/>
        <v>279.834878425569</v>
      </c>
      <c r="G35" s="300"/>
      <c r="H35" s="127">
        <f>VLOOKUP(MONTH(A35),ETP_Parametros!$A$6:$D$17,4,FALSE)</f>
        <v>4.838709677419355</v>
      </c>
      <c r="I35" s="229">
        <f>VLOOKUP(A35,P_Q_obs!$A$4:$F$308,2,FALSE)*1</f>
        <v>3.09</v>
      </c>
      <c r="J35" s="229">
        <f t="shared" ref="J35:S35" si="57">I35</f>
        <v>3.09</v>
      </c>
      <c r="K35" s="229">
        <f t="shared" si="57"/>
        <v>3.09</v>
      </c>
      <c r="L35" s="229">
        <f t="shared" si="57"/>
        <v>3.09</v>
      </c>
      <c r="M35" s="229">
        <f t="shared" si="57"/>
        <v>3.09</v>
      </c>
      <c r="N35" s="229">
        <f t="shared" si="57"/>
        <v>3.09</v>
      </c>
      <c r="O35" s="229">
        <f t="shared" si="57"/>
        <v>3.09</v>
      </c>
      <c r="P35" s="229">
        <f t="shared" si="57"/>
        <v>3.09</v>
      </c>
      <c r="Q35" s="229">
        <f t="shared" si="57"/>
        <v>3.09</v>
      </c>
      <c r="R35" s="229">
        <f t="shared" si="57"/>
        <v>3.09</v>
      </c>
      <c r="S35" s="229">
        <f t="shared" si="57"/>
        <v>3.09</v>
      </c>
      <c r="T35" s="229">
        <f t="shared" si="4"/>
        <v>3.09</v>
      </c>
      <c r="U35" s="229">
        <f t="shared" si="5"/>
        <v>3.09</v>
      </c>
      <c r="V35" s="229">
        <f t="shared" si="6"/>
        <v>3.09</v>
      </c>
      <c r="W35" s="229">
        <f t="shared" si="7"/>
        <v>3.09</v>
      </c>
      <c r="X35" s="229">
        <f t="shared" si="8"/>
        <v>3.09</v>
      </c>
      <c r="Y35" s="229">
        <f t="shared" si="9"/>
        <v>3.09</v>
      </c>
      <c r="Z35" s="291">
        <f t="shared" si="10"/>
        <v>3.09</v>
      </c>
      <c r="AA35" s="300"/>
      <c r="AB35" s="191">
        <f t="shared" si="11"/>
        <v>3.0900000000000012</v>
      </c>
      <c r="AC35" s="139">
        <f t="shared" si="21"/>
        <v>16.539364215000159</v>
      </c>
      <c r="AD35" s="132">
        <f t="shared" si="49"/>
        <v>65.668642877283588</v>
      </c>
      <c r="AE35" s="168">
        <f t="shared" si="22"/>
        <v>0.78581595539644766</v>
      </c>
      <c r="AF35" s="192">
        <f t="shared" si="23"/>
        <v>6.7645187208215614</v>
      </c>
      <c r="AG35" s="192">
        <f t="shared" si="43"/>
        <v>4.2461086097452263</v>
      </c>
      <c r="AH35" s="192">
        <f t="shared" si="24"/>
        <v>1.1704739201391361</v>
      </c>
      <c r="AI35" s="168">
        <f t="shared" si="25"/>
        <v>10.160098326972097</v>
      </c>
      <c r="AJ35" s="192">
        <f t="shared" si="26"/>
        <v>3.349591519808425</v>
      </c>
      <c r="AK35" s="132">
        <f t="shared" si="27"/>
        <v>31.21353457646514</v>
      </c>
      <c r="AL35" s="192">
        <f t="shared" si="28"/>
        <v>0.43386809561011314</v>
      </c>
      <c r="AM35" s="192">
        <f t="shared" si="29"/>
        <v>0</v>
      </c>
      <c r="AN35" s="192">
        <f t="shared" si="44"/>
        <v>0</v>
      </c>
      <c r="AO35" s="192">
        <f t="shared" si="30"/>
        <v>0</v>
      </c>
      <c r="AS35" s="132">
        <f t="shared" si="31"/>
        <v>301394.18954638793</v>
      </c>
      <c r="AT35" s="132">
        <f t="shared" si="45"/>
        <v>141410.43599678366</v>
      </c>
      <c r="AU35" s="200" t="str">
        <f t="shared" si="32"/>
        <v>+</v>
      </c>
      <c r="AV35" s="132">
        <f t="shared" si="46"/>
        <v>4</v>
      </c>
      <c r="AW35" s="132">
        <f t="shared" si="33"/>
        <v>1044.8900987831453</v>
      </c>
      <c r="AX35" s="132">
        <f t="shared" si="34"/>
        <v>-383.78308769332557</v>
      </c>
      <c r="AY35" s="132">
        <f t="shared" si="18"/>
        <v>931687368.22162497</v>
      </c>
      <c r="AZ35" s="132">
        <f t="shared" si="35"/>
        <v>2041107.0737568329</v>
      </c>
      <c r="BA35" s="167">
        <f t="shared" si="36"/>
        <v>3.3187819612905463E-2</v>
      </c>
      <c r="BB35" s="167">
        <f t="shared" si="37"/>
        <v>0.18217524423726036</v>
      </c>
      <c r="BC35" s="125">
        <f t="shared" si="38"/>
        <v>0.16265646806898243</v>
      </c>
      <c r="BD35" s="211">
        <f t="shared" si="39"/>
        <v>42440</v>
      </c>
      <c r="BE35" s="210">
        <v>1.4719589103128199</v>
      </c>
      <c r="BF35" s="209">
        <v>0.5</v>
      </c>
      <c r="BG35" s="209">
        <v>2.5</v>
      </c>
      <c r="BH35" s="210"/>
      <c r="BI35" s="209"/>
      <c r="BJ35" s="209"/>
      <c r="BL35" s="168"/>
      <c r="BN35" s="125">
        <f t="shared" si="47"/>
        <v>0.89285714285714268</v>
      </c>
      <c r="BP35" s="132">
        <f t="shared" si="40"/>
        <v>269101.95495213202</v>
      </c>
      <c r="BQ35" s="125">
        <f t="shared" si="41"/>
        <v>126259.31785427111</v>
      </c>
    </row>
    <row r="36" spans="1:69" ht="13.5" thickBot="1" x14ac:dyDescent="0.25">
      <c r="A36" s="213">
        <f t="shared" si="2"/>
        <v>42441</v>
      </c>
      <c r="B36" s="190">
        <f>VLOOKUP(A36,P_Q_obs!$A$4:$H$304,8,FALSE)</f>
        <v>2041.8017553371501</v>
      </c>
      <c r="C36" s="168">
        <f t="shared" si="14"/>
        <v>1.188299459431427E-3</v>
      </c>
      <c r="D36" s="198">
        <f t="shared" si="15"/>
        <v>3.4471719705164508E-2</v>
      </c>
      <c r="E36" s="132">
        <f t="shared" si="16"/>
        <v>2112.1861731406452</v>
      </c>
      <c r="F36" s="168">
        <f t="shared" si="19"/>
        <v>286.59828962859422</v>
      </c>
      <c r="G36" s="300"/>
      <c r="H36" s="127">
        <f>VLOOKUP(MONTH(A36),ETP_Parametros!$A$6:$D$17,4,FALSE)</f>
        <v>4.838709677419355</v>
      </c>
      <c r="I36" s="229">
        <f>VLOOKUP(A36,P_Q_obs!$A$4:$F$308,2,FALSE)*1</f>
        <v>2.86</v>
      </c>
      <c r="J36" s="229">
        <f t="shared" ref="J36:S36" si="58">I36</f>
        <v>2.86</v>
      </c>
      <c r="K36" s="229">
        <f t="shared" si="58"/>
        <v>2.86</v>
      </c>
      <c r="L36" s="229">
        <f t="shared" si="58"/>
        <v>2.86</v>
      </c>
      <c r="M36" s="229">
        <f t="shared" si="58"/>
        <v>2.86</v>
      </c>
      <c r="N36" s="229">
        <f t="shared" si="58"/>
        <v>2.86</v>
      </c>
      <c r="O36" s="229">
        <f t="shared" si="58"/>
        <v>2.86</v>
      </c>
      <c r="P36" s="229">
        <f t="shared" si="58"/>
        <v>2.86</v>
      </c>
      <c r="Q36" s="229">
        <f t="shared" si="58"/>
        <v>2.86</v>
      </c>
      <c r="R36" s="229">
        <f t="shared" si="58"/>
        <v>2.86</v>
      </c>
      <c r="S36" s="229">
        <f t="shared" si="58"/>
        <v>2.86</v>
      </c>
      <c r="T36" s="229">
        <f t="shared" si="4"/>
        <v>2.86</v>
      </c>
      <c r="U36" s="229">
        <f t="shared" si="5"/>
        <v>2.86</v>
      </c>
      <c r="V36" s="229">
        <f t="shared" si="6"/>
        <v>2.86</v>
      </c>
      <c r="W36" s="229">
        <f t="shared" si="7"/>
        <v>2.86</v>
      </c>
      <c r="X36" s="229">
        <f t="shared" si="8"/>
        <v>2.86</v>
      </c>
      <c r="Y36" s="229">
        <f t="shared" si="9"/>
        <v>2.86</v>
      </c>
      <c r="Z36" s="291">
        <f t="shared" si="10"/>
        <v>2.86</v>
      </c>
      <c r="AA36" s="300"/>
      <c r="AB36" s="191">
        <f t="shared" si="11"/>
        <v>2.86</v>
      </c>
      <c r="AC36" s="139">
        <f t="shared" si="21"/>
        <v>6.616338004985983</v>
      </c>
      <c r="AD36" s="132">
        <f t="shared" si="49"/>
        <v>65.303121867462664</v>
      </c>
      <c r="AE36" s="168">
        <f t="shared" si="22"/>
        <v>0.84167586981903408</v>
      </c>
      <c r="AF36" s="192">
        <f t="shared" si="23"/>
        <v>1.2558540085468086</v>
      </c>
      <c r="AG36" s="192">
        <f t="shared" si="43"/>
        <v>4.2461086097452263</v>
      </c>
      <c r="AH36" s="192">
        <f t="shared" si="24"/>
        <v>1.4798963965148673</v>
      </c>
      <c r="AI36" s="168">
        <f t="shared" si="25"/>
        <v>8.5854819422475206</v>
      </c>
      <c r="AJ36" s="192">
        <f t="shared" si="26"/>
        <v>2.8304703932713853</v>
      </c>
      <c r="AK36" s="132">
        <f t="shared" si="27"/>
        <v>32.24907659218988</v>
      </c>
      <c r="AL36" s="192">
        <f t="shared" si="28"/>
        <v>0.44435438079012568</v>
      </c>
      <c r="AM36" s="192">
        <f t="shared" si="29"/>
        <v>0</v>
      </c>
      <c r="AN36" s="192">
        <f t="shared" si="44"/>
        <v>0</v>
      </c>
      <c r="AO36" s="192">
        <f t="shared" si="30"/>
        <v>0</v>
      </c>
      <c r="AS36" s="132">
        <f t="shared" si="31"/>
        <v>277304.89604513324</v>
      </c>
      <c r="AT36" s="132">
        <f t="shared" si="45"/>
        <v>4953.9662695369616</v>
      </c>
      <c r="AU36" s="200" t="str">
        <f t="shared" si="32"/>
        <v>+</v>
      </c>
      <c r="AV36" s="132">
        <f t="shared" si="46"/>
        <v>5</v>
      </c>
      <c r="AW36" s="132">
        <f t="shared" si="33"/>
        <v>716.8324000625239</v>
      </c>
      <c r="AX36" s="132">
        <f t="shared" si="34"/>
        <v>142.81438290934761</v>
      </c>
      <c r="AY36" s="132">
        <f t="shared" si="18"/>
        <v>964111926.11330009</v>
      </c>
      <c r="AZ36" s="132">
        <f t="shared" si="35"/>
        <v>329496.68401646416</v>
      </c>
      <c r="BA36" s="167">
        <f t="shared" si="36"/>
        <v>1.188299459431427E-3</v>
      </c>
      <c r="BB36" s="167">
        <f t="shared" si="37"/>
        <v>3.4471719705164508E-2</v>
      </c>
      <c r="BC36" s="125">
        <f t="shared" si="38"/>
        <v>3.2009454011938464E-2</v>
      </c>
      <c r="BD36" s="211">
        <f t="shared" si="39"/>
        <v>42441</v>
      </c>
      <c r="BE36" s="210">
        <v>2.5</v>
      </c>
      <c r="BF36" s="209">
        <v>0.5</v>
      </c>
      <c r="BG36" s="209">
        <v>2.5</v>
      </c>
      <c r="BH36" s="210"/>
      <c r="BI36" s="209"/>
      <c r="BJ36" s="209"/>
      <c r="BL36" s="168"/>
      <c r="BN36" s="125">
        <f t="shared" si="47"/>
        <v>0.92857142857142838</v>
      </c>
      <c r="BP36" s="132">
        <f t="shared" si="40"/>
        <v>257497.40347048081</v>
      </c>
      <c r="BQ36" s="125">
        <f t="shared" si="41"/>
        <v>4600.1115359986061</v>
      </c>
    </row>
    <row r="37" spans="1:69" ht="13.5" thickBot="1" x14ac:dyDescent="0.25">
      <c r="A37" s="213">
        <f t="shared" si="2"/>
        <v>42442</v>
      </c>
      <c r="B37" s="190">
        <f>VLOOKUP(A37,P_Q_obs!$A$4:$H$304,8,FALSE)</f>
        <v>1897.4468000433001</v>
      </c>
      <c r="C37" s="168">
        <f t="shared" si="14"/>
        <v>4.3190846204540041E-3</v>
      </c>
      <c r="D37" s="198">
        <f t="shared" si="15"/>
        <v>6.5719743003560233E-2</v>
      </c>
      <c r="E37" s="132">
        <f t="shared" si="16"/>
        <v>1772.7470839815267</v>
      </c>
      <c r="F37" s="168">
        <f t="shared" si="19"/>
        <v>296.10649094486013</v>
      </c>
      <c r="G37" s="300"/>
      <c r="H37" s="127">
        <f>VLOOKUP(MONTH(A37),ETP_Parametros!$A$6:$D$17,4,FALSE)</f>
        <v>4.838709677419355</v>
      </c>
      <c r="I37" s="229">
        <f>VLOOKUP(A37,P_Q_obs!$A$4:$F$308,2,FALSE)*1</f>
        <v>0.73</v>
      </c>
      <c r="J37" s="229">
        <f t="shared" ref="J37:S37" si="59">I37</f>
        <v>0.73</v>
      </c>
      <c r="K37" s="229">
        <f t="shared" si="59"/>
        <v>0.73</v>
      </c>
      <c r="L37" s="229">
        <f t="shared" si="59"/>
        <v>0.73</v>
      </c>
      <c r="M37" s="229">
        <f t="shared" si="59"/>
        <v>0.73</v>
      </c>
      <c r="N37" s="229">
        <f t="shared" si="59"/>
        <v>0.73</v>
      </c>
      <c r="O37" s="229">
        <f t="shared" si="59"/>
        <v>0.73</v>
      </c>
      <c r="P37" s="229">
        <f t="shared" si="59"/>
        <v>0.73</v>
      </c>
      <c r="Q37" s="229">
        <f t="shared" si="59"/>
        <v>0.73</v>
      </c>
      <c r="R37" s="229">
        <f t="shared" si="59"/>
        <v>0.73</v>
      </c>
      <c r="S37" s="229">
        <f t="shared" si="59"/>
        <v>0.73</v>
      </c>
      <c r="T37" s="229">
        <f t="shared" si="4"/>
        <v>0.73</v>
      </c>
      <c r="U37" s="229">
        <f t="shared" si="5"/>
        <v>0.73</v>
      </c>
      <c r="V37" s="229">
        <f t="shared" si="6"/>
        <v>0.73</v>
      </c>
      <c r="W37" s="229">
        <f t="shared" si="7"/>
        <v>0.73</v>
      </c>
      <c r="X37" s="229">
        <f t="shared" si="8"/>
        <v>0.73</v>
      </c>
      <c r="Y37" s="229">
        <f t="shared" si="9"/>
        <v>0.73</v>
      </c>
      <c r="Z37" s="291">
        <f t="shared" si="10"/>
        <v>0.73</v>
      </c>
      <c r="AA37" s="300"/>
      <c r="AB37" s="191">
        <f t="shared" si="11"/>
        <v>0.73000000000000009</v>
      </c>
      <c r="AC37" s="139">
        <f t="shared" si="21"/>
        <v>5.2141017624034536</v>
      </c>
      <c r="AD37" s="132">
        <f t="shared" si="49"/>
        <v>64.117828423058469</v>
      </c>
      <c r="AE37" s="168">
        <f t="shared" si="22"/>
        <v>0.83699098217101209</v>
      </c>
      <c r="AF37" s="192">
        <f t="shared" si="23"/>
        <v>0.64839760912696554</v>
      </c>
      <c r="AG37" s="192">
        <f t="shared" si="43"/>
        <v>4.2982055653987787</v>
      </c>
      <c r="AH37" s="192">
        <f t="shared" si="24"/>
        <v>1.452792032281923</v>
      </c>
      <c r="AI37" s="168">
        <f t="shared" si="25"/>
        <v>6.9444321257855686</v>
      </c>
      <c r="AJ37" s="192">
        <f t="shared" si="26"/>
        <v>2.289447425588917</v>
      </c>
      <c r="AK37" s="132">
        <f t="shared" si="27"/>
        <v>33.24277231722499</v>
      </c>
      <c r="AL37" s="192">
        <f t="shared" si="28"/>
        <v>0.45909630724681327</v>
      </c>
      <c r="AM37" s="192">
        <f t="shared" si="29"/>
        <v>0</v>
      </c>
      <c r="AN37" s="192">
        <f t="shared" si="44"/>
        <v>0</v>
      </c>
      <c r="AO37" s="192">
        <f t="shared" si="30"/>
        <v>0</v>
      </c>
      <c r="AS37" s="132">
        <f t="shared" si="31"/>
        <v>146109.3405096159</v>
      </c>
      <c r="AT37" s="132">
        <f t="shared" si="45"/>
        <v>15550.019185886911</v>
      </c>
      <c r="AU37" s="200" t="str">
        <f t="shared" si="32"/>
        <v>-</v>
      </c>
      <c r="AV37" s="132">
        <f t="shared" si="46"/>
        <v>4</v>
      </c>
      <c r="AW37" s="132">
        <f t="shared" si="33"/>
        <v>377.39331090340534</v>
      </c>
      <c r="AX37" s="132">
        <f t="shared" si="34"/>
        <v>525.05689821817077</v>
      </c>
      <c r="AY37" s="132">
        <f t="shared" si="18"/>
        <v>987995411.69482434</v>
      </c>
      <c r="AZ37" s="132">
        <f t="shared" si="35"/>
        <v>21804.535018665356</v>
      </c>
      <c r="BA37" s="167">
        <f t="shared" si="36"/>
        <v>4.3190846204540041E-3</v>
      </c>
      <c r="BB37" s="167">
        <f t="shared" si="37"/>
        <v>6.5719743003560233E-2</v>
      </c>
      <c r="BC37" s="125">
        <f t="shared" si="38"/>
        <v>6.3372609324861634E-2</v>
      </c>
      <c r="BD37" s="211">
        <f t="shared" si="39"/>
        <v>42442</v>
      </c>
      <c r="BE37" s="210">
        <v>2.5</v>
      </c>
      <c r="BF37" s="209">
        <v>0.5</v>
      </c>
      <c r="BG37" s="209">
        <v>2.5</v>
      </c>
      <c r="BH37" s="210"/>
      <c r="BI37" s="209"/>
      <c r="BJ37" s="209"/>
      <c r="BL37" s="168"/>
      <c r="BN37" s="125">
        <f t="shared" si="47"/>
        <v>0.96428571428571408</v>
      </c>
      <c r="BP37" s="132">
        <f t="shared" si="40"/>
        <v>140891.14977712958</v>
      </c>
      <c r="BQ37" s="125">
        <f t="shared" si="41"/>
        <v>14994.661357819517</v>
      </c>
    </row>
    <row r="38" spans="1:69" ht="13.5" thickBot="1" x14ac:dyDescent="0.25">
      <c r="A38" s="213">
        <f t="shared" si="2"/>
        <v>42443</v>
      </c>
      <c r="B38" s="190">
        <f>VLOOKUP(A38,P_Q_obs!$A$4:$H$304,8,FALSE)</f>
        <v>1561.3107932038799</v>
      </c>
      <c r="C38" s="168">
        <f t="shared" si="14"/>
        <v>8.6914615930283792E-3</v>
      </c>
      <c r="D38" s="198">
        <f t="shared" si="15"/>
        <v>9.3228008629533538E-2</v>
      </c>
      <c r="E38" s="132">
        <f t="shared" si="16"/>
        <v>1415.7528971016848</v>
      </c>
      <c r="F38" s="168">
        <f t="shared" si="19"/>
        <v>305.23046549854746</v>
      </c>
      <c r="G38" s="300"/>
      <c r="H38" s="127">
        <f>VLOOKUP(MONTH(A38),ETP_Parametros!$A$6:$D$17,4,FALSE)</f>
        <v>4.838709677419355</v>
      </c>
      <c r="I38" s="229">
        <f>VLOOKUP(A38,P_Q_obs!$A$4:$F$308,2,FALSE)*1</f>
        <v>0.59</v>
      </c>
      <c r="J38" s="229">
        <f t="shared" ref="J38:S38" si="60">I38</f>
        <v>0.59</v>
      </c>
      <c r="K38" s="229">
        <f t="shared" si="60"/>
        <v>0.59</v>
      </c>
      <c r="L38" s="229">
        <f t="shared" si="60"/>
        <v>0.59</v>
      </c>
      <c r="M38" s="229">
        <f t="shared" si="60"/>
        <v>0.59</v>
      </c>
      <c r="N38" s="229">
        <f t="shared" si="60"/>
        <v>0.59</v>
      </c>
      <c r="O38" s="229">
        <f t="shared" si="60"/>
        <v>0.59</v>
      </c>
      <c r="P38" s="229">
        <f t="shared" si="60"/>
        <v>0.59</v>
      </c>
      <c r="Q38" s="229">
        <f t="shared" si="60"/>
        <v>0.59</v>
      </c>
      <c r="R38" s="229">
        <f t="shared" si="60"/>
        <v>0.59</v>
      </c>
      <c r="S38" s="229">
        <f t="shared" si="60"/>
        <v>0.59</v>
      </c>
      <c r="T38" s="229">
        <f t="shared" si="4"/>
        <v>0.59</v>
      </c>
      <c r="U38" s="229">
        <f t="shared" si="5"/>
        <v>0.59</v>
      </c>
      <c r="V38" s="229">
        <f t="shared" si="6"/>
        <v>0.59</v>
      </c>
      <c r="W38" s="229">
        <f t="shared" si="7"/>
        <v>0.59</v>
      </c>
      <c r="X38" s="229">
        <f t="shared" si="8"/>
        <v>0.59</v>
      </c>
      <c r="Y38" s="229">
        <f t="shared" si="9"/>
        <v>0.59</v>
      </c>
      <c r="Z38" s="291">
        <f t="shared" si="10"/>
        <v>0.59</v>
      </c>
      <c r="AA38" s="300"/>
      <c r="AB38" s="191">
        <f t="shared" si="11"/>
        <v>0.59000000000000008</v>
      </c>
      <c r="AC38" s="139">
        <f t="shared" si="21"/>
        <v>0.604633352342139</v>
      </c>
      <c r="AD38" s="132">
        <f t="shared" si="49"/>
        <v>59.758915211442869</v>
      </c>
      <c r="AE38" s="168">
        <f t="shared" si="22"/>
        <v>0.82179906031762462</v>
      </c>
      <c r="AF38" s="192">
        <f t="shared" si="23"/>
        <v>0</v>
      </c>
      <c r="AG38" s="192">
        <f t="shared" si="43"/>
        <v>3.5971942970458759</v>
      </c>
      <c r="AH38" s="192">
        <f t="shared" si="24"/>
        <v>1.3663522669118577</v>
      </c>
      <c r="AI38" s="168">
        <f t="shared" si="25"/>
        <v>5.2226301286834786</v>
      </c>
      <c r="AJ38" s="192">
        <f t="shared" si="26"/>
        <v>1.7218019971020901</v>
      </c>
      <c r="AK38" s="132">
        <f t="shared" si="27"/>
        <v>34.13588207222007</v>
      </c>
      <c r="AL38" s="192">
        <f t="shared" si="28"/>
        <v>0.47324251191678041</v>
      </c>
      <c r="AM38" s="192">
        <f t="shared" si="29"/>
        <v>0</v>
      </c>
      <c r="AN38" s="192">
        <f t="shared" si="44"/>
        <v>0</v>
      </c>
      <c r="AO38" s="192">
        <f t="shared" si="30"/>
        <v>0</v>
      </c>
      <c r="AS38" s="132">
        <f t="shared" si="31"/>
        <v>2125.8101232391327</v>
      </c>
      <c r="AT38" s="132">
        <f t="shared" si="45"/>
        <v>21187.101117697446</v>
      </c>
      <c r="AU38" s="200" t="str">
        <f t="shared" si="32"/>
        <v>-</v>
      </c>
      <c r="AV38" s="132">
        <f t="shared" si="46"/>
        <v>3</v>
      </c>
      <c r="AW38" s="132">
        <f t="shared" si="33"/>
        <v>20.399124023563445</v>
      </c>
      <c r="AX38" s="132">
        <f t="shared" si="34"/>
        <v>571.1634066875738</v>
      </c>
      <c r="AY38" s="132">
        <f t="shared" si="18"/>
        <v>990896013.4133482</v>
      </c>
      <c r="AZ38" s="132">
        <f t="shared" si="35"/>
        <v>303341.29505840188</v>
      </c>
      <c r="BA38" s="167">
        <f t="shared" si="36"/>
        <v>8.6914615930283792E-3</v>
      </c>
      <c r="BB38" s="167">
        <f t="shared" si="37"/>
        <v>9.3228008629533538E-2</v>
      </c>
      <c r="BC38" s="125">
        <f t="shared" si="38"/>
        <v>9.3228008629533524E-2</v>
      </c>
      <c r="BD38" s="211">
        <f t="shared" si="39"/>
        <v>42443</v>
      </c>
      <c r="BE38" s="210">
        <v>1.0197705431466233</v>
      </c>
      <c r="BF38" s="209">
        <v>0.5</v>
      </c>
      <c r="BG38" s="209">
        <v>2.5</v>
      </c>
      <c r="BH38" s="210"/>
      <c r="BI38" s="209"/>
      <c r="BJ38" s="209"/>
      <c r="BL38" s="168"/>
      <c r="BN38" s="125">
        <f t="shared" si="47"/>
        <v>0.99999999999999978</v>
      </c>
      <c r="BP38" s="132">
        <f t="shared" si="40"/>
        <v>2125.8101232391323</v>
      </c>
      <c r="BQ38" s="125">
        <f t="shared" si="41"/>
        <v>21187.101117697443</v>
      </c>
    </row>
    <row r="39" spans="1:69" ht="16.5" customHeight="1" thickBot="1" x14ac:dyDescent="0.25">
      <c r="A39" s="213">
        <f t="shared" si="2"/>
        <v>42444</v>
      </c>
      <c r="B39" s="190">
        <f>VLOOKUP(A39,P_Q_obs!$A$4:$H$304,8,FALSE)</f>
        <v>1289.2214994701901</v>
      </c>
      <c r="C39" s="168">
        <f t="shared" si="14"/>
        <v>1.1895529924825867E-2</v>
      </c>
      <c r="D39" s="198">
        <f t="shared" si="15"/>
        <v>0.10906663066596431</v>
      </c>
      <c r="E39" s="132">
        <f t="shared" si="16"/>
        <v>1148.6104543408542</v>
      </c>
      <c r="F39" s="168">
        <f t="shared" si="19"/>
        <v>313.43087380556437</v>
      </c>
      <c r="G39" s="300"/>
      <c r="H39" s="127">
        <f>VLOOKUP(MONTH(A39),ETP_Parametros!$A$6:$D$17,4,FALSE)</f>
        <v>4.838709677419355</v>
      </c>
      <c r="I39" s="229">
        <f>VLOOKUP(A39,P_Q_obs!$A$4:$F$308,2,FALSE)*1</f>
        <v>7.0000000000000007E-2</v>
      </c>
      <c r="J39" s="229">
        <f t="shared" ref="J39:S39" si="61">I39</f>
        <v>7.0000000000000007E-2</v>
      </c>
      <c r="K39" s="229">
        <f t="shared" si="61"/>
        <v>7.0000000000000007E-2</v>
      </c>
      <c r="L39" s="229">
        <f t="shared" si="61"/>
        <v>7.0000000000000007E-2</v>
      </c>
      <c r="M39" s="229">
        <f t="shared" si="61"/>
        <v>7.0000000000000007E-2</v>
      </c>
      <c r="N39" s="229">
        <f t="shared" si="61"/>
        <v>7.0000000000000007E-2</v>
      </c>
      <c r="O39" s="229">
        <f t="shared" si="61"/>
        <v>7.0000000000000007E-2</v>
      </c>
      <c r="P39" s="229">
        <f t="shared" si="61"/>
        <v>7.0000000000000007E-2</v>
      </c>
      <c r="Q39" s="229">
        <f t="shared" si="61"/>
        <v>7.0000000000000007E-2</v>
      </c>
      <c r="R39" s="229">
        <f t="shared" si="61"/>
        <v>7.0000000000000007E-2</v>
      </c>
      <c r="S39" s="229">
        <f t="shared" si="61"/>
        <v>7.0000000000000007E-2</v>
      </c>
      <c r="T39" s="229">
        <f t="shared" si="4"/>
        <v>7.0000000000000007E-2</v>
      </c>
      <c r="U39" s="229">
        <f t="shared" si="5"/>
        <v>7.0000000000000007E-2</v>
      </c>
      <c r="V39" s="229">
        <f t="shared" si="6"/>
        <v>7.0000000000000007E-2</v>
      </c>
      <c r="W39" s="229">
        <f t="shared" si="7"/>
        <v>7.0000000000000007E-2</v>
      </c>
      <c r="X39" s="229">
        <f t="shared" si="8"/>
        <v>7.0000000000000007E-2</v>
      </c>
      <c r="Y39" s="229">
        <f t="shared" si="9"/>
        <v>7.0000000000000007E-2</v>
      </c>
      <c r="Z39" s="291">
        <f t="shared" si="10"/>
        <v>7.0000000000000007E-2</v>
      </c>
      <c r="AA39" s="300"/>
      <c r="AB39" s="191">
        <f t="shared" si="11"/>
        <v>6.9999999999999979E-2</v>
      </c>
      <c r="AC39" s="139">
        <f t="shared" si="21"/>
        <v>0.35864688280172424</v>
      </c>
      <c r="AD39" s="132">
        <f t="shared" si="49"/>
        <v>55.713816369161286</v>
      </c>
      <c r="AE39" s="168">
        <f t="shared" si="22"/>
        <v>0.76593081166646559</v>
      </c>
      <c r="AF39" s="192">
        <f t="shared" si="23"/>
        <v>0</v>
      </c>
      <c r="AG39" s="192">
        <f t="shared" si="43"/>
        <v>3.336173598641881</v>
      </c>
      <c r="AH39" s="192">
        <f t="shared" si="24"/>
        <v>1.0675721264414273</v>
      </c>
      <c r="AI39" s="168">
        <f t="shared" si="25"/>
        <v>3.9277315937402015</v>
      </c>
      <c r="AJ39" s="192">
        <f t="shared" si="26"/>
        <v>1.2948985349432769</v>
      </c>
      <c r="AK39" s="132">
        <f t="shared" si="27"/>
        <v>34.717497419118722</v>
      </c>
      <c r="AL39" s="192">
        <f t="shared" si="28"/>
        <v>0.4859567795427765</v>
      </c>
      <c r="AM39" s="192">
        <f t="shared" si="29"/>
        <v>0</v>
      </c>
      <c r="AN39" s="192">
        <f t="shared" si="44"/>
        <v>0</v>
      </c>
      <c r="AO39" s="192">
        <f t="shared" si="30"/>
        <v>0</v>
      </c>
      <c r="AS39" s="132">
        <f t="shared" si="31"/>
        <v>51068.219235804761</v>
      </c>
      <c r="AT39" s="132">
        <f t="shared" si="45"/>
        <v>19771.466012364148</v>
      </c>
      <c r="AU39" s="200" t="str">
        <f t="shared" si="32"/>
        <v>-</v>
      </c>
      <c r="AV39" s="132">
        <f t="shared" si="46"/>
        <v>2</v>
      </c>
      <c r="AW39" s="132">
        <f t="shared" si="33"/>
        <v>-246.74331873726715</v>
      </c>
      <c r="AX39" s="132">
        <f t="shared" si="34"/>
        <v>345.18062142328699</v>
      </c>
      <c r="AY39" s="132">
        <f t="shared" si="18"/>
        <v>976719883.05340075</v>
      </c>
      <c r="AZ39" s="132">
        <f t="shared" si="35"/>
        <v>350373.95093519526</v>
      </c>
      <c r="BA39" s="167">
        <f t="shared" si="36"/>
        <v>1.1895529924825867E-2</v>
      </c>
      <c r="BB39" s="167">
        <f t="shared" si="37"/>
        <v>0.10906663066596431</v>
      </c>
      <c r="BC39" s="125">
        <f t="shared" si="38"/>
        <v>0.11296186747546302</v>
      </c>
      <c r="BD39" s="211">
        <f t="shared" si="39"/>
        <v>42444</v>
      </c>
      <c r="BE39" s="210">
        <v>1.0036832472594492</v>
      </c>
      <c r="BF39" s="209">
        <v>0.5</v>
      </c>
      <c r="BG39" s="209">
        <v>2.5</v>
      </c>
      <c r="BH39" s="210"/>
      <c r="BI39" s="209"/>
      <c r="BJ39" s="209"/>
      <c r="BL39" s="168"/>
      <c r="BN39" s="125">
        <f t="shared" si="47"/>
        <v>1.0357142857142856</v>
      </c>
      <c r="BP39" s="132">
        <f t="shared" si="40"/>
        <v>52892.084208512068</v>
      </c>
      <c r="BQ39" s="125">
        <f t="shared" si="41"/>
        <v>20477.589798520006</v>
      </c>
    </row>
    <row r="40" spans="1:69" ht="13.5" thickBot="1" x14ac:dyDescent="0.25">
      <c r="A40" s="213">
        <f t="shared" si="2"/>
        <v>42445</v>
      </c>
      <c r="B40" s="190">
        <f>VLOOKUP(A40,P_Q_obs!$A$4:$H$304,8,FALSE)</f>
        <v>1090.66473545695</v>
      </c>
      <c r="C40" s="168">
        <f t="shared" si="14"/>
        <v>1.7380600157408266E-2</v>
      </c>
      <c r="D40" s="198">
        <f t="shared" si="15"/>
        <v>0.13183550416108805</v>
      </c>
      <c r="E40" s="132">
        <f t="shared" si="16"/>
        <v>946.87640018726324</v>
      </c>
      <c r="F40" s="168">
        <f t="shared" si="19"/>
        <v>318.77118421592644</v>
      </c>
      <c r="G40" s="300"/>
      <c r="H40" s="127">
        <f>VLOOKUP(MONTH(A40),ETP_Parametros!$A$6:$D$17,4,FALSE)</f>
        <v>4.838709677419355</v>
      </c>
      <c r="I40" s="229">
        <f>VLOOKUP(A40,P_Q_obs!$A$4:$F$308,2,FALSE)*1</f>
        <v>0.13</v>
      </c>
      <c r="J40" s="229">
        <f t="shared" ref="J40:S40" si="62">I40</f>
        <v>0.13</v>
      </c>
      <c r="K40" s="229">
        <f t="shared" si="62"/>
        <v>0.13</v>
      </c>
      <c r="L40" s="229">
        <f t="shared" si="62"/>
        <v>0.13</v>
      </c>
      <c r="M40" s="229">
        <f t="shared" si="62"/>
        <v>0.13</v>
      </c>
      <c r="N40" s="229">
        <f t="shared" si="62"/>
        <v>0.13</v>
      </c>
      <c r="O40" s="229">
        <f t="shared" si="62"/>
        <v>0.13</v>
      </c>
      <c r="P40" s="229">
        <f t="shared" si="62"/>
        <v>0.13</v>
      </c>
      <c r="Q40" s="229">
        <f t="shared" si="62"/>
        <v>0.13</v>
      </c>
      <c r="R40" s="229">
        <f t="shared" si="62"/>
        <v>0.13</v>
      </c>
      <c r="S40" s="229">
        <f t="shared" si="62"/>
        <v>0.13</v>
      </c>
      <c r="T40" s="229">
        <f t="shared" si="4"/>
        <v>0.13</v>
      </c>
      <c r="U40" s="229">
        <f t="shared" si="5"/>
        <v>0.13</v>
      </c>
      <c r="V40" s="229">
        <f t="shared" si="6"/>
        <v>0.13</v>
      </c>
      <c r="W40" s="229">
        <f t="shared" si="7"/>
        <v>0.13</v>
      </c>
      <c r="X40" s="229">
        <f t="shared" si="8"/>
        <v>0.13</v>
      </c>
      <c r="Y40" s="229">
        <f t="shared" si="9"/>
        <v>0.13</v>
      </c>
      <c r="Z40" s="291">
        <f t="shared" si="10"/>
        <v>0.13</v>
      </c>
      <c r="AA40" s="300"/>
      <c r="AB40" s="191">
        <f t="shared" si="11"/>
        <v>0.13000000000000003</v>
      </c>
      <c r="AC40" s="139">
        <f t="shared" si="21"/>
        <v>0.10451122861875817</v>
      </c>
      <c r="AD40" s="132">
        <f t="shared" si="49"/>
        <v>51.939192296580778</v>
      </c>
      <c r="AE40" s="168">
        <f t="shared" si="22"/>
        <v>0.71408472596398376</v>
      </c>
      <c r="AF40" s="192">
        <f t="shared" si="23"/>
        <v>0</v>
      </c>
      <c r="AG40" s="192">
        <f t="shared" si="43"/>
        <v>3.0619626595736049</v>
      </c>
      <c r="AH40" s="192">
        <f t="shared" si="24"/>
        <v>0.8171726416256635</v>
      </c>
      <c r="AI40" s="168">
        <f t="shared" si="25"/>
        <v>2.9538901075412367</v>
      </c>
      <c r="AJ40" s="192">
        <f t="shared" si="26"/>
        <v>0.97384148619896471</v>
      </c>
      <c r="AK40" s="132">
        <f t="shared" si="27"/>
        <v>35.040433433025612</v>
      </c>
      <c r="AL40" s="192">
        <f t="shared" si="28"/>
        <v>0.4942366277187677</v>
      </c>
      <c r="AM40" s="192">
        <f t="shared" si="29"/>
        <v>0</v>
      </c>
      <c r="AN40" s="192">
        <f t="shared" si="44"/>
        <v>0</v>
      </c>
      <c r="AO40" s="192">
        <f t="shared" si="30"/>
        <v>0</v>
      </c>
      <c r="AS40" s="132">
        <f t="shared" si="31"/>
        <v>180233.82890076571</v>
      </c>
      <c r="AT40" s="132">
        <f t="shared" si="45"/>
        <v>20675.085359627839</v>
      </c>
      <c r="AU40" s="200" t="str">
        <f t="shared" si="32"/>
        <v>-</v>
      </c>
      <c r="AV40" s="132">
        <f t="shared" si="46"/>
        <v>1</v>
      </c>
      <c r="AW40" s="132">
        <f t="shared" si="33"/>
        <v>-448.47737289085808</v>
      </c>
      <c r="AX40" s="132">
        <f t="shared" si="34"/>
        <v>-79.358927854239937</v>
      </c>
      <c r="AY40" s="132">
        <f t="shared" si="18"/>
        <v>950364257.04801536</v>
      </c>
      <c r="AZ40" s="132">
        <f t="shared" si="35"/>
        <v>136248.42646625088</v>
      </c>
      <c r="BA40" s="167">
        <f t="shared" si="36"/>
        <v>1.7380600157408266E-2</v>
      </c>
      <c r="BB40" s="167">
        <f t="shared" si="37"/>
        <v>0.13183550416108805</v>
      </c>
      <c r="BC40" s="125">
        <f t="shared" si="38"/>
        <v>0.14125232588688005</v>
      </c>
      <c r="BD40" s="211">
        <f t="shared" si="39"/>
        <v>42445</v>
      </c>
      <c r="BE40" s="210">
        <v>0.99961675102314174</v>
      </c>
      <c r="BF40" s="209">
        <v>0.5</v>
      </c>
      <c r="BG40" s="209">
        <v>2.5</v>
      </c>
      <c r="BH40" s="210"/>
      <c r="BI40" s="209"/>
      <c r="BJ40" s="209"/>
      <c r="BL40" s="168"/>
      <c r="BN40" s="125">
        <f t="shared" si="47"/>
        <v>1.0714285714285714</v>
      </c>
      <c r="BP40" s="132">
        <f t="shared" si="40"/>
        <v>193107.67382224897</v>
      </c>
      <c r="BQ40" s="125">
        <f t="shared" si="41"/>
        <v>22151.877171029828</v>
      </c>
    </row>
    <row r="41" spans="1:69" ht="13.5" thickBot="1" x14ac:dyDescent="0.25">
      <c r="A41" s="213">
        <f t="shared" si="2"/>
        <v>42446</v>
      </c>
      <c r="B41" s="190">
        <f>VLOOKUP(A41,P_Q_obs!$A$4:$H$304,8,FALSE)</f>
        <v>929.17803163181395</v>
      </c>
      <c r="C41" s="168">
        <f t="shared" si="14"/>
        <v>2.1130631354135062E-2</v>
      </c>
      <c r="D41" s="198">
        <f t="shared" si="15"/>
        <v>0.14536378969377162</v>
      </c>
      <c r="E41" s="132">
        <f t="shared" si="16"/>
        <v>794.10919165361429</v>
      </c>
      <c r="F41" s="168">
        <f t="shared" si="19"/>
        <v>321.73633732982518</v>
      </c>
      <c r="G41" s="300"/>
      <c r="H41" s="127">
        <f>VLOOKUP(MONTH(A41),ETP_Parametros!$A$6:$D$17,4,FALSE)</f>
        <v>4.838709677419355</v>
      </c>
      <c r="I41" s="229">
        <f>VLOOKUP(A41,P_Q_obs!$A$4:$F$308,2,FALSE)*1</f>
        <v>0.06</v>
      </c>
      <c r="J41" s="229">
        <f t="shared" ref="J41:S41" si="63">I41</f>
        <v>0.06</v>
      </c>
      <c r="K41" s="229">
        <f t="shared" si="63"/>
        <v>0.06</v>
      </c>
      <c r="L41" s="229">
        <f t="shared" si="63"/>
        <v>0.06</v>
      </c>
      <c r="M41" s="229">
        <f t="shared" si="63"/>
        <v>0.06</v>
      </c>
      <c r="N41" s="229">
        <f t="shared" si="63"/>
        <v>0.06</v>
      </c>
      <c r="O41" s="229">
        <f t="shared" si="63"/>
        <v>0.06</v>
      </c>
      <c r="P41" s="229">
        <f t="shared" si="63"/>
        <v>0.06</v>
      </c>
      <c r="Q41" s="229">
        <f t="shared" si="63"/>
        <v>0.06</v>
      </c>
      <c r="R41" s="229">
        <f t="shared" si="63"/>
        <v>0.06</v>
      </c>
      <c r="S41" s="229">
        <f t="shared" si="63"/>
        <v>0.06</v>
      </c>
      <c r="T41" s="229">
        <f t="shared" si="4"/>
        <v>0.06</v>
      </c>
      <c r="U41" s="229">
        <f t="shared" si="5"/>
        <v>0.06</v>
      </c>
      <c r="V41" s="229">
        <f t="shared" si="6"/>
        <v>0.06</v>
      </c>
      <c r="W41" s="229">
        <f t="shared" si="7"/>
        <v>0.06</v>
      </c>
      <c r="X41" s="229">
        <f t="shared" si="8"/>
        <v>0.06</v>
      </c>
      <c r="Y41" s="229">
        <f t="shared" si="9"/>
        <v>0.06</v>
      </c>
      <c r="Z41" s="291">
        <f t="shared" si="10"/>
        <v>0.06</v>
      </c>
      <c r="AA41" s="300"/>
      <c r="AB41" s="191">
        <f t="shared" si="11"/>
        <v>6.0000000000000005E-2</v>
      </c>
      <c r="AC41" s="139">
        <f t="shared" si="21"/>
        <v>0.10893418164959043</v>
      </c>
      <c r="AD41" s="132">
        <f t="shared" si="49"/>
        <v>48.578206770718445</v>
      </c>
      <c r="AE41" s="168">
        <f t="shared" si="22"/>
        <v>0.6657053189848261</v>
      </c>
      <c r="AF41" s="192">
        <f t="shared" si="23"/>
        <v>0</v>
      </c>
      <c r="AG41" s="192">
        <f t="shared" si="43"/>
        <v>2.8630732040008615</v>
      </c>
      <c r="AH41" s="192">
        <f t="shared" si="24"/>
        <v>0.60684650351105829</v>
      </c>
      <c r="AI41" s="168">
        <f t="shared" si="25"/>
        <v>2.221502808729634</v>
      </c>
      <c r="AJ41" s="192">
        <f t="shared" si="26"/>
        <v>0.7323872988116028</v>
      </c>
      <c r="AK41" s="132">
        <f t="shared" si="27"/>
        <v>35.148446007216478</v>
      </c>
      <c r="AL41" s="192">
        <f t="shared" si="28"/>
        <v>0.49883392932018983</v>
      </c>
      <c r="AM41" s="192">
        <f t="shared" si="29"/>
        <v>0</v>
      </c>
      <c r="AN41" s="192">
        <f t="shared" si="44"/>
        <v>0</v>
      </c>
      <c r="AO41" s="192">
        <f t="shared" si="30"/>
        <v>0</v>
      </c>
      <c r="AS41" s="132">
        <f t="shared" si="31"/>
        <v>343426.7693255464</v>
      </c>
      <c r="AT41" s="132">
        <f t="shared" si="45"/>
        <v>18243.591533056508</v>
      </c>
      <c r="AU41" s="200" t="str">
        <f t="shared" si="32"/>
        <v>-</v>
      </c>
      <c r="AV41" s="132">
        <f t="shared" si="46"/>
        <v>0</v>
      </c>
      <c r="AW41" s="132">
        <f t="shared" si="33"/>
        <v>-601.24458142450703</v>
      </c>
      <c r="AX41" s="132">
        <f t="shared" si="34"/>
        <v>-665.3851809569029</v>
      </c>
      <c r="AY41" s="132">
        <f t="shared" si="18"/>
        <v>914575674.38080525</v>
      </c>
      <c r="AZ41" s="132">
        <f t="shared" si="35"/>
        <v>4114.0165083751808</v>
      </c>
      <c r="BA41" s="167">
        <f t="shared" si="36"/>
        <v>2.1130631354135062E-2</v>
      </c>
      <c r="BB41" s="167">
        <f t="shared" si="37"/>
        <v>0.14536378969377162</v>
      </c>
      <c r="BC41" s="125">
        <f t="shared" si="38"/>
        <v>0.16093848144667572</v>
      </c>
      <c r="BD41" s="211">
        <f t="shared" si="39"/>
        <v>42446</v>
      </c>
      <c r="BE41" s="210">
        <v>0.99888934154080911</v>
      </c>
      <c r="BF41" s="209">
        <v>0.5</v>
      </c>
      <c r="BG41" s="209">
        <v>2.5</v>
      </c>
      <c r="BH41" s="210"/>
      <c r="BI41" s="209"/>
      <c r="BJ41" s="209"/>
      <c r="BL41" s="168"/>
      <c r="BN41" s="125">
        <f t="shared" si="47"/>
        <v>1.1071428571428572</v>
      </c>
      <c r="BP41" s="132">
        <f t="shared" si="40"/>
        <v>380222.49461042637</v>
      </c>
      <c r="BQ41" s="125">
        <f t="shared" si="41"/>
        <v>20198.262054455419</v>
      </c>
    </row>
    <row r="42" spans="1:69" ht="13.5" thickBot="1" x14ac:dyDescent="0.25">
      <c r="A42" s="213">
        <f t="shared" si="2"/>
        <v>42447</v>
      </c>
      <c r="B42" s="190">
        <f>VLOOKUP(A42,P_Q_obs!$A$4:$H$304,8,FALSE)</f>
        <v>832.586682242763</v>
      </c>
      <c r="C42" s="168">
        <f t="shared" si="14"/>
        <v>1.6260528416143664E-2</v>
      </c>
      <c r="D42" s="198">
        <f t="shared" si="15"/>
        <v>0.12751677699872932</v>
      </c>
      <c r="E42" s="132">
        <f t="shared" si="16"/>
        <v>726.41791195110068</v>
      </c>
      <c r="F42" s="168">
        <f t="shared" si="19"/>
        <v>322.72809361252524</v>
      </c>
      <c r="G42" s="300"/>
      <c r="H42" s="127">
        <f>VLOOKUP(MONTH(A42),ETP_Parametros!$A$6:$D$17,4,FALSE)</f>
        <v>4.838709677419355</v>
      </c>
      <c r="I42" s="229">
        <f>VLOOKUP(A42,P_Q_obs!$A$4:$F$308,2,FALSE)*1</f>
        <v>0.1</v>
      </c>
      <c r="J42" s="229">
        <f t="shared" ref="J42:S42" si="64">I42</f>
        <v>0.1</v>
      </c>
      <c r="K42" s="229">
        <f t="shared" si="64"/>
        <v>0.1</v>
      </c>
      <c r="L42" s="229">
        <f t="shared" si="64"/>
        <v>0.1</v>
      </c>
      <c r="M42" s="229">
        <f t="shared" si="64"/>
        <v>0.1</v>
      </c>
      <c r="N42" s="229">
        <f t="shared" si="64"/>
        <v>0.1</v>
      </c>
      <c r="O42" s="229">
        <f t="shared" si="64"/>
        <v>0.1</v>
      </c>
      <c r="P42" s="229">
        <f t="shared" si="64"/>
        <v>0.1</v>
      </c>
      <c r="Q42" s="229">
        <f t="shared" si="64"/>
        <v>0.1</v>
      </c>
      <c r="R42" s="229">
        <f t="shared" si="64"/>
        <v>0.1</v>
      </c>
      <c r="S42" s="229">
        <f t="shared" si="64"/>
        <v>0.1</v>
      </c>
      <c r="T42" s="229">
        <f t="shared" si="4"/>
        <v>0.1</v>
      </c>
      <c r="U42" s="229">
        <f t="shared" si="5"/>
        <v>0.1</v>
      </c>
      <c r="V42" s="229">
        <f t="shared" si="6"/>
        <v>0.1</v>
      </c>
      <c r="W42" s="229">
        <f t="shared" si="7"/>
        <v>0.1</v>
      </c>
      <c r="X42" s="229">
        <f t="shared" si="8"/>
        <v>0.1</v>
      </c>
      <c r="Y42" s="229">
        <f t="shared" si="9"/>
        <v>0.1</v>
      </c>
      <c r="Z42" s="291">
        <f t="shared" si="10"/>
        <v>0.1</v>
      </c>
      <c r="AA42" s="300"/>
      <c r="AB42" s="191">
        <f t="shared" si="11"/>
        <v>9.9999999999999964E-2</v>
      </c>
      <c r="AC42" s="139">
        <f t="shared" si="21"/>
        <v>5.1415960175666218</v>
      </c>
      <c r="AD42" s="132">
        <f t="shared" si="49"/>
        <v>48.508648137464832</v>
      </c>
      <c r="AE42" s="168">
        <f t="shared" si="22"/>
        <v>0.62262752276455535</v>
      </c>
      <c r="AF42" s="192">
        <f t="shared" si="23"/>
        <v>0.30289153355843029</v>
      </c>
      <c r="AG42" s="192">
        <f t="shared" si="43"/>
        <v>4.4697379828153458</v>
      </c>
      <c r="AH42" s="192">
        <f t="shared" si="24"/>
        <v>0.43852513444645547</v>
      </c>
      <c r="AI42" s="168">
        <f t="shared" si="25"/>
        <v>1.8984961923319768</v>
      </c>
      <c r="AJ42" s="192">
        <f t="shared" si="26"/>
        <v>0.62589814995608728</v>
      </c>
      <c r="AK42" s="132">
        <f t="shared" si="27"/>
        <v>35.086599550518365</v>
      </c>
      <c r="AL42" s="192">
        <f t="shared" si="28"/>
        <v>0.50037159114456775</v>
      </c>
      <c r="AM42" s="192">
        <f t="shared" si="29"/>
        <v>0</v>
      </c>
      <c r="AN42" s="192">
        <f t="shared" si="44"/>
        <v>0</v>
      </c>
      <c r="AO42" s="192">
        <f t="shared" si="30"/>
        <v>0</v>
      </c>
      <c r="AS42" s="132">
        <f t="shared" si="31"/>
        <v>465966.79123153555</v>
      </c>
      <c r="AT42" s="132">
        <f t="shared" si="45"/>
        <v>11271.807785243762</v>
      </c>
      <c r="AU42" s="200" t="str">
        <f t="shared" si="32"/>
        <v>-</v>
      </c>
      <c r="AV42" s="132">
        <f t="shared" si="46"/>
        <v>-1</v>
      </c>
      <c r="AW42" s="132">
        <f t="shared" si="33"/>
        <v>-668.93586112702064</v>
      </c>
      <c r="AX42" s="132">
        <f t="shared" si="34"/>
        <v>-1348.0027834486168</v>
      </c>
      <c r="AY42" s="132">
        <f t="shared" si="18"/>
        <v>873754263.32700324</v>
      </c>
      <c r="AZ42" s="132">
        <f t="shared" si="35"/>
        <v>461131.88499132474</v>
      </c>
      <c r="BA42" s="167">
        <f t="shared" si="36"/>
        <v>1.6260528416143664E-2</v>
      </c>
      <c r="BB42" s="167">
        <f t="shared" si="37"/>
        <v>0.12751677699872932</v>
      </c>
      <c r="BC42" s="125">
        <f t="shared" si="38"/>
        <v>0.14573345942711924</v>
      </c>
      <c r="BD42" s="211">
        <f t="shared" si="39"/>
        <v>42447</v>
      </c>
      <c r="BE42" s="210">
        <v>1.8497569430878134</v>
      </c>
      <c r="BF42" s="209">
        <v>0.5</v>
      </c>
      <c r="BG42" s="209">
        <v>2.5</v>
      </c>
      <c r="BH42" s="210"/>
      <c r="BI42" s="209"/>
      <c r="BJ42" s="209"/>
      <c r="BL42" s="168"/>
      <c r="BN42" s="125">
        <f t="shared" si="47"/>
        <v>1.142857142857143</v>
      </c>
      <c r="BP42" s="132">
        <f t="shared" si="40"/>
        <v>532533.4756931836</v>
      </c>
      <c r="BQ42" s="125">
        <f t="shared" si="41"/>
        <v>12882.066040278587</v>
      </c>
    </row>
    <row r="43" spans="1:69" ht="13.5" thickBot="1" x14ac:dyDescent="0.25">
      <c r="A43" s="213">
        <f t="shared" si="2"/>
        <v>42448</v>
      </c>
      <c r="B43" s="190">
        <f>VLOOKUP(A43,P_Q_obs!$A$4:$H$304,8,FALSE)</f>
        <v>760.89026976625405</v>
      </c>
      <c r="C43" s="168">
        <f t="shared" si="14"/>
        <v>7.0971849222414083E-6</v>
      </c>
      <c r="D43" s="198">
        <f t="shared" si="15"/>
        <v>2.6640542265955114E-3</v>
      </c>
      <c r="E43" s="132">
        <f t="shared" si="16"/>
        <v>758.86321682710786</v>
      </c>
      <c r="F43" s="168">
        <f t="shared" si="19"/>
        <v>322.16022813526422</v>
      </c>
      <c r="G43" s="300"/>
      <c r="H43" s="127">
        <f>VLOOKUP(MONTH(A43),ETP_Parametros!$A$6:$D$17,4,FALSE)</f>
        <v>4.838709677419355</v>
      </c>
      <c r="I43" s="229">
        <f>VLOOKUP(A43,P_Q_obs!$A$4:$F$308,2,FALSE)*1</f>
        <v>12.71</v>
      </c>
      <c r="J43" s="229">
        <f t="shared" ref="J43:S43" si="65">I43</f>
        <v>12.71</v>
      </c>
      <c r="K43" s="229">
        <f t="shared" si="65"/>
        <v>12.71</v>
      </c>
      <c r="L43" s="229">
        <f t="shared" si="65"/>
        <v>12.71</v>
      </c>
      <c r="M43" s="229">
        <f t="shared" si="65"/>
        <v>12.71</v>
      </c>
      <c r="N43" s="229">
        <f t="shared" si="65"/>
        <v>12.71</v>
      </c>
      <c r="O43" s="229">
        <f t="shared" si="65"/>
        <v>12.71</v>
      </c>
      <c r="P43" s="229">
        <f t="shared" si="65"/>
        <v>12.71</v>
      </c>
      <c r="Q43" s="229">
        <f t="shared" si="65"/>
        <v>12.71</v>
      </c>
      <c r="R43" s="229">
        <f t="shared" si="65"/>
        <v>12.71</v>
      </c>
      <c r="S43" s="229">
        <f t="shared" si="65"/>
        <v>12.71</v>
      </c>
      <c r="T43" s="229">
        <f t="shared" si="4"/>
        <v>12.71</v>
      </c>
      <c r="U43" s="229">
        <f t="shared" si="5"/>
        <v>12.71</v>
      </c>
      <c r="V43" s="229">
        <f t="shared" si="6"/>
        <v>12.71</v>
      </c>
      <c r="W43" s="229">
        <f t="shared" si="7"/>
        <v>12.71</v>
      </c>
      <c r="X43" s="229">
        <f t="shared" si="8"/>
        <v>12.71</v>
      </c>
      <c r="Y43" s="229">
        <f t="shared" si="9"/>
        <v>12.71</v>
      </c>
      <c r="Z43" s="291">
        <f t="shared" si="10"/>
        <v>12.71</v>
      </c>
      <c r="AA43" s="300"/>
      <c r="AB43" s="191">
        <f t="shared" si="11"/>
        <v>12.710000000000003</v>
      </c>
      <c r="AC43" s="139">
        <f t="shared" si="21"/>
        <v>7.3898745664426038</v>
      </c>
      <c r="AD43" s="132">
        <f t="shared" si="49"/>
        <v>50.384844435865809</v>
      </c>
      <c r="AE43" s="168">
        <f t="shared" si="22"/>
        <v>0.62173598883630643</v>
      </c>
      <c r="AF43" s="192">
        <f t="shared" si="23"/>
        <v>0.83233947365300176</v>
      </c>
      <c r="AG43" s="192">
        <f t="shared" si="43"/>
        <v>4.2461086097452263</v>
      </c>
      <c r="AH43" s="192">
        <f t="shared" si="24"/>
        <v>0.43523018464339569</v>
      </c>
      <c r="AI43" s="168">
        <f t="shared" si="25"/>
        <v>2.0537524692191012</v>
      </c>
      <c r="AJ43" s="192">
        <f t="shared" si="26"/>
        <v>0.67708319676587769</v>
      </c>
      <c r="AK43" s="132">
        <f t="shared" si="27"/>
        <v>35.02233858720772</v>
      </c>
      <c r="AL43" s="192">
        <f t="shared" si="28"/>
        <v>0.49949114795403993</v>
      </c>
      <c r="AM43" s="192">
        <f t="shared" si="29"/>
        <v>0</v>
      </c>
      <c r="AN43" s="192">
        <f t="shared" si="44"/>
        <v>0</v>
      </c>
      <c r="AO43" s="192">
        <f t="shared" si="30"/>
        <v>0</v>
      </c>
      <c r="AS43" s="132">
        <f t="shared" si="31"/>
        <v>568989.63317748031</v>
      </c>
      <c r="AT43" s="132">
        <f t="shared" si="45"/>
        <v>4.1089436181011987</v>
      </c>
      <c r="AU43" s="200" t="str">
        <f t="shared" si="32"/>
        <v>-</v>
      </c>
      <c r="AV43" s="132">
        <f t="shared" si="46"/>
        <v>-2</v>
      </c>
      <c r="AW43" s="132">
        <f t="shared" si="33"/>
        <v>-636.49055625101346</v>
      </c>
      <c r="AX43" s="132">
        <f t="shared" si="34"/>
        <v>-2102.3167984168394</v>
      </c>
      <c r="AY43" s="132">
        <f t="shared" si="18"/>
        <v>829729212.20235348</v>
      </c>
      <c r="AZ43" s="132">
        <f t="shared" si="35"/>
        <v>2148646.5722219869</v>
      </c>
      <c r="BA43" s="167">
        <f t="shared" si="36"/>
        <v>7.0971849222414083E-6</v>
      </c>
      <c r="BB43" s="167">
        <f t="shared" si="37"/>
        <v>2.6640542265955114E-3</v>
      </c>
      <c r="BC43" s="125">
        <f t="shared" si="38"/>
        <v>3.1397781956304248E-3</v>
      </c>
      <c r="BD43" s="211">
        <f t="shared" si="39"/>
        <v>42448</v>
      </c>
      <c r="BE43" s="210">
        <v>1.4269005700983277</v>
      </c>
      <c r="BF43" s="209">
        <v>0.5</v>
      </c>
      <c r="BG43" s="209">
        <v>2.5</v>
      </c>
      <c r="BH43" s="210"/>
      <c r="BI43" s="209"/>
      <c r="BJ43" s="209"/>
      <c r="BL43" s="168"/>
      <c r="BN43" s="125">
        <f t="shared" si="47"/>
        <v>1.1785714285714288</v>
      </c>
      <c r="BP43" s="132">
        <f t="shared" si="40"/>
        <v>670594.92481631623</v>
      </c>
      <c r="BQ43" s="125">
        <f t="shared" si="41"/>
        <v>4.8426835499049856</v>
      </c>
    </row>
    <row r="44" spans="1:69" ht="13.5" thickBot="1" x14ac:dyDescent="0.25">
      <c r="A44" s="213">
        <f t="shared" si="2"/>
        <v>42449</v>
      </c>
      <c r="B44" s="190">
        <f>VLOOKUP(A44,P_Q_obs!$A$4:$H$304,8,FALSE)</f>
        <v>671.57040358134805</v>
      </c>
      <c r="C44" s="168">
        <f t="shared" si="14"/>
        <v>5.3499514772770264E-3</v>
      </c>
      <c r="D44" s="198">
        <f t="shared" si="15"/>
        <v>7.3143362496381217E-2</v>
      </c>
      <c r="E44" s="132">
        <f t="shared" si="16"/>
        <v>720.69132105233962</v>
      </c>
      <c r="F44" s="168">
        <f t="shared" si="19"/>
        <v>321.57019299747486</v>
      </c>
      <c r="G44" s="300"/>
      <c r="H44" s="127">
        <f>VLOOKUP(MONTH(A44),ETP_Parametros!$A$6:$D$17,4,FALSE)</f>
        <v>4.838709677419355</v>
      </c>
      <c r="I44" s="229">
        <f>VLOOKUP(A44,P_Q_obs!$A$4:$F$308,2,FALSE)*1</f>
        <v>2.7</v>
      </c>
      <c r="J44" s="229">
        <f t="shared" ref="J44:S44" si="66">I44</f>
        <v>2.7</v>
      </c>
      <c r="K44" s="229">
        <f t="shared" si="66"/>
        <v>2.7</v>
      </c>
      <c r="L44" s="229">
        <f t="shared" si="66"/>
        <v>2.7</v>
      </c>
      <c r="M44" s="229">
        <f t="shared" si="66"/>
        <v>2.7</v>
      </c>
      <c r="N44" s="229">
        <f t="shared" si="66"/>
        <v>2.7</v>
      </c>
      <c r="O44" s="229">
        <f t="shared" si="66"/>
        <v>2.7</v>
      </c>
      <c r="P44" s="229">
        <f t="shared" si="66"/>
        <v>2.7</v>
      </c>
      <c r="Q44" s="229">
        <f t="shared" si="66"/>
        <v>2.7</v>
      </c>
      <c r="R44" s="229">
        <f t="shared" si="66"/>
        <v>2.7</v>
      </c>
      <c r="S44" s="229">
        <f t="shared" si="66"/>
        <v>2.7</v>
      </c>
      <c r="T44" s="229">
        <f t="shared" si="4"/>
        <v>2.7</v>
      </c>
      <c r="U44" s="229">
        <f t="shared" si="5"/>
        <v>2.7</v>
      </c>
      <c r="V44" s="229">
        <f t="shared" si="6"/>
        <v>2.7</v>
      </c>
      <c r="W44" s="229">
        <f t="shared" si="7"/>
        <v>2.7</v>
      </c>
      <c r="X44" s="229">
        <f t="shared" si="8"/>
        <v>2.7</v>
      </c>
      <c r="Y44" s="229">
        <f t="shared" si="9"/>
        <v>2.7</v>
      </c>
      <c r="Z44" s="291">
        <f t="shared" si="10"/>
        <v>2.7</v>
      </c>
      <c r="AA44" s="300"/>
      <c r="AB44" s="191">
        <f t="shared" si="11"/>
        <v>2.6999999999999993</v>
      </c>
      <c r="AC44" s="139">
        <f t="shared" si="21"/>
        <v>5.7233457425335121</v>
      </c>
      <c r="AD44" s="132">
        <f t="shared" si="49"/>
        <v>50.893225430966929</v>
      </c>
      <c r="AE44" s="168">
        <f t="shared" si="22"/>
        <v>0.64578322176540603</v>
      </c>
      <c r="AF44" s="192">
        <f t="shared" si="23"/>
        <v>0.44207247304958253</v>
      </c>
      <c r="AG44" s="192">
        <f t="shared" si="43"/>
        <v>4.2461086097452263</v>
      </c>
      <c r="AH44" s="192">
        <f t="shared" si="24"/>
        <v>0.52678366463757542</v>
      </c>
      <c r="AI44" s="168">
        <f t="shared" si="25"/>
        <v>1.8770102872792656</v>
      </c>
      <c r="AJ44" s="192">
        <f t="shared" si="26"/>
        <v>0.61881465498941812</v>
      </c>
      <c r="AK44" s="132">
        <f t="shared" si="27"/>
        <v>35.05054591988209</v>
      </c>
      <c r="AL44" s="192">
        <f t="shared" si="28"/>
        <v>0.49857633196320983</v>
      </c>
      <c r="AM44" s="192">
        <f t="shared" si="29"/>
        <v>0</v>
      </c>
      <c r="AN44" s="192">
        <f t="shared" si="44"/>
        <v>0</v>
      </c>
      <c r="AO44" s="192">
        <f t="shared" si="30"/>
        <v>0</v>
      </c>
      <c r="AS44" s="132">
        <f t="shared" si="31"/>
        <v>711718.12542949151</v>
      </c>
      <c r="AT44" s="132">
        <f t="shared" si="45"/>
        <v>2412.8645331919652</v>
      </c>
      <c r="AU44" s="200" t="str">
        <f t="shared" si="32"/>
        <v>+</v>
      </c>
      <c r="AV44" s="132">
        <f t="shared" si="46"/>
        <v>-1</v>
      </c>
      <c r="AW44" s="132">
        <f t="shared" si="33"/>
        <v>-674.6624520257817</v>
      </c>
      <c r="AX44" s="132">
        <f t="shared" si="34"/>
        <v>-2945.9506795699681</v>
      </c>
      <c r="AY44" s="132">
        <f t="shared" si="18"/>
        <v>781839147.66406798</v>
      </c>
      <c r="AZ44" s="132">
        <f t="shared" si="35"/>
        <v>5158750.2125808103</v>
      </c>
      <c r="BA44" s="167">
        <f t="shared" si="36"/>
        <v>5.3499514772770264E-3</v>
      </c>
      <c r="BB44" s="167">
        <f t="shared" si="37"/>
        <v>7.3143362496381217E-2</v>
      </c>
      <c r="BC44" s="125">
        <f t="shared" si="38"/>
        <v>8.8816940174177211E-2</v>
      </c>
      <c r="BD44" s="211">
        <f t="shared" si="39"/>
        <v>42449</v>
      </c>
      <c r="BE44" s="210">
        <v>0.5</v>
      </c>
      <c r="BF44" s="209">
        <v>0.5</v>
      </c>
      <c r="BG44" s="209">
        <v>2.5</v>
      </c>
      <c r="BH44" s="210"/>
      <c r="BI44" s="209"/>
      <c r="BJ44" s="209"/>
      <c r="BL44" s="168"/>
      <c r="BN44" s="125">
        <f t="shared" si="47"/>
        <v>1.2142857142857146</v>
      </c>
      <c r="BP44" s="132">
        <f t="shared" si="40"/>
        <v>864229.15230723994</v>
      </c>
      <c r="BQ44" s="125">
        <f t="shared" si="41"/>
        <v>2929.9069331616729</v>
      </c>
    </row>
    <row r="45" spans="1:69" ht="13.5" thickBot="1" x14ac:dyDescent="0.25">
      <c r="A45" s="213">
        <f t="shared" si="2"/>
        <v>42450</v>
      </c>
      <c r="B45" s="190">
        <f>VLOOKUP(A45,P_Q_obs!$A$4:$H$304,8,FALSE)</f>
        <v>907.67806605403598</v>
      </c>
      <c r="C45" s="168">
        <f t="shared" si="14"/>
        <v>2.7171349160104145E-9</v>
      </c>
      <c r="D45" s="198">
        <f t="shared" si="15"/>
        <v>5.2126144265717701E-5</v>
      </c>
      <c r="E45" s="132">
        <f t="shared" si="16"/>
        <v>907.72537981185394</v>
      </c>
      <c r="F45" s="168">
        <f t="shared" si="19"/>
        <v>321.82918876354728</v>
      </c>
      <c r="G45" s="300"/>
      <c r="H45" s="127">
        <f>VLOOKUP(MONTH(A45),ETP_Parametros!$A$6:$D$17,4,FALSE)</f>
        <v>4.838709677419355</v>
      </c>
      <c r="I45" s="229">
        <f>VLOOKUP(A45,P_Q_obs!$A$4:$F$308,2,FALSE)*1</f>
        <v>24.95</v>
      </c>
      <c r="J45" s="229">
        <f t="shared" ref="J45:S45" si="67">I45</f>
        <v>24.95</v>
      </c>
      <c r="K45" s="229">
        <f t="shared" si="67"/>
        <v>24.95</v>
      </c>
      <c r="L45" s="229">
        <f t="shared" si="67"/>
        <v>24.95</v>
      </c>
      <c r="M45" s="229">
        <f t="shared" si="67"/>
        <v>24.95</v>
      </c>
      <c r="N45" s="229">
        <f t="shared" si="67"/>
        <v>24.95</v>
      </c>
      <c r="O45" s="229">
        <f t="shared" si="67"/>
        <v>24.95</v>
      </c>
      <c r="P45" s="229">
        <f t="shared" si="67"/>
        <v>24.95</v>
      </c>
      <c r="Q45" s="229">
        <f t="shared" si="67"/>
        <v>24.95</v>
      </c>
      <c r="R45" s="229">
        <f t="shared" si="67"/>
        <v>24.95</v>
      </c>
      <c r="S45" s="229">
        <f t="shared" si="67"/>
        <v>24.95</v>
      </c>
      <c r="T45" s="229">
        <f t="shared" si="4"/>
        <v>24.95</v>
      </c>
      <c r="U45" s="229">
        <f t="shared" si="5"/>
        <v>24.95</v>
      </c>
      <c r="V45" s="229">
        <f t="shared" si="6"/>
        <v>24.95</v>
      </c>
      <c r="W45" s="229">
        <f t="shared" si="7"/>
        <v>24.95</v>
      </c>
      <c r="X45" s="229">
        <f t="shared" si="8"/>
        <v>24.95</v>
      </c>
      <c r="Y45" s="229">
        <f t="shared" si="9"/>
        <v>24.95</v>
      </c>
      <c r="Z45" s="291">
        <f t="shared" si="10"/>
        <v>24.95</v>
      </c>
      <c r="AA45" s="300"/>
      <c r="AB45" s="191">
        <f t="shared" si="11"/>
        <v>24.95000000000001</v>
      </c>
      <c r="AC45" s="139">
        <f t="shared" si="21"/>
        <v>9.9126409843517127</v>
      </c>
      <c r="AD45" s="132">
        <f t="shared" si="49"/>
        <v>54.220432743800018</v>
      </c>
      <c r="AE45" s="168">
        <f t="shared" si="22"/>
        <v>0.65229914774625519</v>
      </c>
      <c r="AF45" s="192">
        <f t="shared" si="23"/>
        <v>1.7867755271303611</v>
      </c>
      <c r="AG45" s="192">
        <f t="shared" si="43"/>
        <v>4.2461086097452263</v>
      </c>
      <c r="AH45" s="192">
        <f t="shared" si="24"/>
        <v>0.55254953464303636</v>
      </c>
      <c r="AI45" s="168">
        <f t="shared" si="25"/>
        <v>2.7553870255754433</v>
      </c>
      <c r="AJ45" s="192">
        <f t="shared" si="26"/>
        <v>0.90839878883418324</v>
      </c>
      <c r="AK45" s="132">
        <f t="shared" ref="AK45:AK63" si="68">AK44-AL45+AH45</f>
        <v>35.104117564327183</v>
      </c>
      <c r="AL45" s="192">
        <f t="shared" si="28"/>
        <v>0.49897789019794148</v>
      </c>
      <c r="AM45" s="192">
        <f t="shared" si="29"/>
        <v>0</v>
      </c>
      <c r="AN45" s="192">
        <f t="shared" si="44"/>
        <v>0</v>
      </c>
      <c r="AO45" s="192">
        <f t="shared" si="30"/>
        <v>0</v>
      </c>
      <c r="AS45" s="132">
        <f t="shared" si="31"/>
        <v>369088.10638415493</v>
      </c>
      <c r="AT45" s="132">
        <f t="shared" si="45"/>
        <v>2.2385916788566014E-3</v>
      </c>
      <c r="AU45" s="200" t="str">
        <f t="shared" si="32"/>
        <v>+</v>
      </c>
      <c r="AV45" s="132">
        <f t="shared" si="46"/>
        <v>0</v>
      </c>
      <c r="AW45" s="132">
        <f t="shared" si="33"/>
        <v>-487.62839326626738</v>
      </c>
      <c r="AX45" s="132">
        <f t="shared" si="34"/>
        <v>-3553.4768982504092</v>
      </c>
      <c r="AY45" s="132">
        <f t="shared" si="18"/>
        <v>748233684.67653275</v>
      </c>
      <c r="AZ45" s="132">
        <f t="shared" si="35"/>
        <v>9399427.0555134993</v>
      </c>
      <c r="BA45" s="167">
        <f t="shared" si="36"/>
        <v>2.7171349160104145E-9</v>
      </c>
      <c r="BB45" s="167">
        <f t="shared" si="37"/>
        <v>5.2126144265717701E-5</v>
      </c>
      <c r="BC45" s="125">
        <f t="shared" si="38"/>
        <v>6.5157680332147145E-5</v>
      </c>
      <c r="BD45" s="211">
        <f t="shared" si="39"/>
        <v>42450</v>
      </c>
      <c r="BE45" s="210">
        <v>0.7121553316468977</v>
      </c>
      <c r="BF45" s="209">
        <v>0.5</v>
      </c>
      <c r="BG45" s="209">
        <v>2.5</v>
      </c>
      <c r="BH45" s="210"/>
      <c r="BI45" s="209"/>
      <c r="BJ45" s="209"/>
      <c r="BL45" s="168"/>
      <c r="BN45" s="125">
        <f t="shared" si="47"/>
        <v>1.2500000000000004</v>
      </c>
      <c r="BP45" s="132">
        <f t="shared" si="40"/>
        <v>461360.13298019383</v>
      </c>
      <c r="BQ45" s="125">
        <f t="shared" si="41"/>
        <v>2.798239598570753E-3</v>
      </c>
    </row>
    <row r="46" spans="1:69" ht="13.5" thickBot="1" x14ac:dyDescent="0.25">
      <c r="A46" s="213">
        <f t="shared" si="2"/>
        <v>42451</v>
      </c>
      <c r="B46" s="190">
        <f>VLOOKUP(A46,P_Q_obs!$A$4:$H$304,8,FALSE)</f>
        <v>2079.9068913917499</v>
      </c>
      <c r="C46" s="168">
        <f t="shared" si="14"/>
        <v>4.3467424753388476E-8</v>
      </c>
      <c r="D46" s="198">
        <f t="shared" si="15"/>
        <v>2.0848842834408934E-4</v>
      </c>
      <c r="E46" s="132">
        <f t="shared" si="16"/>
        <v>2080.3405279106382</v>
      </c>
      <c r="F46" s="168">
        <f t="shared" si="19"/>
        <v>322.32107607714011</v>
      </c>
      <c r="G46" s="300"/>
      <c r="H46" s="127">
        <f>VLOOKUP(MONTH(A46),ETP_Parametros!$A$6:$D$17,4,FALSE)</f>
        <v>4.838709677419355</v>
      </c>
      <c r="I46" s="229">
        <f>VLOOKUP(A46,P_Q_obs!$A$4:$F$308,2,FALSE)*1</f>
        <v>18.13</v>
      </c>
      <c r="J46" s="229">
        <f t="shared" ref="J46:S46" si="69">I46</f>
        <v>18.13</v>
      </c>
      <c r="K46" s="229">
        <f t="shared" si="69"/>
        <v>18.13</v>
      </c>
      <c r="L46" s="229">
        <f t="shared" si="69"/>
        <v>18.13</v>
      </c>
      <c r="M46" s="229">
        <f t="shared" si="69"/>
        <v>18.13</v>
      </c>
      <c r="N46" s="229">
        <f t="shared" si="69"/>
        <v>18.13</v>
      </c>
      <c r="O46" s="229">
        <f t="shared" si="69"/>
        <v>18.13</v>
      </c>
      <c r="P46" s="229">
        <f t="shared" si="69"/>
        <v>18.13</v>
      </c>
      <c r="Q46" s="229">
        <f t="shared" si="69"/>
        <v>18.13</v>
      </c>
      <c r="R46" s="229">
        <f t="shared" si="69"/>
        <v>18.13</v>
      </c>
      <c r="S46" s="229">
        <f t="shared" si="69"/>
        <v>18.13</v>
      </c>
      <c r="T46" s="229">
        <f t="shared" si="4"/>
        <v>18.13</v>
      </c>
      <c r="U46" s="229">
        <f t="shared" si="5"/>
        <v>18.13</v>
      </c>
      <c r="V46" s="229">
        <f t="shared" si="6"/>
        <v>18.13</v>
      </c>
      <c r="W46" s="229">
        <f t="shared" si="7"/>
        <v>18.13</v>
      </c>
      <c r="X46" s="229">
        <f t="shared" si="8"/>
        <v>18.13</v>
      </c>
      <c r="Y46" s="229">
        <f t="shared" si="9"/>
        <v>18.13</v>
      </c>
      <c r="Z46" s="291">
        <f t="shared" si="10"/>
        <v>18.13</v>
      </c>
      <c r="AA46" s="300"/>
      <c r="AB46" s="191">
        <f t="shared" si="11"/>
        <v>18.129999999999992</v>
      </c>
      <c r="AC46" s="139">
        <f t="shared" si="21"/>
        <v>20.714867868449449</v>
      </c>
      <c r="AD46" s="132">
        <f t="shared" si="49"/>
        <v>61.719885586194003</v>
      </c>
      <c r="AE46" s="168">
        <f t="shared" si="22"/>
        <v>0.69494400816053647</v>
      </c>
      <c r="AF46" s="192">
        <f t="shared" si="23"/>
        <v>8.2380395020134749</v>
      </c>
      <c r="AG46" s="192">
        <f t="shared" si="43"/>
        <v>4.2461086097452263</v>
      </c>
      <c r="AH46" s="192">
        <f t="shared" si="24"/>
        <v>0.73126691429675295</v>
      </c>
      <c r="AI46" s="168">
        <f t="shared" si="25"/>
        <v>8.2677171524603565</v>
      </c>
      <c r="AJ46" s="192">
        <f t="shared" si="26"/>
        <v>2.7257093751285622</v>
      </c>
      <c r="AK46" s="132">
        <f t="shared" si="68"/>
        <v>35.335643945065726</v>
      </c>
      <c r="AL46" s="192">
        <f t="shared" si="28"/>
        <v>0.49974053355821174</v>
      </c>
      <c r="AM46" s="192">
        <f t="shared" si="29"/>
        <v>0</v>
      </c>
      <c r="AN46" s="192">
        <f t="shared" si="44"/>
        <v>0</v>
      </c>
      <c r="AO46" s="192">
        <f t="shared" si="30"/>
        <v>0</v>
      </c>
      <c r="AS46" s="132">
        <f t="shared" si="31"/>
        <v>318889.03396551881</v>
      </c>
      <c r="AT46" s="132">
        <f t="shared" si="45"/>
        <v>0.18804063051356856</v>
      </c>
      <c r="AU46" s="200" t="str">
        <f t="shared" si="32"/>
        <v>+</v>
      </c>
      <c r="AV46" s="132">
        <f t="shared" si="46"/>
        <v>1</v>
      </c>
      <c r="AW46" s="132">
        <f t="shared" si="33"/>
        <v>684.98675483251691</v>
      </c>
      <c r="AX46" s="132">
        <f t="shared" si="34"/>
        <v>-2988.7742915931362</v>
      </c>
      <c r="AY46" s="132">
        <f t="shared" si="18"/>
        <v>779446166.3722111</v>
      </c>
      <c r="AZ46" s="132">
        <f t="shared" si="35"/>
        <v>13496520.226234511</v>
      </c>
      <c r="BA46" s="167">
        <f t="shared" si="36"/>
        <v>4.3467424753388476E-8</v>
      </c>
      <c r="BB46" s="167">
        <f t="shared" si="37"/>
        <v>2.0848842834408934E-4</v>
      </c>
      <c r="BC46" s="125">
        <f t="shared" si="38"/>
        <v>2.6805655072811499E-4</v>
      </c>
      <c r="BD46" s="211">
        <f t="shared" si="39"/>
        <v>42451</v>
      </c>
      <c r="BE46" s="210">
        <v>1.2138769526047035</v>
      </c>
      <c r="BF46" s="209">
        <v>0.5</v>
      </c>
      <c r="BG46" s="209">
        <v>2.5</v>
      </c>
      <c r="BH46" s="210"/>
      <c r="BI46" s="209"/>
      <c r="BJ46" s="209"/>
      <c r="BL46" s="168"/>
      <c r="BN46" s="125">
        <f t="shared" si="47"/>
        <v>1.2857142857142863</v>
      </c>
      <c r="BP46" s="132">
        <f t="shared" si="40"/>
        <v>410000.18652709579</v>
      </c>
      <c r="BQ46" s="125">
        <f t="shared" si="41"/>
        <v>0.24176652494601683</v>
      </c>
    </row>
    <row r="47" spans="1:69" ht="13.5" thickBot="1" x14ac:dyDescent="0.25">
      <c r="A47" s="213">
        <f t="shared" si="2"/>
        <v>42452</v>
      </c>
      <c r="B47" s="190">
        <f>VLOOKUP(A47,P_Q_obs!$A$4:$H$304,8,FALSE)</f>
        <v>2114</v>
      </c>
      <c r="C47" s="168">
        <f t="shared" si="14"/>
        <v>4.1305152598087024E-4</v>
      </c>
      <c r="D47" s="198">
        <f t="shared" si="15"/>
        <v>2.0323669107247103E-2</v>
      </c>
      <c r="E47" s="132">
        <f t="shared" si="16"/>
        <v>2071.0357635072796</v>
      </c>
      <c r="F47" s="168">
        <f t="shared" si="19"/>
        <v>324.4469187804396</v>
      </c>
      <c r="G47" s="300"/>
      <c r="H47" s="127">
        <f>VLOOKUP(MONTH(A47),ETP_Parametros!$A$6:$D$17,4,FALSE)</f>
        <v>4.838709677419355</v>
      </c>
      <c r="I47" s="229">
        <f>VLOOKUP(A47,P_Q_obs!$A$4:$F$308,2,FALSE)*1</f>
        <v>0.83</v>
      </c>
      <c r="J47" s="229">
        <f t="shared" ref="J47:S47" si="70">I47</f>
        <v>0.83</v>
      </c>
      <c r="K47" s="229">
        <f t="shared" si="70"/>
        <v>0.83</v>
      </c>
      <c r="L47" s="229">
        <f t="shared" si="70"/>
        <v>0.83</v>
      </c>
      <c r="M47" s="229">
        <f t="shared" si="70"/>
        <v>0.83</v>
      </c>
      <c r="N47" s="229">
        <f t="shared" si="70"/>
        <v>0.83</v>
      </c>
      <c r="O47" s="229">
        <f t="shared" si="70"/>
        <v>0.83</v>
      </c>
      <c r="P47" s="229">
        <f t="shared" si="70"/>
        <v>0.83</v>
      </c>
      <c r="Q47" s="229">
        <f t="shared" si="70"/>
        <v>0.83</v>
      </c>
      <c r="R47" s="229">
        <f t="shared" si="70"/>
        <v>0.83</v>
      </c>
      <c r="S47" s="229">
        <f t="shared" si="70"/>
        <v>0.83</v>
      </c>
      <c r="T47" s="229">
        <f t="shared" si="4"/>
        <v>0.83</v>
      </c>
      <c r="U47" s="229">
        <f t="shared" si="5"/>
        <v>0.83</v>
      </c>
      <c r="V47" s="229">
        <f t="shared" si="6"/>
        <v>0.83</v>
      </c>
      <c r="W47" s="229">
        <f t="shared" si="7"/>
        <v>0.83</v>
      </c>
      <c r="X47" s="229">
        <f t="shared" si="8"/>
        <v>0.83</v>
      </c>
      <c r="Y47" s="229">
        <f t="shared" si="9"/>
        <v>0.83</v>
      </c>
      <c r="Z47" s="291">
        <f t="shared" si="10"/>
        <v>0.83</v>
      </c>
      <c r="AA47" s="300"/>
      <c r="AB47" s="191">
        <f t="shared" si="11"/>
        <v>0.83</v>
      </c>
      <c r="AC47" s="139">
        <f t="shared" si="21"/>
        <v>10.037475437603732</v>
      </c>
      <c r="AD47" s="132">
        <f t="shared" si="49"/>
        <v>63.658752726771958</v>
      </c>
      <c r="AE47" s="168">
        <f t="shared" si="22"/>
        <v>0.79106459506050264</v>
      </c>
      <c r="AF47" s="192">
        <f t="shared" si="23"/>
        <v>2.6542303370202398</v>
      </c>
      <c r="AG47" s="192">
        <f t="shared" si="43"/>
        <v>4.2461086097452263</v>
      </c>
      <c r="AH47" s="192">
        <f t="shared" si="24"/>
        <v>1.1982693502603114</v>
      </c>
      <c r="AI47" s="168">
        <f t="shared" si="25"/>
        <v>8.2139606218712391</v>
      </c>
      <c r="AJ47" s="192">
        <f t="shared" si="26"/>
        <v>2.7079868676093568</v>
      </c>
      <c r="AK47" s="132">
        <f t="shared" si="68"/>
        <v>36.030876763318894</v>
      </c>
      <c r="AL47" s="192">
        <f t="shared" si="28"/>
        <v>0.50303653200714182</v>
      </c>
      <c r="AM47" s="192">
        <f t="shared" si="29"/>
        <v>0</v>
      </c>
      <c r="AN47" s="192">
        <f t="shared" si="44"/>
        <v>0</v>
      </c>
      <c r="AO47" s="192">
        <f t="shared" si="30"/>
        <v>0</v>
      </c>
      <c r="AS47" s="132">
        <f t="shared" si="31"/>
        <v>358556.30862034939</v>
      </c>
      <c r="AT47" s="132">
        <f t="shared" si="45"/>
        <v>1845.9256174024051</v>
      </c>
      <c r="AU47" s="200" t="str">
        <f t="shared" si="32"/>
        <v>-</v>
      </c>
      <c r="AV47" s="132">
        <f t="shared" si="46"/>
        <v>0</v>
      </c>
      <c r="AW47" s="132">
        <f t="shared" si="33"/>
        <v>675.6819904291583</v>
      </c>
      <c r="AX47" s="132">
        <f t="shared" si="34"/>
        <v>-2389.9785763276132</v>
      </c>
      <c r="AY47" s="132">
        <f t="shared" si="18"/>
        <v>813239754.61936593</v>
      </c>
      <c r="AZ47" s="132">
        <f t="shared" si="35"/>
        <v>9398274.7105674483</v>
      </c>
      <c r="BA47" s="167">
        <f t="shared" si="36"/>
        <v>4.1305152598087024E-4</v>
      </c>
      <c r="BB47" s="167">
        <f t="shared" si="37"/>
        <v>2.0323669107247103E-2</v>
      </c>
      <c r="BC47" s="125">
        <f t="shared" si="38"/>
        <v>2.6856277034576541E-2</v>
      </c>
      <c r="BD47" s="211">
        <f t="shared" si="39"/>
        <v>42452</v>
      </c>
      <c r="BE47" s="210">
        <v>1.3002196222233573</v>
      </c>
      <c r="BF47" s="209">
        <v>0.5</v>
      </c>
      <c r="BG47" s="209">
        <v>2.5</v>
      </c>
      <c r="BH47" s="210"/>
      <c r="BI47" s="209"/>
      <c r="BJ47" s="209"/>
      <c r="BL47" s="168"/>
      <c r="BN47" s="125">
        <f t="shared" si="47"/>
        <v>1.3214285714285721</v>
      </c>
      <c r="BP47" s="132">
        <f t="shared" si="40"/>
        <v>473806.55067689047</v>
      </c>
      <c r="BQ47" s="125">
        <f t="shared" si="41"/>
        <v>2439.2588515674652</v>
      </c>
    </row>
    <row r="48" spans="1:69" ht="13.5" thickBot="1" x14ac:dyDescent="0.25">
      <c r="A48" s="213">
        <f t="shared" si="2"/>
        <v>42453</v>
      </c>
      <c r="B48" s="190">
        <f>VLOOKUP(A48,P_Q_obs!$A$4:$H$304,8,FALSE)</f>
        <v>1609</v>
      </c>
      <c r="C48" s="168">
        <f t="shared" si="14"/>
        <v>5.0946550383645949E-4</v>
      </c>
      <c r="D48" s="198">
        <f t="shared" si="15"/>
        <v>2.2571342535092135E-2</v>
      </c>
      <c r="E48" s="132">
        <f t="shared" si="16"/>
        <v>1645.3172901389632</v>
      </c>
      <c r="F48" s="168">
        <f t="shared" si="19"/>
        <v>330.8304488518869</v>
      </c>
      <c r="G48" s="300"/>
      <c r="H48" s="127">
        <f>VLOOKUP(MONTH(A48),ETP_Parametros!$A$6:$D$17,4,FALSE)</f>
        <v>4.838709677419355</v>
      </c>
      <c r="I48" s="229">
        <f>VLOOKUP(A48,P_Q_obs!$A$4:$F$308,2,FALSE)*1</f>
        <v>0.12</v>
      </c>
      <c r="J48" s="229">
        <f t="shared" ref="J48:S48" si="71">I48</f>
        <v>0.12</v>
      </c>
      <c r="K48" s="229">
        <f t="shared" si="71"/>
        <v>0.12</v>
      </c>
      <c r="L48" s="229">
        <f t="shared" si="71"/>
        <v>0.12</v>
      </c>
      <c r="M48" s="229">
        <f t="shared" si="71"/>
        <v>0.12</v>
      </c>
      <c r="N48" s="229">
        <f t="shared" si="71"/>
        <v>0.12</v>
      </c>
      <c r="O48" s="229">
        <f t="shared" si="71"/>
        <v>0.12</v>
      </c>
      <c r="P48" s="229">
        <f t="shared" si="71"/>
        <v>0.12</v>
      </c>
      <c r="Q48" s="229">
        <f t="shared" si="71"/>
        <v>0.12</v>
      </c>
      <c r="R48" s="229">
        <f t="shared" si="71"/>
        <v>0.12</v>
      </c>
      <c r="S48" s="229">
        <f t="shared" si="71"/>
        <v>0.12</v>
      </c>
      <c r="T48" s="229">
        <f t="shared" si="4"/>
        <v>0.12</v>
      </c>
      <c r="U48" s="229">
        <f t="shared" si="5"/>
        <v>0.12</v>
      </c>
      <c r="V48" s="229">
        <f t="shared" si="6"/>
        <v>0.12</v>
      </c>
      <c r="W48" s="229">
        <f t="shared" si="7"/>
        <v>0.12</v>
      </c>
      <c r="X48" s="229">
        <f t="shared" si="8"/>
        <v>0.12</v>
      </c>
      <c r="Y48" s="229">
        <f t="shared" si="9"/>
        <v>0.12</v>
      </c>
      <c r="Z48" s="291">
        <f t="shared" si="10"/>
        <v>0.12</v>
      </c>
      <c r="AA48" s="300"/>
      <c r="AB48" s="191">
        <f t="shared" si="11"/>
        <v>0.12000000000000001</v>
      </c>
      <c r="AC48" s="139">
        <f t="shared" si="21"/>
        <v>2.2946317768124884</v>
      </c>
      <c r="AD48" s="132">
        <f t="shared" si="49"/>
        <v>60.728211065557218</v>
      </c>
      <c r="AE48" s="168">
        <f t="shared" si="22"/>
        <v>0.81591508100794419</v>
      </c>
      <c r="AF48" s="192">
        <f t="shared" si="23"/>
        <v>5.9225518335614255E-3</v>
      </c>
      <c r="AG48" s="192">
        <f t="shared" si="43"/>
        <v>3.885780902565422</v>
      </c>
      <c r="AH48" s="192">
        <f t="shared" si="24"/>
        <v>1.3334699836282446</v>
      </c>
      <c r="AI48" s="168">
        <f t="shared" si="25"/>
        <v>6.1818459363792542</v>
      </c>
      <c r="AJ48" s="192">
        <f t="shared" si="26"/>
        <v>2.0380372373255464</v>
      </c>
      <c r="AK48" s="132">
        <f t="shared" si="68"/>
        <v>36.851412913892489</v>
      </c>
      <c r="AL48" s="192">
        <f t="shared" si="28"/>
        <v>0.51293383305464291</v>
      </c>
      <c r="AM48" s="192">
        <f t="shared" si="29"/>
        <v>0</v>
      </c>
      <c r="AN48" s="192">
        <f t="shared" si="44"/>
        <v>0</v>
      </c>
      <c r="AO48" s="192">
        <f t="shared" si="30"/>
        <v>0</v>
      </c>
      <c r="AS48" s="132">
        <f t="shared" si="31"/>
        <v>8797.6362021710811</v>
      </c>
      <c r="AT48" s="132">
        <f t="shared" si="45"/>
        <v>1318.9455630376369</v>
      </c>
      <c r="AU48" s="200" t="str">
        <f t="shared" si="32"/>
        <v>+</v>
      </c>
      <c r="AV48" s="132">
        <f t="shared" si="46"/>
        <v>1</v>
      </c>
      <c r="AW48" s="132">
        <f t="shared" si="33"/>
        <v>249.96351706084192</v>
      </c>
      <c r="AX48" s="132">
        <f t="shared" si="34"/>
        <v>-2296.1828610620901</v>
      </c>
      <c r="AY48" s="132">
        <f t="shared" si="18"/>
        <v>818598164.39339042</v>
      </c>
      <c r="AZ48" s="132">
        <f t="shared" si="35"/>
        <v>6482861.3788285255</v>
      </c>
      <c r="BA48" s="167">
        <f t="shared" si="36"/>
        <v>5.0946550383645949E-4</v>
      </c>
      <c r="BB48" s="167">
        <f t="shared" si="37"/>
        <v>2.2571342535092135E-2</v>
      </c>
      <c r="BC48" s="125">
        <f t="shared" si="38"/>
        <v>3.0632536297625058E-2</v>
      </c>
      <c r="BD48" s="211">
        <f t="shared" si="39"/>
        <v>42453</v>
      </c>
      <c r="BE48" s="210">
        <v>0.52412599208313893</v>
      </c>
      <c r="BF48" s="209">
        <v>0.5</v>
      </c>
      <c r="BG48" s="209">
        <v>2.5</v>
      </c>
      <c r="BH48" s="210"/>
      <c r="BI48" s="209"/>
      <c r="BJ48" s="209"/>
      <c r="BL48" s="168"/>
      <c r="BN48" s="125">
        <f t="shared" si="47"/>
        <v>1.3571428571428579</v>
      </c>
      <c r="BP48" s="132">
        <f t="shared" si="40"/>
        <v>11939.649131517903</v>
      </c>
      <c r="BQ48" s="125">
        <f t="shared" si="41"/>
        <v>1789.997549836794</v>
      </c>
    </row>
    <row r="49" spans="1:69" ht="13.5" thickBot="1" x14ac:dyDescent="0.25">
      <c r="A49" s="213">
        <f t="shared" si="2"/>
        <v>42454</v>
      </c>
      <c r="B49" s="190">
        <f>VLOOKUP(A49,P_Q_obs!$A$4:$H$304,8,FALSE)</f>
        <v>1553</v>
      </c>
      <c r="C49" s="168">
        <f t="shared" si="14"/>
        <v>5.1087885363734239E-8</v>
      </c>
      <c r="D49" s="198">
        <f t="shared" si="15"/>
        <v>2.2602629352297542E-4</v>
      </c>
      <c r="E49" s="132">
        <f t="shared" si="16"/>
        <v>1553.3510188338412</v>
      </c>
      <c r="F49" s="168">
        <f t="shared" si="19"/>
        <v>338.36449651818793</v>
      </c>
      <c r="G49" s="300"/>
      <c r="H49" s="127">
        <f>VLOOKUP(MONTH(A49),ETP_Parametros!$A$6:$D$17,4,FALSE)</f>
        <v>4.838709677419355</v>
      </c>
      <c r="I49" s="229">
        <f>VLOOKUP(A49,P_Q_obs!$A$4:$F$308,2,FALSE)*1</f>
        <v>16.02</v>
      </c>
      <c r="J49" s="229">
        <f t="shared" ref="J49:S49" si="72">I49</f>
        <v>16.02</v>
      </c>
      <c r="K49" s="229">
        <f t="shared" si="72"/>
        <v>16.02</v>
      </c>
      <c r="L49" s="229">
        <f t="shared" si="72"/>
        <v>16.02</v>
      </c>
      <c r="M49" s="229">
        <f t="shared" si="72"/>
        <v>16.02</v>
      </c>
      <c r="N49" s="229">
        <f t="shared" si="72"/>
        <v>16.02</v>
      </c>
      <c r="O49" s="229">
        <f t="shared" si="72"/>
        <v>16.02</v>
      </c>
      <c r="P49" s="229">
        <f t="shared" si="72"/>
        <v>16.02</v>
      </c>
      <c r="Q49" s="229">
        <f t="shared" si="72"/>
        <v>16.02</v>
      </c>
      <c r="R49" s="229">
        <f t="shared" si="72"/>
        <v>16.02</v>
      </c>
      <c r="S49" s="229">
        <f t="shared" si="72"/>
        <v>16.02</v>
      </c>
      <c r="T49" s="229">
        <f t="shared" si="4"/>
        <v>16.02</v>
      </c>
      <c r="U49" s="229">
        <f t="shared" si="5"/>
        <v>16.02</v>
      </c>
      <c r="V49" s="229">
        <f t="shared" si="6"/>
        <v>16.02</v>
      </c>
      <c r="W49" s="229">
        <f t="shared" si="7"/>
        <v>16.02</v>
      </c>
      <c r="X49" s="229">
        <f t="shared" si="8"/>
        <v>16.02</v>
      </c>
      <c r="Y49" s="229">
        <f t="shared" si="9"/>
        <v>16.02</v>
      </c>
      <c r="Z49" s="291">
        <f t="shared" si="10"/>
        <v>16.02</v>
      </c>
      <c r="AA49" s="300"/>
      <c r="AB49" s="191">
        <f t="shared" si="11"/>
        <v>16.020000000000003</v>
      </c>
      <c r="AC49" s="139">
        <f t="shared" si="21"/>
        <v>7.7064400084301132</v>
      </c>
      <c r="AD49" s="132">
        <f t="shared" si="49"/>
        <v>61.6412955633675</v>
      </c>
      <c r="AE49" s="168">
        <f t="shared" si="22"/>
        <v>0.77835428953014318</v>
      </c>
      <c r="AF49" s="192">
        <f t="shared" si="23"/>
        <v>1.4158316952064365</v>
      </c>
      <c r="AG49" s="192">
        <f t="shared" si="43"/>
        <v>4.2461086097452263</v>
      </c>
      <c r="AH49" s="192">
        <f t="shared" si="24"/>
        <v>1.131415205668163</v>
      </c>
      <c r="AI49" s="168">
        <f t="shared" si="25"/>
        <v>5.7139099912010867</v>
      </c>
      <c r="AJ49" s="192">
        <f t="shared" si="26"/>
        <v>1.883767640384604</v>
      </c>
      <c r="AK49" s="132">
        <f t="shared" si="68"/>
        <v>37.458213173230902</v>
      </c>
      <c r="AL49" s="192">
        <f t="shared" si="28"/>
        <v>0.52461494632974626</v>
      </c>
      <c r="AM49" s="192">
        <f t="shared" si="29"/>
        <v>0</v>
      </c>
      <c r="AN49" s="192">
        <f t="shared" si="44"/>
        <v>0</v>
      </c>
      <c r="AO49" s="192">
        <f t="shared" si="30"/>
        <v>0</v>
      </c>
      <c r="AS49" s="132">
        <f t="shared" si="31"/>
        <v>1428.5160924324948</v>
      </c>
      <c r="AT49" s="132">
        <f t="shared" si="45"/>
        <v>0.12321422171122251</v>
      </c>
      <c r="AU49" s="200" t="str">
        <f t="shared" si="32"/>
        <v>+</v>
      </c>
      <c r="AV49" s="132">
        <f t="shared" si="46"/>
        <v>2</v>
      </c>
      <c r="AW49" s="132">
        <f t="shared" si="33"/>
        <v>157.99724575571986</v>
      </c>
      <c r="AX49" s="132">
        <f t="shared" si="34"/>
        <v>-2258.387145796567</v>
      </c>
      <c r="AY49" s="132">
        <f t="shared" si="18"/>
        <v>820762351.01067817</v>
      </c>
      <c r="AZ49" s="132">
        <f t="shared" si="35"/>
        <v>5838913.5277375141</v>
      </c>
      <c r="BA49" s="167">
        <f t="shared" si="36"/>
        <v>5.1087885363734239E-8</v>
      </c>
      <c r="BB49" s="167">
        <f t="shared" si="37"/>
        <v>2.2602629352297542E-4</v>
      </c>
      <c r="BC49" s="125">
        <f t="shared" si="38"/>
        <v>3.1482233740700167E-4</v>
      </c>
      <c r="BD49" s="211">
        <f t="shared" si="39"/>
        <v>42454</v>
      </c>
      <c r="BE49" s="210">
        <v>0.53899338279602382</v>
      </c>
      <c r="BF49" s="209">
        <v>0.5</v>
      </c>
      <c r="BG49" s="209">
        <v>2.5</v>
      </c>
      <c r="BH49" s="210"/>
      <c r="BI49" s="209"/>
      <c r="BJ49" s="209"/>
      <c r="BL49" s="168"/>
      <c r="BN49" s="125">
        <f t="shared" si="47"/>
        <v>1.3928571428571437</v>
      </c>
      <c r="BP49" s="132">
        <f t="shared" si="40"/>
        <v>1989.7188430309761</v>
      </c>
      <c r="BQ49" s="125">
        <f t="shared" si="41"/>
        <v>0.17161980881206002</v>
      </c>
    </row>
    <row r="50" spans="1:69" ht="13.5" thickBot="1" x14ac:dyDescent="0.25">
      <c r="A50" s="213">
        <f t="shared" si="2"/>
        <v>42455</v>
      </c>
      <c r="B50" s="190">
        <f>VLOOKUP(A50,P_Q_obs!$A$4:$H$304,8,FALSE)</f>
        <v>2283</v>
      </c>
      <c r="C50" s="168">
        <f t="shared" si="14"/>
        <v>2.7338842962315241E-11</v>
      </c>
      <c r="D50" s="198">
        <f t="shared" si="15"/>
        <v>5.228655942239386E-6</v>
      </c>
      <c r="E50" s="132">
        <f t="shared" si="16"/>
        <v>2283.0119370215161</v>
      </c>
      <c r="F50" s="168">
        <f t="shared" si="19"/>
        <v>343.93605125661549</v>
      </c>
      <c r="G50" s="300"/>
      <c r="H50" s="127">
        <f>VLOOKUP(MONTH(A50),ETP_Parametros!$A$6:$D$17,4,FALSE)</f>
        <v>4.838709677419355</v>
      </c>
      <c r="I50" s="229">
        <f>VLOOKUP(A50,P_Q_obs!$A$4:$F$308,2,FALSE)*1</f>
        <v>37.82</v>
      </c>
      <c r="J50" s="229">
        <f t="shared" ref="J50:S50" si="73">I50</f>
        <v>37.82</v>
      </c>
      <c r="K50" s="229">
        <f t="shared" si="73"/>
        <v>37.82</v>
      </c>
      <c r="L50" s="229">
        <f t="shared" si="73"/>
        <v>37.82</v>
      </c>
      <c r="M50" s="229">
        <f t="shared" si="73"/>
        <v>37.82</v>
      </c>
      <c r="N50" s="229">
        <f t="shared" si="73"/>
        <v>37.82</v>
      </c>
      <c r="O50" s="229">
        <f t="shared" si="73"/>
        <v>37.82</v>
      </c>
      <c r="P50" s="229">
        <f t="shared" si="73"/>
        <v>37.82</v>
      </c>
      <c r="Q50" s="229">
        <f t="shared" si="73"/>
        <v>37.82</v>
      </c>
      <c r="R50" s="229">
        <f t="shared" si="73"/>
        <v>37.82</v>
      </c>
      <c r="S50" s="229">
        <f t="shared" si="73"/>
        <v>37.82</v>
      </c>
      <c r="T50" s="229">
        <f t="shared" si="4"/>
        <v>37.82</v>
      </c>
      <c r="U50" s="229">
        <f t="shared" si="5"/>
        <v>37.82</v>
      </c>
      <c r="V50" s="229">
        <f t="shared" si="6"/>
        <v>37.82</v>
      </c>
      <c r="W50" s="229">
        <f t="shared" si="7"/>
        <v>37.82</v>
      </c>
      <c r="X50" s="229">
        <f t="shared" si="8"/>
        <v>37.82</v>
      </c>
      <c r="Y50" s="229">
        <f t="shared" si="9"/>
        <v>37.82</v>
      </c>
      <c r="Z50" s="291">
        <f t="shared" si="10"/>
        <v>37.82</v>
      </c>
      <c r="AA50" s="300"/>
      <c r="AB50" s="191">
        <f t="shared" si="11"/>
        <v>37.819999999999979</v>
      </c>
      <c r="AC50" s="139">
        <f t="shared" si="21"/>
        <v>15.943710435198005</v>
      </c>
      <c r="AD50" s="132">
        <f t="shared" si="49"/>
        <v>65.734265843106471</v>
      </c>
      <c r="AE50" s="168">
        <f t="shared" si="22"/>
        <v>0.7900573056918887</v>
      </c>
      <c r="AF50" s="192">
        <f t="shared" si="23"/>
        <v>6.4117170940643948</v>
      </c>
      <c r="AG50" s="192">
        <f t="shared" si="43"/>
        <v>4.2461086097452263</v>
      </c>
      <c r="AH50" s="192">
        <f t="shared" si="24"/>
        <v>1.1929144516494101</v>
      </c>
      <c r="AI50" s="168">
        <f t="shared" si="25"/>
        <v>9.1191999860642561</v>
      </c>
      <c r="AJ50" s="192">
        <f t="shared" si="26"/>
        <v>3.0064270992012245</v>
      </c>
      <c r="AK50" s="132">
        <f t="shared" si="68"/>
        <v>38.117874299169301</v>
      </c>
      <c r="AL50" s="192">
        <f t="shared" si="28"/>
        <v>0.53325332571100703</v>
      </c>
      <c r="AM50" s="192">
        <f t="shared" si="29"/>
        <v>0</v>
      </c>
      <c r="AN50" s="192">
        <f t="shared" si="44"/>
        <v>0</v>
      </c>
      <c r="AO50" s="192">
        <f t="shared" si="30"/>
        <v>0</v>
      </c>
      <c r="AS50" s="132">
        <f t="shared" si="31"/>
        <v>589510.26038009615</v>
      </c>
      <c r="AT50" s="132">
        <f t="shared" si="45"/>
        <v>1.4249248267661068E-4</v>
      </c>
      <c r="AU50" s="200" t="str">
        <f t="shared" si="32"/>
        <v>+</v>
      </c>
      <c r="AV50" s="132">
        <f t="shared" si="46"/>
        <v>3</v>
      </c>
      <c r="AW50" s="132">
        <f t="shared" si="33"/>
        <v>887.65816394339481</v>
      </c>
      <c r="AX50" s="132">
        <f t="shared" si="34"/>
        <v>-1490.5914305310439</v>
      </c>
      <c r="AY50" s="132">
        <f t="shared" si="18"/>
        <v>865344943.78431201</v>
      </c>
      <c r="AZ50" s="132">
        <f t="shared" si="35"/>
        <v>5656071.1336178323</v>
      </c>
      <c r="BA50" s="167">
        <f t="shared" si="36"/>
        <v>2.7338842962315241E-11</v>
      </c>
      <c r="BB50" s="167">
        <f t="shared" si="37"/>
        <v>5.228655942239386E-6</v>
      </c>
      <c r="BC50" s="125">
        <f t="shared" si="38"/>
        <v>7.4695084889134138E-6</v>
      </c>
      <c r="BD50" s="211">
        <f t="shared" si="39"/>
        <v>42455</v>
      </c>
      <c r="BE50" s="210">
        <v>0.7567634846951361</v>
      </c>
      <c r="BF50" s="209">
        <v>0.5</v>
      </c>
      <c r="BG50" s="209">
        <v>2.5</v>
      </c>
      <c r="BH50" s="210"/>
      <c r="BI50" s="209"/>
      <c r="BJ50" s="209"/>
      <c r="BL50" s="168"/>
      <c r="BN50" s="125">
        <f t="shared" si="47"/>
        <v>1.4285714285714295</v>
      </c>
      <c r="BP50" s="132">
        <f t="shared" si="40"/>
        <v>842157.5148287093</v>
      </c>
      <c r="BQ50" s="125">
        <f t="shared" si="41"/>
        <v>2.035606895380154E-4</v>
      </c>
    </row>
    <row r="51" spans="1:69" ht="13.5" thickBot="1" x14ac:dyDescent="0.25">
      <c r="A51" s="213">
        <f>A52-1</f>
        <v>42456</v>
      </c>
      <c r="B51" s="190">
        <f>VLOOKUP(A51,P_Q_obs!$A$4:$H$304,8,FALSE)</f>
        <v>2411</v>
      </c>
      <c r="C51" s="168">
        <f t="shared" si="14"/>
        <v>5.0771240325380717E-6</v>
      </c>
      <c r="D51" s="198">
        <f t="shared" si="15"/>
        <v>2.2532474414804229E-3</v>
      </c>
      <c r="E51" s="132">
        <f t="shared" si="16"/>
        <v>2416.4325795814093</v>
      </c>
      <c r="F51" s="168">
        <f t="shared" si="19"/>
        <v>349.99296704631161</v>
      </c>
      <c r="G51" s="300"/>
      <c r="H51" s="127">
        <f>VLOOKUP(MONTH(A51),ETP_Parametros!$A$6:$D$17,4,FALSE)</f>
        <v>4.838709677419355</v>
      </c>
      <c r="I51" s="229">
        <f>VLOOKUP(A51,P_Q_obs!$A$4:$F$308,2,FALSE)*1</f>
        <v>4.7</v>
      </c>
      <c r="J51" s="229">
        <f t="shared" ref="J51:S51" si="74">I51</f>
        <v>4.7</v>
      </c>
      <c r="K51" s="229">
        <f t="shared" si="74"/>
        <v>4.7</v>
      </c>
      <c r="L51" s="229">
        <f t="shared" si="74"/>
        <v>4.7</v>
      </c>
      <c r="M51" s="229">
        <f t="shared" si="74"/>
        <v>4.7</v>
      </c>
      <c r="N51" s="229">
        <f t="shared" si="74"/>
        <v>4.7</v>
      </c>
      <c r="O51" s="229">
        <f t="shared" si="74"/>
        <v>4.7</v>
      </c>
      <c r="P51" s="229">
        <f t="shared" si="74"/>
        <v>4.7</v>
      </c>
      <c r="Q51" s="229">
        <f t="shared" si="74"/>
        <v>4.7</v>
      </c>
      <c r="R51" s="229">
        <f t="shared" si="74"/>
        <v>4.7</v>
      </c>
      <c r="S51" s="229">
        <f t="shared" si="74"/>
        <v>4.7</v>
      </c>
      <c r="T51" s="229">
        <f t="shared" si="4"/>
        <v>4.7</v>
      </c>
      <c r="U51" s="229">
        <f t="shared" si="5"/>
        <v>4.7</v>
      </c>
      <c r="V51" s="229">
        <f t="shared" si="6"/>
        <v>4.7</v>
      </c>
      <c r="W51" s="229">
        <f t="shared" si="7"/>
        <v>4.7</v>
      </c>
      <c r="X51" s="229">
        <f t="shared" si="8"/>
        <v>4.7</v>
      </c>
      <c r="Y51" s="229">
        <f t="shared" si="9"/>
        <v>4.7</v>
      </c>
      <c r="Z51" s="291">
        <f t="shared" si="10"/>
        <v>4.7</v>
      </c>
      <c r="AA51" s="300"/>
      <c r="AB51" s="191">
        <f t="shared" si="11"/>
        <v>4.7</v>
      </c>
      <c r="AC51" s="139">
        <f t="shared" si="21"/>
        <v>10.996606365718334</v>
      </c>
      <c r="AD51" s="132">
        <f t="shared" si="49"/>
        <v>67.197107775549782</v>
      </c>
      <c r="AE51" s="168">
        <f t="shared" si="22"/>
        <v>0.84251696024543887</v>
      </c>
      <c r="AF51" s="192">
        <f t="shared" si="23"/>
        <v>3.8028709446136233</v>
      </c>
      <c r="AG51" s="192">
        <f t="shared" si="43"/>
        <v>4.2461086097452263</v>
      </c>
      <c r="AH51" s="192">
        <f t="shared" si="24"/>
        <v>1.4847848789161897</v>
      </c>
      <c r="AI51" s="168">
        <f t="shared" si="25"/>
        <v>9.7181736022668606</v>
      </c>
      <c r="AJ51" s="192">
        <f t="shared" si="26"/>
        <v>3.2038973284110188</v>
      </c>
      <c r="AK51" s="132">
        <f t="shared" si="68"/>
        <v>39.060014948232258</v>
      </c>
      <c r="AL51" s="192">
        <f t="shared" si="28"/>
        <v>0.54264422985323413</v>
      </c>
      <c r="AM51" s="192">
        <f t="shared" si="29"/>
        <v>0</v>
      </c>
      <c r="AN51" s="192">
        <f t="shared" si="44"/>
        <v>0</v>
      </c>
      <c r="AO51" s="192">
        <f t="shared" si="30"/>
        <v>0</v>
      </c>
      <c r="AS51" s="132">
        <f t="shared" si="31"/>
        <v>802449.96348807006</v>
      </c>
      <c r="AT51" s="132">
        <f t="shared" si="45"/>
        <v>29.512920908345244</v>
      </c>
      <c r="AU51" s="200" t="str">
        <f t="shared" si="32"/>
        <v>+</v>
      </c>
      <c r="AV51" s="132">
        <f t="shared" si="46"/>
        <v>4</v>
      </c>
      <c r="AW51" s="132">
        <f t="shared" si="33"/>
        <v>1021.078806503288</v>
      </c>
      <c r="AX51" s="132">
        <f t="shared" si="34"/>
        <v>-594.79571526552081</v>
      </c>
      <c r="AY51" s="132">
        <f t="shared" si="18"/>
        <v>918850183.75152969</v>
      </c>
      <c r="AZ51" s="132">
        <f t="shared" si="35"/>
        <v>2611050.4701015763</v>
      </c>
      <c r="BA51" s="167">
        <f t="shared" si="36"/>
        <v>5.0771240325380717E-6</v>
      </c>
      <c r="BB51" s="167">
        <f t="shared" si="37"/>
        <v>2.2532474414804229E-3</v>
      </c>
      <c r="BC51" s="125">
        <f t="shared" si="38"/>
        <v>3.2993980393106214E-3</v>
      </c>
      <c r="BD51" s="211">
        <f t="shared" si="39"/>
        <v>42456</v>
      </c>
      <c r="BE51" s="210">
        <v>0.63743608263733775</v>
      </c>
      <c r="BF51" s="209">
        <v>0.5</v>
      </c>
      <c r="BG51" s="209">
        <v>2.5</v>
      </c>
      <c r="BH51" s="210"/>
      <c r="BI51" s="209"/>
      <c r="BJ51" s="209"/>
      <c r="BL51" s="168"/>
      <c r="BN51" s="125">
        <f t="shared" si="47"/>
        <v>1.4642857142857153</v>
      </c>
      <c r="BP51" s="132">
        <f t="shared" si="40"/>
        <v>1175016.0179646749</v>
      </c>
      <c r="BQ51" s="125">
        <f t="shared" si="41"/>
        <v>43.215348472934139</v>
      </c>
    </row>
    <row r="52" spans="1:69" ht="13.5" thickBot="1" x14ac:dyDescent="0.25">
      <c r="A52" s="213">
        <f>A53-1</f>
        <v>42457</v>
      </c>
      <c r="B52" s="190">
        <f>VLOOKUP(A52,P_Q_obs!$A$4:$H$304,8,FALSE)</f>
        <v>2110</v>
      </c>
      <c r="C52" s="168">
        <f t="shared" si="14"/>
        <v>8.8092563544050722E-5</v>
      </c>
      <c r="D52" s="198">
        <f t="shared" si="15"/>
        <v>9.3857638764274654E-3</v>
      </c>
      <c r="E52" s="132">
        <f t="shared" si="16"/>
        <v>2090.196038220738</v>
      </c>
      <c r="F52" s="168">
        <f t="shared" si="19"/>
        <v>358.64357013483868</v>
      </c>
      <c r="G52" s="300"/>
      <c r="H52" s="127">
        <f>VLOOKUP(MONTH(A52),ETP_Parametros!$A$6:$D$17,4,FALSE)</f>
        <v>4.838709677419355</v>
      </c>
      <c r="I52" s="229">
        <f>VLOOKUP(A52,P_Q_obs!$A$4:$F$308,2,FALSE)*1</f>
        <v>1.23</v>
      </c>
      <c r="J52" s="229">
        <f t="shared" ref="J52:S52" si="75">I52</f>
        <v>1.23</v>
      </c>
      <c r="K52" s="229">
        <f t="shared" si="75"/>
        <v>1.23</v>
      </c>
      <c r="L52" s="229">
        <f t="shared" si="75"/>
        <v>1.23</v>
      </c>
      <c r="M52" s="229">
        <f t="shared" si="75"/>
        <v>1.23</v>
      </c>
      <c r="N52" s="229">
        <f t="shared" si="75"/>
        <v>1.23</v>
      </c>
      <c r="O52" s="229">
        <f t="shared" si="75"/>
        <v>1.23</v>
      </c>
      <c r="P52" s="229">
        <f t="shared" si="75"/>
        <v>1.23</v>
      </c>
      <c r="Q52" s="229">
        <f t="shared" si="75"/>
        <v>1.23</v>
      </c>
      <c r="R52" s="229">
        <f t="shared" si="75"/>
        <v>1.23</v>
      </c>
      <c r="S52" s="229">
        <f t="shared" si="75"/>
        <v>1.23</v>
      </c>
      <c r="T52" s="229">
        <f t="shared" si="4"/>
        <v>1.23</v>
      </c>
      <c r="U52" s="229">
        <f t="shared" si="5"/>
        <v>1.23</v>
      </c>
      <c r="V52" s="229">
        <f t="shared" si="6"/>
        <v>1.23</v>
      </c>
      <c r="W52" s="229">
        <f t="shared" si="7"/>
        <v>1.23</v>
      </c>
      <c r="X52" s="229">
        <f t="shared" si="8"/>
        <v>1.23</v>
      </c>
      <c r="Y52" s="229">
        <f t="shared" si="9"/>
        <v>1.23</v>
      </c>
      <c r="Z52" s="291">
        <f t="shared" si="10"/>
        <v>1.23</v>
      </c>
      <c r="AA52" s="300"/>
      <c r="AB52" s="191">
        <f t="shared" si="11"/>
        <v>1.2300000000000002</v>
      </c>
      <c r="AC52" s="139">
        <f t="shared" si="21"/>
        <v>6.0648584285925313</v>
      </c>
      <c r="AD52" s="132">
        <f t="shared" si="49"/>
        <v>66.310586360050351</v>
      </c>
      <c r="AE52" s="168">
        <f t="shared" si="22"/>
        <v>0.86126622476424164</v>
      </c>
      <c r="AF52" s="192">
        <f t="shared" si="23"/>
        <v>1.1097468833197004</v>
      </c>
      <c r="AG52" s="192">
        <f t="shared" si="43"/>
        <v>4.2461086097452263</v>
      </c>
      <c r="AH52" s="192">
        <f t="shared" si="24"/>
        <v>1.5955243510270438</v>
      </c>
      <c r="AI52" s="168">
        <f t="shared" si="25"/>
        <v>8.1432466664963385</v>
      </c>
      <c r="AJ52" s="192">
        <f t="shared" si="26"/>
        <v>2.684673819090222</v>
      </c>
      <c r="AK52" s="132">
        <f t="shared" si="68"/>
        <v>40.099482800324331</v>
      </c>
      <c r="AL52" s="192">
        <f t="shared" si="28"/>
        <v>0.55605649893496867</v>
      </c>
      <c r="AM52" s="192">
        <f t="shared" si="29"/>
        <v>0</v>
      </c>
      <c r="AN52" s="192">
        <f t="shared" si="44"/>
        <v>0</v>
      </c>
      <c r="AO52" s="192">
        <f t="shared" si="30"/>
        <v>0</v>
      </c>
      <c r="AS52" s="132">
        <f t="shared" si="31"/>
        <v>353781.94289822521</v>
      </c>
      <c r="AT52" s="132">
        <f t="shared" si="45"/>
        <v>392.19690215446826</v>
      </c>
      <c r="AU52" s="200" t="str">
        <f t="shared" si="32"/>
        <v>-</v>
      </c>
      <c r="AV52" s="132">
        <f t="shared" si="46"/>
        <v>3</v>
      </c>
      <c r="AW52" s="132">
        <f t="shared" si="33"/>
        <v>694.84226514261672</v>
      </c>
      <c r="AX52" s="132">
        <f t="shared" si="34"/>
        <v>2.2737367544323206E-12</v>
      </c>
      <c r="AY52" s="132">
        <f t="shared" si="18"/>
        <v>955263505.52732146</v>
      </c>
      <c r="AZ52" s="132">
        <f t="shared" si="35"/>
        <v>482805.77342851931</v>
      </c>
      <c r="BA52" s="167">
        <f t="shared" si="36"/>
        <v>8.8092563544050722E-5</v>
      </c>
      <c r="BB52" s="167">
        <f t="shared" si="37"/>
        <v>9.3857638764274654E-3</v>
      </c>
      <c r="BC52" s="125">
        <f t="shared" si="38"/>
        <v>1.4078645814641209E-2</v>
      </c>
      <c r="BD52" s="211">
        <f t="shared" si="39"/>
        <v>42457</v>
      </c>
      <c r="BE52" s="210">
        <v>2.1940665850840806</v>
      </c>
      <c r="BF52" s="209">
        <v>0.5</v>
      </c>
      <c r="BG52" s="209">
        <v>2.5</v>
      </c>
      <c r="BH52" s="210"/>
      <c r="BI52" s="209"/>
      <c r="BJ52" s="209"/>
      <c r="BL52" s="168"/>
      <c r="BN52" s="125">
        <f t="shared" si="47"/>
        <v>1.5000000000000011</v>
      </c>
      <c r="BP52" s="132">
        <f t="shared" si="40"/>
        <v>530672.91434733826</v>
      </c>
      <c r="BQ52" s="125">
        <f t="shared" si="41"/>
        <v>588.29535323170285</v>
      </c>
    </row>
    <row r="53" spans="1:69" ht="13.5" thickBot="1" x14ac:dyDescent="0.25">
      <c r="A53" s="214">
        <f>Botoes!B5</f>
        <v>42458</v>
      </c>
      <c r="B53" s="190"/>
      <c r="C53" s="168"/>
      <c r="D53" s="198"/>
      <c r="E53" s="190">
        <f t="shared" si="16"/>
        <v>1670.4192927883753</v>
      </c>
      <c r="F53" s="168">
        <f t="shared" si="19"/>
        <v>368.18781792913114</v>
      </c>
      <c r="G53" s="300"/>
      <c r="H53" s="127">
        <f>VLOOKUP(MONTH(A53),ETP_Parametros!$A$6:$D$17,4,FALSE)</f>
        <v>4.838709677419355</v>
      </c>
      <c r="I53" s="229">
        <f>VLOOKUP(A53,P_Q_obs!$A$4:$F$308,2,FALSE)*1</f>
        <v>0.25</v>
      </c>
      <c r="J53" s="229">
        <f t="shared" ref="J53:S53" si="76">I53</f>
        <v>0.25</v>
      </c>
      <c r="K53" s="229">
        <f t="shared" si="76"/>
        <v>0.25</v>
      </c>
      <c r="L53" s="229">
        <f t="shared" si="76"/>
        <v>0.25</v>
      </c>
      <c r="M53" s="229">
        <f t="shared" si="76"/>
        <v>0.25</v>
      </c>
      <c r="N53" s="229">
        <f t="shared" si="76"/>
        <v>0.25</v>
      </c>
      <c r="O53" s="229">
        <f t="shared" si="76"/>
        <v>0.25</v>
      </c>
      <c r="P53" s="229">
        <f t="shared" si="76"/>
        <v>0.25</v>
      </c>
      <c r="Q53" s="229">
        <f t="shared" si="76"/>
        <v>0.25</v>
      </c>
      <c r="R53" s="229">
        <f t="shared" si="76"/>
        <v>0.25</v>
      </c>
      <c r="S53" s="229">
        <f t="shared" si="76"/>
        <v>0.25</v>
      </c>
      <c r="T53" s="229">
        <f t="shared" si="4"/>
        <v>0.25</v>
      </c>
      <c r="U53" s="229">
        <f t="shared" si="5"/>
        <v>0.25</v>
      </c>
      <c r="V53" s="229">
        <f t="shared" si="6"/>
        <v>0.25</v>
      </c>
      <c r="W53" s="229">
        <f t="shared" si="7"/>
        <v>0.25</v>
      </c>
      <c r="X53" s="229">
        <f t="shared" si="8"/>
        <v>0.25</v>
      </c>
      <c r="Y53" s="229">
        <f t="shared" si="9"/>
        <v>0.25</v>
      </c>
      <c r="Z53" s="291">
        <f t="shared" si="10"/>
        <v>0.25</v>
      </c>
      <c r="AA53" s="300"/>
      <c r="AB53" s="191">
        <f t="shared" si="11"/>
        <v>0.25000000000000006</v>
      </c>
      <c r="AC53" s="139">
        <f t="shared" si="21"/>
        <v>1.4652026286846334</v>
      </c>
      <c r="AD53" s="132">
        <f t="shared" si="49"/>
        <v>62.419074744923627</v>
      </c>
      <c r="AE53" s="168">
        <f t="shared" si="22"/>
        <v>0.84990366798203343</v>
      </c>
      <c r="AF53" s="192">
        <f t="shared" si="23"/>
        <v>0</v>
      </c>
      <c r="AG53" s="192">
        <f t="shared" si="43"/>
        <v>3.8287048223012063</v>
      </c>
      <c r="AH53" s="192">
        <f t="shared" si="24"/>
        <v>1.5280094215101581</v>
      </c>
      <c r="AI53" s="168">
        <f t="shared" si="25"/>
        <v>6.1242106792042543</v>
      </c>
      <c r="AJ53" s="192">
        <f t="shared" si="26"/>
        <v>2.0190359872920842</v>
      </c>
      <c r="AK53" s="132">
        <f t="shared" si="68"/>
        <v>41.056637908424641</v>
      </c>
      <c r="AL53" s="192">
        <f t="shared" si="28"/>
        <v>0.57085431340984338</v>
      </c>
      <c r="AM53" s="192">
        <f t="shared" si="29"/>
        <v>0</v>
      </c>
      <c r="AN53" s="192">
        <f t="shared" si="44"/>
        <v>0</v>
      </c>
      <c r="AO53" s="192">
        <f t="shared" si="30"/>
        <v>0</v>
      </c>
      <c r="AS53" s="132"/>
      <c r="AT53" s="132"/>
      <c r="AU53" s="200"/>
      <c r="AV53" s="132"/>
      <c r="AW53" s="132"/>
      <c r="AX53" s="132"/>
      <c r="AY53" s="132"/>
      <c r="AZ53" s="132"/>
      <c r="BA53" s="167"/>
      <c r="BB53" s="167"/>
      <c r="BD53" s="211">
        <f t="shared" si="39"/>
        <v>42458</v>
      </c>
      <c r="BE53" s="210">
        <v>1</v>
      </c>
      <c r="BF53" s="209">
        <v>0.5</v>
      </c>
      <c r="BG53" s="209">
        <v>2.5</v>
      </c>
      <c r="BH53" s="210"/>
      <c r="BI53" s="209"/>
      <c r="BJ53" s="209"/>
      <c r="BL53" s="168"/>
    </row>
    <row r="54" spans="1:69" ht="13.5" thickBot="1" x14ac:dyDescent="0.25">
      <c r="A54" s="215">
        <f>A53+1</f>
        <v>42459</v>
      </c>
      <c r="B54" s="190"/>
      <c r="C54" s="168"/>
      <c r="D54" s="198"/>
      <c r="E54" s="190">
        <f t="shared" si="16"/>
        <v>1356.3325791958575</v>
      </c>
      <c r="F54" s="168">
        <f t="shared" si="19"/>
        <v>376.9762816713199</v>
      </c>
      <c r="G54" s="300"/>
      <c r="H54" s="127">
        <f>VLOOKUP(MONTH(A54),ETP_Parametros!$A$6:$D$17,4,FALSE)</f>
        <v>4.838709677419355</v>
      </c>
      <c r="I54" s="230">
        <f>VLOOKUP(A54,P_Q_obs!$A$4:$F$308,4,FALSE)*1</f>
        <v>0.04</v>
      </c>
      <c r="J54" s="230">
        <f t="shared" ref="J54:S54" si="77">I54</f>
        <v>0.04</v>
      </c>
      <c r="K54" s="230">
        <f t="shared" si="77"/>
        <v>0.04</v>
      </c>
      <c r="L54" s="230">
        <f t="shared" si="77"/>
        <v>0.04</v>
      </c>
      <c r="M54" s="230">
        <f t="shared" si="77"/>
        <v>0.04</v>
      </c>
      <c r="N54" s="230">
        <f t="shared" si="77"/>
        <v>0.04</v>
      </c>
      <c r="O54" s="230">
        <f t="shared" si="77"/>
        <v>0.04</v>
      </c>
      <c r="P54" s="230">
        <f t="shared" si="77"/>
        <v>0.04</v>
      </c>
      <c r="Q54" s="230">
        <f t="shared" si="77"/>
        <v>0.04</v>
      </c>
      <c r="R54" s="230">
        <f t="shared" si="77"/>
        <v>0.04</v>
      </c>
      <c r="S54" s="230">
        <f t="shared" si="77"/>
        <v>0.04</v>
      </c>
      <c r="T54" s="230">
        <f t="shared" si="4"/>
        <v>0.04</v>
      </c>
      <c r="U54" s="230">
        <f t="shared" si="5"/>
        <v>0.04</v>
      </c>
      <c r="V54" s="230">
        <f t="shared" si="6"/>
        <v>0.04</v>
      </c>
      <c r="W54" s="230">
        <f t="shared" si="7"/>
        <v>0.04</v>
      </c>
      <c r="X54" s="230">
        <f t="shared" si="8"/>
        <v>0.04</v>
      </c>
      <c r="Y54" s="230">
        <f t="shared" si="9"/>
        <v>0.04</v>
      </c>
      <c r="Z54" s="292">
        <f t="shared" si="10"/>
        <v>0.04</v>
      </c>
      <c r="AA54" s="300"/>
      <c r="AB54" s="191">
        <f t="shared" si="11"/>
        <v>0.04</v>
      </c>
      <c r="AC54" s="139">
        <f t="shared" si="21"/>
        <v>0.24918502926283592</v>
      </c>
      <c r="AD54" s="132">
        <f t="shared" si="49"/>
        <v>57.97509157879675</v>
      </c>
      <c r="AE54" s="168">
        <f t="shared" si="22"/>
        <v>0.80002611181426775</v>
      </c>
      <c r="AF54" s="192">
        <f t="shared" si="23"/>
        <v>0</v>
      </c>
      <c r="AG54" s="192">
        <f t="shared" si="43"/>
        <v>3.4468282605749243</v>
      </c>
      <c r="AH54" s="192">
        <f t="shared" si="24"/>
        <v>1.2463399348147821</v>
      </c>
      <c r="AI54" s="168">
        <f t="shared" si="25"/>
        <v>4.6057743280195282</v>
      </c>
      <c r="AJ54" s="192">
        <f t="shared" si="26"/>
        <v>1.5184363511847265</v>
      </c>
      <c r="AK54" s="132">
        <f t="shared" si="68"/>
        <v>41.718497515629295</v>
      </c>
      <c r="AL54" s="192">
        <f t="shared" si="28"/>
        <v>0.58448032761012891</v>
      </c>
      <c r="AM54" s="192">
        <f t="shared" si="29"/>
        <v>0</v>
      </c>
      <c r="AN54" s="192">
        <f t="shared" si="44"/>
        <v>0</v>
      </c>
      <c r="AO54" s="192">
        <f t="shared" si="30"/>
        <v>0</v>
      </c>
      <c r="AS54" s="132"/>
      <c r="AT54" s="132"/>
      <c r="AU54" s="200"/>
      <c r="AV54" s="132"/>
      <c r="AW54" s="132"/>
      <c r="AX54" s="132"/>
      <c r="AY54" s="132"/>
      <c r="AZ54" s="132"/>
      <c r="BA54" s="167"/>
      <c r="BB54" s="167"/>
      <c r="BD54" s="211">
        <f t="shared" si="39"/>
        <v>42459</v>
      </c>
      <c r="BE54" s="210">
        <v>1</v>
      </c>
      <c r="BF54" s="209">
        <v>0.5</v>
      </c>
      <c r="BG54" s="209">
        <v>2.5</v>
      </c>
      <c r="BH54" s="210"/>
      <c r="BI54" s="209"/>
      <c r="BJ54" s="209"/>
      <c r="BK54" s="168">
        <f>I54</f>
        <v>0.04</v>
      </c>
      <c r="BL54" s="168">
        <f t="shared" ref="BL54:BL63" si="78">AC54</f>
        <v>0.24918502926283592</v>
      </c>
      <c r="BM54" s="168"/>
    </row>
    <row r="55" spans="1:69" ht="13.5" thickBot="1" x14ac:dyDescent="0.25">
      <c r="A55" s="215">
        <f t="shared" ref="A55:A63" si="79">A54+1</f>
        <v>42460</v>
      </c>
      <c r="B55" s="190"/>
      <c r="C55" s="168"/>
      <c r="D55" s="198"/>
      <c r="E55" s="190">
        <f t="shared" si="16"/>
        <v>1119.5881518246499</v>
      </c>
      <c r="F55" s="168">
        <f t="shared" si="19"/>
        <v>383.05338360716195</v>
      </c>
      <c r="G55" s="300"/>
      <c r="H55" s="127">
        <f>VLOOKUP(MONTH(A55),ETP_Parametros!$A$6:$D$17,4,FALSE)</f>
        <v>4.838709677419355</v>
      </c>
      <c r="I55" s="230">
        <f>VLOOKUP(A55,P_Q_obs!$A$4:$F$308,4,FALSE)*1</f>
        <v>0.12</v>
      </c>
      <c r="J55" s="230">
        <f t="shared" ref="J55:S55" si="80">I55</f>
        <v>0.12</v>
      </c>
      <c r="K55" s="230">
        <f t="shared" si="80"/>
        <v>0.12</v>
      </c>
      <c r="L55" s="230">
        <f t="shared" si="80"/>
        <v>0.12</v>
      </c>
      <c r="M55" s="230">
        <f t="shared" si="80"/>
        <v>0.12</v>
      </c>
      <c r="N55" s="230">
        <f t="shared" si="80"/>
        <v>0.12</v>
      </c>
      <c r="O55" s="230">
        <f t="shared" si="80"/>
        <v>0.12</v>
      </c>
      <c r="P55" s="230">
        <f t="shared" si="80"/>
        <v>0.12</v>
      </c>
      <c r="Q55" s="230">
        <f t="shared" si="80"/>
        <v>0.12</v>
      </c>
      <c r="R55" s="230">
        <f t="shared" si="80"/>
        <v>0.12</v>
      </c>
      <c r="S55" s="230">
        <f t="shared" si="80"/>
        <v>0.12</v>
      </c>
      <c r="T55" s="230">
        <f t="shared" si="4"/>
        <v>0.12</v>
      </c>
      <c r="U55" s="230">
        <f t="shared" si="5"/>
        <v>0.12</v>
      </c>
      <c r="V55" s="230">
        <f t="shared" si="6"/>
        <v>0.12</v>
      </c>
      <c r="W55" s="230">
        <f t="shared" si="7"/>
        <v>0.12</v>
      </c>
      <c r="X55" s="230">
        <f t="shared" si="8"/>
        <v>0.12</v>
      </c>
      <c r="Y55" s="230">
        <f t="shared" si="9"/>
        <v>0.12</v>
      </c>
      <c r="Z55" s="292">
        <f t="shared" si="10"/>
        <v>0.12</v>
      </c>
      <c r="AA55" s="300"/>
      <c r="AB55" s="191">
        <f t="shared" si="11"/>
        <v>0.12000000000000001</v>
      </c>
      <c r="AC55" s="139">
        <f t="shared" si="21"/>
        <v>0.14095142800977131</v>
      </c>
      <c r="AD55" s="132">
        <f t="shared" si="49"/>
        <v>53.97072096467344</v>
      </c>
      <c r="AE55" s="168">
        <f t="shared" si="22"/>
        <v>0.74306752042384205</v>
      </c>
      <c r="AF55" s="192">
        <f t="shared" si="23"/>
        <v>0</v>
      </c>
      <c r="AG55" s="192">
        <f t="shared" si="43"/>
        <v>3.1913603959920636</v>
      </c>
      <c r="AH55" s="192">
        <f t="shared" si="24"/>
        <v>0.95396164614101586</v>
      </c>
      <c r="AI55" s="168">
        <f t="shared" si="25"/>
        <v>3.4638189755091924</v>
      </c>
      <c r="AJ55" s="192">
        <f t="shared" si="26"/>
        <v>1.1419553525103359</v>
      </c>
      <c r="AK55" s="132">
        <f t="shared" si="68"/>
        <v>42.078556632544121</v>
      </c>
      <c r="AL55" s="192">
        <f t="shared" si="28"/>
        <v>0.59390252922619224</v>
      </c>
      <c r="AM55" s="192">
        <f t="shared" si="29"/>
        <v>0</v>
      </c>
      <c r="AN55" s="192">
        <f t="shared" si="44"/>
        <v>0</v>
      </c>
      <c r="AO55" s="192">
        <f t="shared" si="30"/>
        <v>0</v>
      </c>
      <c r="AS55" s="132"/>
      <c r="AT55" s="132"/>
      <c r="AU55" s="200"/>
      <c r="AV55" s="132"/>
      <c r="AW55" s="132"/>
      <c r="AX55" s="132"/>
      <c r="AY55" s="132"/>
      <c r="AZ55" s="132"/>
      <c r="BA55" s="167"/>
      <c r="BB55" s="167"/>
      <c r="BD55" s="211">
        <f t="shared" si="39"/>
        <v>42460</v>
      </c>
      <c r="BE55" s="210">
        <v>1</v>
      </c>
      <c r="BF55" s="209">
        <v>0.5</v>
      </c>
      <c r="BG55" s="209">
        <v>2.5</v>
      </c>
      <c r="BH55" s="210"/>
      <c r="BI55" s="209"/>
      <c r="BJ55" s="209"/>
      <c r="BK55" s="168">
        <f t="shared" ref="BK55:BK63" si="81">I55</f>
        <v>0.12</v>
      </c>
      <c r="BL55" s="168">
        <f t="shared" si="78"/>
        <v>0.14095142800977131</v>
      </c>
      <c r="BM55" s="168"/>
    </row>
    <row r="56" spans="1:69" ht="13.5" thickBot="1" x14ac:dyDescent="0.25">
      <c r="A56" s="215">
        <f t="shared" si="79"/>
        <v>42461</v>
      </c>
      <c r="B56" s="190"/>
      <c r="C56" s="168"/>
      <c r="D56" s="198"/>
      <c r="E56" s="190">
        <f t="shared" si="16"/>
        <v>940.2777870958613</v>
      </c>
      <c r="F56" s="168">
        <f t="shared" si="19"/>
        <v>386.35939583785557</v>
      </c>
      <c r="G56" s="300"/>
      <c r="H56" s="127">
        <f>VLOOKUP(MONTH(A56),ETP_Parametros!$A$6:$D$17,4,FALSE)</f>
        <v>3.6</v>
      </c>
      <c r="I56" s="230">
        <f>VLOOKUP(A56,P_Q_obs!$A$4:$F$308,4,FALSE)*1</f>
        <v>0.25</v>
      </c>
      <c r="J56" s="230">
        <f t="shared" ref="J56:S56" si="82">I56</f>
        <v>0.25</v>
      </c>
      <c r="K56" s="230">
        <f t="shared" si="82"/>
        <v>0.25</v>
      </c>
      <c r="L56" s="230">
        <f t="shared" si="82"/>
        <v>0.25</v>
      </c>
      <c r="M56" s="230">
        <f t="shared" si="82"/>
        <v>0.25</v>
      </c>
      <c r="N56" s="230">
        <f t="shared" si="82"/>
        <v>0.25</v>
      </c>
      <c r="O56" s="230">
        <f t="shared" si="82"/>
        <v>0.25</v>
      </c>
      <c r="P56" s="230">
        <f t="shared" si="82"/>
        <v>0.25</v>
      </c>
      <c r="Q56" s="230">
        <f t="shared" si="82"/>
        <v>0.25</v>
      </c>
      <c r="R56" s="230">
        <f t="shared" si="82"/>
        <v>0.25</v>
      </c>
      <c r="S56" s="230">
        <f t="shared" si="82"/>
        <v>0.25</v>
      </c>
      <c r="T56" s="230">
        <f t="shared" si="4"/>
        <v>0.25</v>
      </c>
      <c r="U56" s="230">
        <f t="shared" si="5"/>
        <v>0.25</v>
      </c>
      <c r="V56" s="230">
        <f t="shared" si="6"/>
        <v>0.25</v>
      </c>
      <c r="W56" s="230">
        <f t="shared" si="7"/>
        <v>0.25</v>
      </c>
      <c r="X56" s="230">
        <f t="shared" si="8"/>
        <v>0.25</v>
      </c>
      <c r="Y56" s="230">
        <f t="shared" si="9"/>
        <v>0.25</v>
      </c>
      <c r="Z56" s="292">
        <f t="shared" si="10"/>
        <v>0.25</v>
      </c>
      <c r="AA56" s="300"/>
      <c r="AB56" s="191">
        <f t="shared" si="11"/>
        <v>0.25000000000000006</v>
      </c>
      <c r="AC56" s="139">
        <f t="shared" si="21"/>
        <v>0.24872960857337117</v>
      </c>
      <c r="AD56" s="132">
        <f t="shared" si="49"/>
        <v>51.240241501840032</v>
      </c>
      <c r="AE56" s="168">
        <f t="shared" si="22"/>
        <v>0.6917434489637645</v>
      </c>
      <c r="AF56" s="192">
        <f t="shared" si="23"/>
        <v>0</v>
      </c>
      <c r="AG56" s="192">
        <f t="shared" si="43"/>
        <v>2.2619625851780643</v>
      </c>
      <c r="AH56" s="192">
        <f t="shared" si="24"/>
        <v>0.71724648622871534</v>
      </c>
      <c r="AI56" s="168">
        <f t="shared" si="25"/>
        <v>2.6049999501944074</v>
      </c>
      <c r="AJ56" s="192">
        <f t="shared" si="26"/>
        <v>0.85881902531478505</v>
      </c>
      <c r="AK56" s="132">
        <f t="shared" si="68"/>
        <v>42.196774805231748</v>
      </c>
      <c r="AL56" s="192">
        <f t="shared" si="28"/>
        <v>0.59902831354108887</v>
      </c>
      <c r="AM56" s="192">
        <f t="shared" si="29"/>
        <v>0</v>
      </c>
      <c r="AN56" s="192">
        <f t="shared" si="44"/>
        <v>0</v>
      </c>
      <c r="AO56" s="192">
        <f t="shared" si="30"/>
        <v>0</v>
      </c>
      <c r="AS56" s="132"/>
      <c r="AT56" s="132"/>
      <c r="AU56" s="200"/>
      <c r="AV56" s="132"/>
      <c r="AW56" s="132"/>
      <c r="AX56" s="132"/>
      <c r="AY56" s="132"/>
      <c r="AZ56" s="132"/>
      <c r="BA56" s="167"/>
      <c r="BB56" s="167"/>
      <c r="BD56" s="211">
        <f t="shared" si="39"/>
        <v>42461</v>
      </c>
      <c r="BE56" s="210">
        <v>1</v>
      </c>
      <c r="BF56" s="209">
        <v>0.5</v>
      </c>
      <c r="BG56" s="209">
        <v>2.5</v>
      </c>
      <c r="BH56" s="210"/>
      <c r="BI56" s="209"/>
      <c r="BJ56" s="209"/>
      <c r="BK56" s="168">
        <f t="shared" si="81"/>
        <v>0.25</v>
      </c>
      <c r="BL56" s="168">
        <f t="shared" si="78"/>
        <v>0.24872960857337117</v>
      </c>
      <c r="BM56" s="168"/>
    </row>
    <row r="57" spans="1:69" ht="13.5" thickBot="1" x14ac:dyDescent="0.25">
      <c r="A57" s="215">
        <f t="shared" si="79"/>
        <v>42462</v>
      </c>
      <c r="B57" s="190"/>
      <c r="C57" s="168"/>
      <c r="D57" s="198"/>
      <c r="E57" s="190">
        <f t="shared" si="16"/>
        <v>807.25314428438764</v>
      </c>
      <c r="F57" s="168">
        <f t="shared" si="19"/>
        <v>387.4448584922784</v>
      </c>
      <c r="G57" s="300"/>
      <c r="H57" s="127">
        <f>VLOOKUP(MONTH(A57),ETP_Parametros!$A$6:$D$17,4,FALSE)</f>
        <v>3.6</v>
      </c>
      <c r="I57" s="230">
        <f>VLOOKUP(A57,P_Q_obs!$A$4:$F$308,4,FALSE)*1</f>
        <v>0.49</v>
      </c>
      <c r="J57" s="230">
        <f t="shared" ref="J57:S57" si="83">I57</f>
        <v>0.49</v>
      </c>
      <c r="K57" s="230">
        <f t="shared" si="83"/>
        <v>0.49</v>
      </c>
      <c r="L57" s="230">
        <f t="shared" si="83"/>
        <v>0.49</v>
      </c>
      <c r="M57" s="230">
        <f t="shared" si="83"/>
        <v>0.49</v>
      </c>
      <c r="N57" s="230">
        <f t="shared" si="83"/>
        <v>0.49</v>
      </c>
      <c r="O57" s="230">
        <f t="shared" si="83"/>
        <v>0.49</v>
      </c>
      <c r="P57" s="230">
        <f t="shared" si="83"/>
        <v>0.49</v>
      </c>
      <c r="Q57" s="230">
        <f t="shared" si="83"/>
        <v>0.49</v>
      </c>
      <c r="R57" s="230">
        <f t="shared" si="83"/>
        <v>0.49</v>
      </c>
      <c r="S57" s="230">
        <f t="shared" si="83"/>
        <v>0.49</v>
      </c>
      <c r="T57" s="230">
        <f t="shared" si="4"/>
        <v>0.49</v>
      </c>
      <c r="U57" s="230">
        <f t="shared" si="5"/>
        <v>0.49</v>
      </c>
      <c r="V57" s="230">
        <f t="shared" si="6"/>
        <v>0.49</v>
      </c>
      <c r="W57" s="230">
        <f t="shared" si="7"/>
        <v>0.49</v>
      </c>
      <c r="X57" s="230">
        <f t="shared" si="8"/>
        <v>0.49</v>
      </c>
      <c r="Y57" s="230">
        <f t="shared" si="9"/>
        <v>0.49</v>
      </c>
      <c r="Z57" s="292">
        <f t="shared" si="10"/>
        <v>0.49</v>
      </c>
      <c r="AA57" s="300"/>
      <c r="AB57" s="191">
        <f t="shared" si="11"/>
        <v>0.48999999999999988</v>
      </c>
      <c r="AC57" s="139">
        <f t="shared" si="21"/>
        <v>2.7454570679719219</v>
      </c>
      <c r="AD57" s="132">
        <f t="shared" si="49"/>
        <v>50.384949520631515</v>
      </c>
      <c r="AE57" s="168">
        <f t="shared" si="22"/>
        <v>0.65674685734547911</v>
      </c>
      <c r="AF57" s="192">
        <f t="shared" si="23"/>
        <v>2.0188036613886892E-2</v>
      </c>
      <c r="AG57" s="192">
        <f t="shared" si="43"/>
        <v>3.0101893127286199</v>
      </c>
      <c r="AH57" s="192">
        <f t="shared" si="24"/>
        <v>0.57037169983793046</v>
      </c>
      <c r="AI57" s="168">
        <f t="shared" si="25"/>
        <v>1.974299067947471</v>
      </c>
      <c r="AJ57" s="192">
        <f t="shared" si="26"/>
        <v>0.65088891886082312</v>
      </c>
      <c r="AK57" s="132">
        <f t="shared" si="68"/>
        <v>42.166435243293613</v>
      </c>
      <c r="AL57" s="192">
        <f t="shared" si="28"/>
        <v>0.60071126177606249</v>
      </c>
      <c r="AM57" s="192">
        <f t="shared" si="29"/>
        <v>0</v>
      </c>
      <c r="AN57" s="192">
        <f t="shared" si="44"/>
        <v>0</v>
      </c>
      <c r="AO57" s="192">
        <f t="shared" si="30"/>
        <v>0</v>
      </c>
      <c r="AS57" s="132"/>
      <c r="AT57" s="132"/>
      <c r="AU57" s="200"/>
      <c r="AV57" s="132"/>
      <c r="AW57" s="132"/>
      <c r="AX57" s="132"/>
      <c r="AY57" s="132"/>
      <c r="AZ57" s="132"/>
      <c r="BA57" s="167"/>
      <c r="BB57" s="167"/>
      <c r="BD57" s="211">
        <f t="shared" si="39"/>
        <v>42462</v>
      </c>
      <c r="BE57" s="210">
        <v>1</v>
      </c>
      <c r="BF57" s="209">
        <v>0.5</v>
      </c>
      <c r="BG57" s="209">
        <v>2.5</v>
      </c>
      <c r="BH57" s="210"/>
      <c r="BI57" s="209"/>
      <c r="BJ57" s="209"/>
      <c r="BK57" s="168">
        <f t="shared" si="81"/>
        <v>0.49</v>
      </c>
      <c r="BL57" s="168">
        <f t="shared" si="78"/>
        <v>2.7454570679719219</v>
      </c>
      <c r="BM57" s="168"/>
    </row>
    <row r="58" spans="1:69" ht="13.5" thickBot="1" x14ac:dyDescent="0.25">
      <c r="A58" s="215">
        <f t="shared" si="79"/>
        <v>42463</v>
      </c>
      <c r="B58" s="190"/>
      <c r="C58" s="168"/>
      <c r="D58" s="198"/>
      <c r="E58" s="190">
        <f t="shared" si="16"/>
        <v>824.88776181619244</v>
      </c>
      <c r="F58" s="168">
        <f t="shared" si="19"/>
        <v>387.16628489664004</v>
      </c>
      <c r="G58" s="300"/>
      <c r="H58" s="127">
        <f>VLOOKUP(MONTH(A58),ETP_Parametros!$A$6:$D$17,4,FALSE)</f>
        <v>3.6</v>
      </c>
      <c r="I58" s="230">
        <f>VLOOKUP(A58,P_Q_obs!$A$4:$F$308,4,FALSE)*1</f>
        <v>11.54</v>
      </c>
      <c r="J58" s="230">
        <f t="shared" ref="J58:S58" si="84">I58</f>
        <v>11.54</v>
      </c>
      <c r="K58" s="230">
        <f t="shared" si="84"/>
        <v>11.54</v>
      </c>
      <c r="L58" s="230">
        <f t="shared" si="84"/>
        <v>11.54</v>
      </c>
      <c r="M58" s="230">
        <f t="shared" si="84"/>
        <v>11.54</v>
      </c>
      <c r="N58" s="230">
        <f t="shared" si="84"/>
        <v>11.54</v>
      </c>
      <c r="O58" s="230">
        <f t="shared" si="84"/>
        <v>11.54</v>
      </c>
      <c r="P58" s="230">
        <f t="shared" si="84"/>
        <v>11.54</v>
      </c>
      <c r="Q58" s="230">
        <f t="shared" si="84"/>
        <v>11.54</v>
      </c>
      <c r="R58" s="230">
        <f t="shared" si="84"/>
        <v>11.54</v>
      </c>
      <c r="S58" s="230">
        <f t="shared" si="84"/>
        <v>11.54</v>
      </c>
      <c r="T58" s="230">
        <f t="shared" si="4"/>
        <v>11.54</v>
      </c>
      <c r="U58" s="230">
        <f t="shared" si="5"/>
        <v>11.54</v>
      </c>
      <c r="V58" s="230">
        <f t="shared" si="6"/>
        <v>11.54</v>
      </c>
      <c r="W58" s="230">
        <f t="shared" si="7"/>
        <v>11.54</v>
      </c>
      <c r="X58" s="230">
        <f t="shared" si="8"/>
        <v>11.54</v>
      </c>
      <c r="Y58" s="230">
        <f t="shared" si="9"/>
        <v>11.54</v>
      </c>
      <c r="Z58" s="292">
        <f t="shared" si="10"/>
        <v>11.54</v>
      </c>
      <c r="AA58" s="300"/>
      <c r="AB58" s="191">
        <f t="shared" si="11"/>
        <v>11.540000000000003</v>
      </c>
      <c r="AC58" s="139">
        <f t="shared" si="21"/>
        <v>6.9889930887783542</v>
      </c>
      <c r="AD58" s="132">
        <f t="shared" si="49"/>
        <v>52.925143342918695</v>
      </c>
      <c r="AE58" s="168">
        <f t="shared" si="22"/>
        <v>0.64578456863824674</v>
      </c>
      <c r="AF58" s="192">
        <f t="shared" si="23"/>
        <v>0.76290551249340421</v>
      </c>
      <c r="AG58" s="192">
        <f t="shared" si="43"/>
        <v>3.1591048056504483</v>
      </c>
      <c r="AH58" s="192">
        <f t="shared" si="24"/>
        <v>0.52678894834731649</v>
      </c>
      <c r="AI58" s="168">
        <f t="shared" si="25"/>
        <v>2.0585422754871852</v>
      </c>
      <c r="AJ58" s="192">
        <f t="shared" si="26"/>
        <v>0.67866230495368995</v>
      </c>
      <c r="AK58" s="132">
        <f t="shared" si="68"/>
        <v>42.092944842413104</v>
      </c>
      <c r="AL58" s="192">
        <f t="shared" si="28"/>
        <v>0.60027934922782367</v>
      </c>
      <c r="AM58" s="192">
        <f t="shared" si="29"/>
        <v>0</v>
      </c>
      <c r="AN58" s="192">
        <f t="shared" si="44"/>
        <v>0</v>
      </c>
      <c r="AO58" s="192">
        <f t="shared" si="30"/>
        <v>0</v>
      </c>
      <c r="AS58" s="132"/>
      <c r="AT58" s="132"/>
      <c r="AU58" s="200"/>
      <c r="AV58" s="132"/>
      <c r="AW58" s="132"/>
      <c r="AX58" s="132"/>
      <c r="AY58" s="132"/>
      <c r="AZ58" s="132"/>
      <c r="BA58" s="167"/>
      <c r="BB58" s="167"/>
      <c r="BD58" s="211">
        <f t="shared" si="39"/>
        <v>42463</v>
      </c>
      <c r="BE58" s="210">
        <v>1</v>
      </c>
      <c r="BF58" s="209">
        <v>0.5</v>
      </c>
      <c r="BG58" s="209">
        <v>2.5</v>
      </c>
      <c r="BH58" s="210"/>
      <c r="BI58" s="209"/>
      <c r="BJ58" s="209"/>
      <c r="BK58" s="168">
        <f t="shared" si="81"/>
        <v>11.54</v>
      </c>
      <c r="BL58" s="168">
        <f t="shared" si="78"/>
        <v>6.9889930887783542</v>
      </c>
      <c r="BM58" s="168"/>
    </row>
    <row r="59" spans="1:69" ht="13.5" thickBot="1" x14ac:dyDescent="0.25">
      <c r="A59" s="215">
        <f t="shared" si="79"/>
        <v>42464</v>
      </c>
      <c r="B59" s="190"/>
      <c r="C59" s="168"/>
      <c r="D59" s="198"/>
      <c r="E59" s="190">
        <f t="shared" si="16"/>
        <v>998.10469226625605</v>
      </c>
      <c r="F59" s="168">
        <f t="shared" si="19"/>
        <v>386.49150635962826</v>
      </c>
      <c r="G59" s="300"/>
      <c r="H59" s="127">
        <f>VLOOKUP(MONTH(A59),ETP_Parametros!$A$6:$D$17,4,FALSE)</f>
        <v>3.6</v>
      </c>
      <c r="I59" s="230">
        <f>VLOOKUP(A59,P_Q_obs!$A$4:$F$308,4,FALSE)*1</f>
        <v>12.39</v>
      </c>
      <c r="J59" s="230">
        <f t="shared" ref="J59:S59" si="85">I59</f>
        <v>12.39</v>
      </c>
      <c r="K59" s="230">
        <f t="shared" si="85"/>
        <v>12.39</v>
      </c>
      <c r="L59" s="230">
        <f t="shared" si="85"/>
        <v>12.39</v>
      </c>
      <c r="M59" s="230">
        <f t="shared" si="85"/>
        <v>12.39</v>
      </c>
      <c r="N59" s="230">
        <f t="shared" si="85"/>
        <v>12.39</v>
      </c>
      <c r="O59" s="230">
        <f t="shared" si="85"/>
        <v>12.39</v>
      </c>
      <c r="P59" s="230">
        <f t="shared" si="85"/>
        <v>12.39</v>
      </c>
      <c r="Q59" s="230">
        <f t="shared" si="85"/>
        <v>12.39</v>
      </c>
      <c r="R59" s="230">
        <f t="shared" si="85"/>
        <v>12.39</v>
      </c>
      <c r="S59" s="230">
        <f t="shared" si="85"/>
        <v>12.39</v>
      </c>
      <c r="T59" s="230">
        <f t="shared" si="4"/>
        <v>12.39</v>
      </c>
      <c r="U59" s="230">
        <f t="shared" si="5"/>
        <v>12.39</v>
      </c>
      <c r="V59" s="230">
        <f t="shared" si="6"/>
        <v>12.39</v>
      </c>
      <c r="W59" s="230">
        <f t="shared" si="7"/>
        <v>12.39</v>
      </c>
      <c r="X59" s="230">
        <f t="shared" si="8"/>
        <v>12.39</v>
      </c>
      <c r="Y59" s="230">
        <f t="shared" si="9"/>
        <v>12.39</v>
      </c>
      <c r="Z59" s="292">
        <f t="shared" si="10"/>
        <v>12.39</v>
      </c>
      <c r="AA59" s="300"/>
      <c r="AB59" s="191">
        <f t="shared" si="11"/>
        <v>12.389999999999995</v>
      </c>
      <c r="AC59" s="139">
        <f t="shared" si="21"/>
        <v>9.5987610960371015</v>
      </c>
      <c r="AD59" s="132">
        <f t="shared" si="49"/>
        <v>56.93912845150993</v>
      </c>
      <c r="AE59" s="168">
        <f t="shared" si="22"/>
        <v>0.67834226666891662</v>
      </c>
      <c r="AF59" s="192">
        <f t="shared" si="23"/>
        <v>1.7660596739148506</v>
      </c>
      <c r="AG59" s="192">
        <f t="shared" si="43"/>
        <v>3.1591048056504483</v>
      </c>
      <c r="AH59" s="192">
        <f t="shared" si="24"/>
        <v>0.65961150788056133</v>
      </c>
      <c r="AI59" s="168">
        <f t="shared" si="25"/>
        <v>2.8763304197330721</v>
      </c>
      <c r="AJ59" s="192">
        <f t="shared" si="26"/>
        <v>0.94827152966896333</v>
      </c>
      <c r="AK59" s="132">
        <f t="shared" si="68"/>
        <v>42.153323206887144</v>
      </c>
      <c r="AL59" s="192">
        <f t="shared" si="28"/>
        <v>0.59923314340652267</v>
      </c>
      <c r="AM59" s="192">
        <f t="shared" si="29"/>
        <v>0</v>
      </c>
      <c r="AN59" s="192">
        <f t="shared" si="44"/>
        <v>0</v>
      </c>
      <c r="AO59" s="192">
        <f t="shared" si="30"/>
        <v>0</v>
      </c>
      <c r="AS59" s="132"/>
      <c r="AT59" s="132"/>
      <c r="AU59" s="200"/>
      <c r="AV59" s="132"/>
      <c r="AW59" s="132"/>
      <c r="AX59" s="132"/>
      <c r="AY59" s="132"/>
      <c r="AZ59" s="132"/>
      <c r="BA59" s="167"/>
      <c r="BB59" s="167"/>
      <c r="BD59" s="211">
        <f t="shared" si="39"/>
        <v>42464</v>
      </c>
      <c r="BE59" s="210">
        <v>1</v>
      </c>
      <c r="BF59" s="209">
        <v>0.5</v>
      </c>
      <c r="BG59" s="209">
        <v>2.5</v>
      </c>
      <c r="BH59" s="210"/>
      <c r="BI59" s="209"/>
      <c r="BJ59" s="209"/>
      <c r="BK59" s="168">
        <f t="shared" si="81"/>
        <v>12.39</v>
      </c>
      <c r="BL59" s="168">
        <f t="shared" si="78"/>
        <v>9.5987610960371015</v>
      </c>
      <c r="BM59" s="168"/>
    </row>
    <row r="60" spans="1:69" ht="13.5" thickBot="1" x14ac:dyDescent="0.25">
      <c r="A60" s="215">
        <f t="shared" si="79"/>
        <v>42465</v>
      </c>
      <c r="B60" s="190"/>
      <c r="C60" s="168"/>
      <c r="D60" s="198"/>
      <c r="E60" s="190">
        <f t="shared" si="16"/>
        <v>1084.1466387346607</v>
      </c>
      <c r="F60" s="168">
        <f t="shared" si="19"/>
        <v>387.04589202032423</v>
      </c>
      <c r="G60" s="300"/>
      <c r="H60" s="127">
        <f>VLOOKUP(MONTH(A60),ETP_Parametros!$A$6:$D$17,4,FALSE)</f>
        <v>3.6</v>
      </c>
      <c r="I60" s="230">
        <f>VLOOKUP(A60,P_Q_obs!$A$4:$F$308,4,FALSE)*1</f>
        <v>2.25</v>
      </c>
      <c r="J60" s="230">
        <f t="shared" ref="J60:S60" si="86">I60</f>
        <v>2.25</v>
      </c>
      <c r="K60" s="230">
        <f t="shared" si="86"/>
        <v>2.25</v>
      </c>
      <c r="L60" s="230">
        <f t="shared" si="86"/>
        <v>2.25</v>
      </c>
      <c r="M60" s="230">
        <f t="shared" si="86"/>
        <v>2.25</v>
      </c>
      <c r="N60" s="230">
        <f t="shared" si="86"/>
        <v>2.25</v>
      </c>
      <c r="O60" s="230">
        <f t="shared" si="86"/>
        <v>2.25</v>
      </c>
      <c r="P60" s="230">
        <f t="shared" si="86"/>
        <v>2.25</v>
      </c>
      <c r="Q60" s="230">
        <f t="shared" si="86"/>
        <v>2.25</v>
      </c>
      <c r="R60" s="230">
        <f t="shared" si="86"/>
        <v>2.25</v>
      </c>
      <c r="S60" s="230">
        <f t="shared" si="86"/>
        <v>2.25</v>
      </c>
      <c r="T60" s="230">
        <f t="shared" si="4"/>
        <v>2.25</v>
      </c>
      <c r="U60" s="230">
        <f t="shared" si="5"/>
        <v>2.25</v>
      </c>
      <c r="V60" s="230">
        <f t="shared" si="6"/>
        <v>2.25</v>
      </c>
      <c r="W60" s="230">
        <f t="shared" si="7"/>
        <v>2.25</v>
      </c>
      <c r="X60" s="230">
        <f t="shared" si="8"/>
        <v>2.25</v>
      </c>
      <c r="Y60" s="230">
        <f t="shared" si="9"/>
        <v>2.25</v>
      </c>
      <c r="Z60" s="292">
        <f t="shared" si="10"/>
        <v>2.25</v>
      </c>
      <c r="AA60" s="300"/>
      <c r="AB60" s="191">
        <f t="shared" si="11"/>
        <v>2.25</v>
      </c>
      <c r="AC60" s="139">
        <f t="shared" si="21"/>
        <v>8.381587552655434</v>
      </c>
      <c r="AD60" s="132">
        <f t="shared" si="49"/>
        <v>59.788469286511493</v>
      </c>
      <c r="AE60" s="168">
        <f t="shared" si="22"/>
        <v>0.72978956723256017</v>
      </c>
      <c r="AF60" s="192">
        <f t="shared" si="23"/>
        <v>1.4828510633494258</v>
      </c>
      <c r="AG60" s="192">
        <f t="shared" si="43"/>
        <v>3.1591048056504483</v>
      </c>
      <c r="AH60" s="192">
        <f t="shared" si="24"/>
        <v>0.89029084865399266</v>
      </c>
      <c r="AI60" s="168">
        <f t="shared" si="25"/>
        <v>3.2783663426432295</v>
      </c>
      <c r="AJ60" s="192">
        <f t="shared" si="26"/>
        <v>1.0808151404392683</v>
      </c>
      <c r="AK60" s="132">
        <f t="shared" si="68"/>
        <v>42.443521368634556</v>
      </c>
      <c r="AL60" s="192">
        <f t="shared" si="28"/>
        <v>0.60009268690657891</v>
      </c>
      <c r="AM60" s="192">
        <f t="shared" si="29"/>
        <v>0</v>
      </c>
      <c r="AN60" s="192">
        <f t="shared" si="44"/>
        <v>0</v>
      </c>
      <c r="AO60" s="192">
        <f t="shared" si="30"/>
        <v>0</v>
      </c>
      <c r="AS60" s="132"/>
      <c r="AT60" s="132"/>
      <c r="AU60" s="200"/>
      <c r="AV60" s="132"/>
      <c r="AW60" s="132"/>
      <c r="AX60" s="132"/>
      <c r="AY60" s="132"/>
      <c r="AZ60" s="132"/>
      <c r="BA60" s="167"/>
      <c r="BB60" s="167"/>
      <c r="BD60" s="211">
        <f t="shared" si="39"/>
        <v>42465</v>
      </c>
      <c r="BE60" s="210">
        <v>1</v>
      </c>
      <c r="BF60" s="209">
        <v>0.5</v>
      </c>
      <c r="BG60" s="209">
        <v>2.5</v>
      </c>
      <c r="BH60" s="210"/>
      <c r="BI60" s="209"/>
      <c r="BJ60" s="209"/>
      <c r="BK60" s="168">
        <f t="shared" si="81"/>
        <v>2.25</v>
      </c>
      <c r="BL60" s="168">
        <f t="shared" si="78"/>
        <v>8.381587552655434</v>
      </c>
      <c r="BM60" s="168"/>
    </row>
    <row r="61" spans="1:69" ht="13.5" thickBot="1" x14ac:dyDescent="0.25">
      <c r="A61" s="215">
        <f t="shared" si="79"/>
        <v>42466</v>
      </c>
      <c r="B61" s="190"/>
      <c r="C61" s="168"/>
      <c r="D61" s="198"/>
      <c r="E61" s="190">
        <f t="shared" si="16"/>
        <v>1050.1131999087374</v>
      </c>
      <c r="F61" s="168">
        <f t="shared" si="19"/>
        <v>389.7104507746821</v>
      </c>
      <c r="G61" s="300"/>
      <c r="H61" s="127">
        <f>VLOOKUP(MONTH(A61),ETP_Parametros!$A$6:$D$17,4,FALSE)</f>
        <v>3.6</v>
      </c>
      <c r="I61" s="230">
        <f>VLOOKUP(A61,P_Q_obs!$A$4:$F$308,4,FALSE)*1</f>
        <v>11.93</v>
      </c>
      <c r="J61" s="230">
        <f t="shared" ref="J61:S61" si="87">I61</f>
        <v>11.93</v>
      </c>
      <c r="K61" s="230">
        <f t="shared" si="87"/>
        <v>11.93</v>
      </c>
      <c r="L61" s="230">
        <f t="shared" si="87"/>
        <v>11.93</v>
      </c>
      <c r="M61" s="230">
        <f t="shared" si="87"/>
        <v>11.93</v>
      </c>
      <c r="N61" s="230">
        <f t="shared" si="87"/>
        <v>11.93</v>
      </c>
      <c r="O61" s="230">
        <f t="shared" si="87"/>
        <v>11.93</v>
      </c>
      <c r="P61" s="230">
        <f t="shared" si="87"/>
        <v>11.93</v>
      </c>
      <c r="Q61" s="230">
        <f t="shared" si="87"/>
        <v>11.93</v>
      </c>
      <c r="R61" s="230">
        <f t="shared" si="87"/>
        <v>11.93</v>
      </c>
      <c r="S61" s="230">
        <f t="shared" si="87"/>
        <v>11.93</v>
      </c>
      <c r="T61" s="230">
        <f t="shared" si="4"/>
        <v>11.93</v>
      </c>
      <c r="U61" s="230">
        <f t="shared" si="5"/>
        <v>11.93</v>
      </c>
      <c r="V61" s="230">
        <f t="shared" si="6"/>
        <v>11.93</v>
      </c>
      <c r="W61" s="230">
        <f t="shared" si="7"/>
        <v>11.93</v>
      </c>
      <c r="X61" s="230">
        <f t="shared" si="8"/>
        <v>11.93</v>
      </c>
      <c r="Y61" s="230">
        <f t="shared" si="9"/>
        <v>11.93</v>
      </c>
      <c r="Z61" s="292">
        <f t="shared" si="10"/>
        <v>11.93</v>
      </c>
      <c r="AA61" s="300"/>
      <c r="AB61" s="191">
        <f t="shared" si="11"/>
        <v>11.93</v>
      </c>
      <c r="AC61" s="139">
        <f t="shared" si="21"/>
        <v>6.3884136966275182</v>
      </c>
      <c r="AD61" s="132">
        <f t="shared" si="49"/>
        <v>61.096949932611025</v>
      </c>
      <c r="AE61" s="168">
        <f t="shared" si="22"/>
        <v>0.76630960663999004</v>
      </c>
      <c r="AF61" s="192">
        <f t="shared" si="23"/>
        <v>0.85133147932977693</v>
      </c>
      <c r="AG61" s="192">
        <f t="shared" si="43"/>
        <v>3.1591048056504483</v>
      </c>
      <c r="AH61" s="192">
        <f t="shared" si="24"/>
        <v>1.0694967655477627</v>
      </c>
      <c r="AI61" s="168">
        <f t="shared" si="25"/>
        <v>3.1057808438087311</v>
      </c>
      <c r="AJ61" s="192">
        <f t="shared" si="26"/>
        <v>1.0239169781642752</v>
      </c>
      <c r="AK61" s="132">
        <f t="shared" si="68"/>
        <v>42.908794200167094</v>
      </c>
      <c r="AL61" s="192">
        <f t="shared" si="28"/>
        <v>0.60422393401522689</v>
      </c>
      <c r="AM61" s="192">
        <f t="shared" si="29"/>
        <v>0</v>
      </c>
      <c r="AN61" s="192">
        <f t="shared" si="44"/>
        <v>0</v>
      </c>
      <c r="AO61" s="192">
        <f t="shared" si="30"/>
        <v>0</v>
      </c>
      <c r="AS61" s="132"/>
      <c r="AT61" s="132"/>
      <c r="AU61" s="200"/>
      <c r="AV61" s="132"/>
      <c r="AW61" s="132"/>
      <c r="AX61" s="132"/>
      <c r="AY61" s="132"/>
      <c r="AZ61" s="132"/>
      <c r="BA61" s="167"/>
      <c r="BB61" s="167"/>
      <c r="BD61" s="211">
        <f t="shared" si="39"/>
        <v>42466</v>
      </c>
      <c r="BE61" s="210">
        <v>1</v>
      </c>
      <c r="BF61" s="209">
        <v>0.5</v>
      </c>
      <c r="BG61" s="209">
        <v>2.5</v>
      </c>
      <c r="BH61" s="210"/>
      <c r="BI61" s="209"/>
      <c r="BJ61" s="209"/>
      <c r="BK61" s="168">
        <f t="shared" si="81"/>
        <v>11.93</v>
      </c>
      <c r="BL61" s="168">
        <f t="shared" si="78"/>
        <v>6.3884136966275182</v>
      </c>
      <c r="BM61" s="168"/>
    </row>
    <row r="62" spans="1:69" ht="13.5" thickBot="1" x14ac:dyDescent="0.25">
      <c r="A62" s="215">
        <f t="shared" si="79"/>
        <v>42467</v>
      </c>
      <c r="B62" s="190"/>
      <c r="C62" s="168"/>
      <c r="D62" s="198"/>
      <c r="E62" s="190">
        <f t="shared" si="16"/>
        <v>1053.4533326882686</v>
      </c>
      <c r="F62" s="168">
        <f t="shared" si="19"/>
        <v>393.98252055265652</v>
      </c>
      <c r="G62" s="300"/>
      <c r="H62" s="127">
        <f>VLOOKUP(MONTH(A62),ETP_Parametros!$A$6:$D$17,4,FALSE)</f>
        <v>3.6</v>
      </c>
      <c r="I62" s="230">
        <f>VLOOKUP(A62,P_Q_obs!$A$4:$F$308,4,FALSE)*1</f>
        <v>4.37</v>
      </c>
      <c r="J62" s="230">
        <f t="shared" ref="J62:S62" si="88">I62</f>
        <v>4.37</v>
      </c>
      <c r="K62" s="230">
        <f t="shared" si="88"/>
        <v>4.37</v>
      </c>
      <c r="L62" s="230">
        <f t="shared" si="88"/>
        <v>4.37</v>
      </c>
      <c r="M62" s="230">
        <f t="shared" si="88"/>
        <v>4.37</v>
      </c>
      <c r="N62" s="230">
        <f t="shared" si="88"/>
        <v>4.37</v>
      </c>
      <c r="O62" s="230">
        <f t="shared" si="88"/>
        <v>4.37</v>
      </c>
      <c r="P62" s="230">
        <f t="shared" si="88"/>
        <v>4.37</v>
      </c>
      <c r="Q62" s="230">
        <f t="shared" si="88"/>
        <v>4.37</v>
      </c>
      <c r="R62" s="230">
        <f t="shared" si="88"/>
        <v>4.37</v>
      </c>
      <c r="S62" s="230">
        <f t="shared" si="88"/>
        <v>4.37</v>
      </c>
      <c r="T62" s="230">
        <f t="shared" si="4"/>
        <v>4.37</v>
      </c>
      <c r="U62" s="230">
        <f t="shared" si="5"/>
        <v>4.37</v>
      </c>
      <c r="V62" s="230">
        <f t="shared" si="6"/>
        <v>4.37</v>
      </c>
      <c r="W62" s="230">
        <f t="shared" si="7"/>
        <v>4.37</v>
      </c>
      <c r="X62" s="230">
        <f t="shared" si="8"/>
        <v>4.37</v>
      </c>
      <c r="Y62" s="230">
        <f t="shared" si="9"/>
        <v>4.37</v>
      </c>
      <c r="Z62" s="292">
        <f t="shared" si="10"/>
        <v>4.37</v>
      </c>
      <c r="AA62" s="300"/>
      <c r="AB62" s="191">
        <f t="shared" si="11"/>
        <v>4.3699999999999974</v>
      </c>
      <c r="AC62" s="139">
        <f t="shared" si="21"/>
        <v>6.6911042897803927</v>
      </c>
      <c r="AD62" s="132">
        <f t="shared" si="49"/>
        <v>62.454767794266061</v>
      </c>
      <c r="AE62" s="168">
        <f t="shared" si="22"/>
        <v>0.78308042049714932</v>
      </c>
      <c r="AF62" s="192">
        <f t="shared" si="23"/>
        <v>1.0180892946821363</v>
      </c>
      <c r="AG62" s="192">
        <f t="shared" si="43"/>
        <v>3.1591048056504483</v>
      </c>
      <c r="AH62" s="192">
        <f t="shared" si="24"/>
        <v>1.1560923277927677</v>
      </c>
      <c r="AI62" s="168">
        <f t="shared" si="25"/>
        <v>3.1013980757460642</v>
      </c>
      <c r="AJ62" s="192">
        <f t="shared" si="26"/>
        <v>1.022472062744803</v>
      </c>
      <c r="AK62" s="132">
        <f t="shared" si="68"/>
        <v>43.454038992235972</v>
      </c>
      <c r="AL62" s="192">
        <f t="shared" si="28"/>
        <v>0.61084753572389061</v>
      </c>
      <c r="AM62" s="192">
        <f t="shared" si="29"/>
        <v>0</v>
      </c>
      <c r="AN62" s="192">
        <f t="shared" si="44"/>
        <v>0</v>
      </c>
      <c r="AO62" s="192">
        <f t="shared" si="30"/>
        <v>0</v>
      </c>
      <c r="AS62" s="132"/>
      <c r="AT62" s="132"/>
      <c r="AU62" s="200"/>
      <c r="AV62" s="132"/>
      <c r="AW62" s="132"/>
      <c r="AX62" s="132"/>
      <c r="AY62" s="132"/>
      <c r="AZ62" s="132"/>
      <c r="BA62" s="167"/>
      <c r="BB62" s="167"/>
      <c r="BD62" s="211">
        <f t="shared" si="39"/>
        <v>42467</v>
      </c>
      <c r="BE62" s="210">
        <v>1</v>
      </c>
      <c r="BF62" s="209">
        <v>0.5</v>
      </c>
      <c r="BG62" s="209">
        <v>2.5</v>
      </c>
      <c r="BH62" s="210"/>
      <c r="BI62" s="209"/>
      <c r="BJ62" s="209"/>
      <c r="BK62" s="168">
        <f t="shared" si="81"/>
        <v>4.37</v>
      </c>
      <c r="BL62" s="168">
        <f t="shared" si="78"/>
        <v>6.6911042897803927</v>
      </c>
      <c r="BM62" s="168"/>
    </row>
    <row r="63" spans="1:69" ht="13.5" thickBot="1" x14ac:dyDescent="0.25">
      <c r="A63" s="215">
        <f t="shared" si="79"/>
        <v>42468</v>
      </c>
      <c r="B63" s="190"/>
      <c r="C63" s="168"/>
      <c r="D63" s="198"/>
      <c r="E63" s="132"/>
      <c r="F63" s="168"/>
      <c r="G63" s="300"/>
      <c r="H63" s="127">
        <f>VLOOKUP(MONTH(A63),ETP_Parametros!$A$6:$D$17,4,FALSE)</f>
        <v>3.6</v>
      </c>
      <c r="I63" s="230">
        <f>VLOOKUP(A63,P_Q_obs!$A$4:$F$308,4,FALSE)*1</f>
        <v>0.06</v>
      </c>
      <c r="J63" s="230">
        <f t="shared" ref="J63:S63" si="89">I63</f>
        <v>0.06</v>
      </c>
      <c r="K63" s="230">
        <f t="shared" si="89"/>
        <v>0.06</v>
      </c>
      <c r="L63" s="230">
        <f t="shared" si="89"/>
        <v>0.06</v>
      </c>
      <c r="M63" s="230">
        <f t="shared" si="89"/>
        <v>0.06</v>
      </c>
      <c r="N63" s="230">
        <f t="shared" si="89"/>
        <v>0.06</v>
      </c>
      <c r="O63" s="230">
        <f t="shared" si="89"/>
        <v>0.06</v>
      </c>
      <c r="P63" s="230">
        <f t="shared" si="89"/>
        <v>0.06</v>
      </c>
      <c r="Q63" s="230">
        <f t="shared" si="89"/>
        <v>0.06</v>
      </c>
      <c r="R63" s="230">
        <f t="shared" si="89"/>
        <v>0.06</v>
      </c>
      <c r="S63" s="230">
        <f t="shared" si="89"/>
        <v>0.06</v>
      </c>
      <c r="T63" s="230">
        <f t="shared" si="4"/>
        <v>0.06</v>
      </c>
      <c r="U63" s="230">
        <f t="shared" si="5"/>
        <v>0.06</v>
      </c>
      <c r="V63" s="230">
        <f t="shared" si="6"/>
        <v>0.06</v>
      </c>
      <c r="W63" s="230">
        <f t="shared" si="7"/>
        <v>0.06</v>
      </c>
      <c r="X63" s="230">
        <f t="shared" si="8"/>
        <v>0.06</v>
      </c>
      <c r="Y63" s="230">
        <f t="shared" si="9"/>
        <v>0.06</v>
      </c>
      <c r="Z63" s="292">
        <f t="shared" si="10"/>
        <v>0.06</v>
      </c>
      <c r="AA63" s="300"/>
      <c r="AB63" s="191">
        <f>SUMPRODUCT($I$17:$Z$17,I63:Z63)</f>
        <v>6.0000000000000005E-2</v>
      </c>
      <c r="AC63" s="139">
        <f>(AB60*$J$5+AB61*$J$6+AB62*$J$7+AB63*$J$8)*BE63</f>
        <v>1.8411117671121366</v>
      </c>
      <c r="AD63" s="132">
        <f t="shared" si="49"/>
        <v>60.150921362344732</v>
      </c>
      <c r="AE63" s="168">
        <f t="shared" si="22"/>
        <v>0.80048359010277037</v>
      </c>
      <c r="AF63" s="192">
        <f t="shared" si="23"/>
        <v>0</v>
      </c>
      <c r="AG63" s="192">
        <f t="shared" si="43"/>
        <v>2.8961435663317436</v>
      </c>
      <c r="AH63" s="192">
        <f t="shared" si="24"/>
        <v>1.2488146327017249</v>
      </c>
      <c r="AI63" s="168">
        <f t="shared" si="25"/>
        <v>2.3324376620068223</v>
      </c>
      <c r="AJ63" s="192">
        <f t="shared" si="26"/>
        <v>0.76896041373924173</v>
      </c>
      <c r="AK63" s="132">
        <f t="shared" si="68"/>
        <v>44.084244010511526</v>
      </c>
      <c r="AL63" s="192">
        <f t="shared" si="28"/>
        <v>0.61860961442616891</v>
      </c>
      <c r="AM63" s="192">
        <f t="shared" si="29"/>
        <v>0</v>
      </c>
      <c r="AN63" s="192">
        <f t="shared" si="44"/>
        <v>0</v>
      </c>
      <c r="AO63" s="192">
        <f t="shared" si="30"/>
        <v>0</v>
      </c>
      <c r="AS63" s="132"/>
      <c r="AT63" s="132"/>
      <c r="AU63" s="200"/>
      <c r="AV63" s="132"/>
      <c r="AW63" s="132"/>
      <c r="AX63" s="132"/>
      <c r="AY63" s="132"/>
      <c r="AZ63" s="132"/>
      <c r="BA63" s="167"/>
      <c r="BB63" s="167"/>
      <c r="BD63" s="211">
        <f t="shared" si="39"/>
        <v>42468</v>
      </c>
      <c r="BE63" s="210">
        <v>1</v>
      </c>
      <c r="BF63" s="209">
        <v>0.5</v>
      </c>
      <c r="BG63" s="209">
        <v>2.5</v>
      </c>
      <c r="BH63" s="210"/>
      <c r="BI63" s="209"/>
      <c r="BJ63" s="209"/>
      <c r="BK63" s="168">
        <f t="shared" si="81"/>
        <v>0.06</v>
      </c>
      <c r="BL63" s="168">
        <f t="shared" si="78"/>
        <v>1.8411117671121366</v>
      </c>
      <c r="BM63" s="168"/>
    </row>
    <row r="64" spans="1:69" ht="13.5" thickBot="1" x14ac:dyDescent="0.25">
      <c r="A64" s="194"/>
      <c r="B64" s="190"/>
      <c r="C64" s="168"/>
      <c r="D64" s="198"/>
      <c r="E64" s="132"/>
      <c r="F64" s="168"/>
      <c r="G64" s="300"/>
      <c r="H64" s="127"/>
      <c r="I64" s="124"/>
      <c r="J64" s="124"/>
      <c r="K64" s="124"/>
      <c r="L64" s="124"/>
      <c r="M64" s="124"/>
      <c r="N64" s="124"/>
      <c r="O64" s="124"/>
      <c r="P64" s="124"/>
      <c r="Q64" s="124"/>
      <c r="R64" s="124"/>
      <c r="S64" s="124"/>
      <c r="T64" s="124"/>
      <c r="U64" s="124"/>
      <c r="V64" s="124"/>
      <c r="W64" s="124"/>
      <c r="X64" s="124"/>
      <c r="Y64" s="124"/>
      <c r="Z64" s="293"/>
      <c r="AA64" s="300"/>
      <c r="AB64" s="191"/>
      <c r="AC64" s="139"/>
      <c r="AD64" s="132"/>
      <c r="AE64" s="168"/>
      <c r="AF64" s="192"/>
      <c r="AG64" s="192"/>
      <c r="AH64" s="192"/>
      <c r="AI64" s="168"/>
      <c r="AJ64" s="192"/>
      <c r="AK64" s="132"/>
      <c r="AL64" s="192"/>
      <c r="AM64" s="192"/>
      <c r="AN64" s="192"/>
      <c r="AO64" s="192"/>
      <c r="AS64" s="132"/>
      <c r="AT64" s="132"/>
      <c r="AU64" s="200"/>
      <c r="AV64" s="132"/>
      <c r="AW64" s="132"/>
      <c r="AX64" s="132"/>
      <c r="AY64" s="132"/>
      <c r="AZ64" s="132"/>
      <c r="BA64" s="167"/>
      <c r="BB64" s="167"/>
      <c r="BD64" s="211"/>
      <c r="BE64" s="210"/>
    </row>
    <row r="65" spans="1:57" ht="13.5" thickBot="1" x14ac:dyDescent="0.25">
      <c r="A65" s="194"/>
      <c r="B65" s="190"/>
      <c r="C65" s="168"/>
      <c r="D65" s="198"/>
      <c r="E65" s="132"/>
      <c r="F65" s="168"/>
      <c r="G65" s="300"/>
      <c r="H65" s="127"/>
      <c r="I65" s="124"/>
      <c r="J65" s="124"/>
      <c r="K65" s="124"/>
      <c r="L65" s="124"/>
      <c r="M65" s="124"/>
      <c r="N65" s="124"/>
      <c r="O65" s="124"/>
      <c r="P65" s="124"/>
      <c r="Q65" s="124"/>
      <c r="R65" s="124"/>
      <c r="S65" s="124"/>
      <c r="T65" s="124"/>
      <c r="U65" s="124"/>
      <c r="V65" s="124"/>
      <c r="W65" s="124"/>
      <c r="X65" s="124"/>
      <c r="Y65" s="124"/>
      <c r="Z65" s="293"/>
      <c r="AA65" s="300"/>
      <c r="AB65" s="191"/>
      <c r="AC65" s="139"/>
      <c r="AD65" s="132"/>
      <c r="AE65" s="172"/>
      <c r="AF65" s="233"/>
      <c r="AG65" s="233"/>
      <c r="AH65" s="192"/>
      <c r="AI65" s="132"/>
      <c r="AJ65" s="172"/>
      <c r="AK65" s="233"/>
      <c r="AL65" s="233"/>
      <c r="AM65" s="192"/>
      <c r="AN65" s="192"/>
      <c r="AO65" s="192"/>
      <c r="AS65" s="132"/>
      <c r="AT65" s="132"/>
      <c r="AU65" s="200"/>
      <c r="AV65" s="132"/>
      <c r="AW65" s="132"/>
      <c r="AX65" s="132"/>
      <c r="AY65" s="132"/>
      <c r="AZ65" s="132"/>
      <c r="BA65" s="167"/>
      <c r="BB65" s="167"/>
      <c r="BD65" s="211"/>
      <c r="BE65" s="210"/>
    </row>
    <row r="66" spans="1:57" ht="13.5" thickBot="1" x14ac:dyDescent="0.25">
      <c r="A66" s="194"/>
      <c r="B66" s="190"/>
      <c r="C66" s="168"/>
      <c r="D66" s="198"/>
      <c r="E66" s="132"/>
      <c r="F66" s="168"/>
      <c r="G66" s="300"/>
      <c r="H66" s="127"/>
      <c r="I66" s="124"/>
      <c r="J66" s="124"/>
      <c r="K66" s="124"/>
      <c r="L66" s="124"/>
      <c r="M66" s="124"/>
      <c r="N66" s="124"/>
      <c r="O66" s="124"/>
      <c r="P66" s="124"/>
      <c r="Q66" s="124"/>
      <c r="R66" s="124"/>
      <c r="S66" s="124"/>
      <c r="T66" s="124"/>
      <c r="U66" s="124"/>
      <c r="V66" s="124"/>
      <c r="W66" s="124"/>
      <c r="X66" s="124"/>
      <c r="Y66" s="124"/>
      <c r="Z66" s="293"/>
      <c r="AA66" s="300"/>
      <c r="AB66" s="191"/>
      <c r="AC66" s="139"/>
      <c r="AD66" s="234"/>
      <c r="AE66" s="168"/>
      <c r="AF66" s="192"/>
      <c r="AG66" s="192"/>
      <c r="AH66" s="192"/>
      <c r="AI66" s="234"/>
      <c r="AJ66" s="168"/>
      <c r="AK66" s="192"/>
      <c r="AL66" s="192"/>
      <c r="AM66" s="192"/>
      <c r="AN66" s="192"/>
      <c r="AO66" s="192"/>
      <c r="AS66" s="132"/>
      <c r="AT66" s="132"/>
      <c r="AU66" s="200"/>
      <c r="AV66" s="132"/>
      <c r="AW66" s="132"/>
      <c r="AX66" s="132"/>
      <c r="AY66" s="132"/>
      <c r="AZ66" s="132"/>
      <c r="BA66" s="167"/>
      <c r="BB66" s="167"/>
      <c r="BD66" s="211"/>
      <c r="BE66" s="210"/>
    </row>
    <row r="67" spans="1:57" ht="13.5" thickBot="1" x14ac:dyDescent="0.25">
      <c r="A67" s="194"/>
      <c r="B67" s="190"/>
      <c r="C67" s="168"/>
      <c r="D67" s="198"/>
      <c r="E67" s="132"/>
      <c r="F67" s="168"/>
      <c r="G67" s="300"/>
      <c r="H67" s="127"/>
      <c r="I67" s="124"/>
      <c r="J67" s="124"/>
      <c r="K67" s="124"/>
      <c r="L67" s="124"/>
      <c r="M67" s="124"/>
      <c r="N67" s="124"/>
      <c r="O67" s="124"/>
      <c r="P67" s="124"/>
      <c r="Q67" s="124"/>
      <c r="R67" s="124"/>
      <c r="S67" s="124"/>
      <c r="T67" s="124"/>
      <c r="U67" s="124"/>
      <c r="V67" s="124"/>
      <c r="W67" s="124"/>
      <c r="X67" s="124"/>
      <c r="Y67" s="124"/>
      <c r="Z67" s="293"/>
      <c r="AA67" s="300"/>
      <c r="AB67" s="191"/>
      <c r="AC67" s="139"/>
      <c r="AD67" s="234"/>
      <c r="AE67" s="168"/>
      <c r="AF67" s="192"/>
      <c r="AG67" s="192"/>
      <c r="AH67" s="192"/>
      <c r="AI67" s="234"/>
      <c r="AJ67" s="168"/>
      <c r="AK67" s="192"/>
      <c r="AL67" s="192"/>
      <c r="AM67" s="192"/>
      <c r="AN67" s="192"/>
      <c r="AO67" s="192"/>
      <c r="AS67" s="132"/>
      <c r="AT67" s="132"/>
      <c r="AU67" s="200"/>
      <c r="AV67" s="132"/>
      <c r="AW67" s="132"/>
      <c r="AX67" s="132"/>
      <c r="AY67" s="132"/>
      <c r="AZ67" s="132"/>
      <c r="BA67" s="167"/>
      <c r="BB67" s="167"/>
      <c r="BD67" s="211"/>
      <c r="BE67" s="210"/>
    </row>
    <row r="68" spans="1:57" x14ac:dyDescent="0.2">
      <c r="A68" s="194"/>
      <c r="B68" s="190"/>
      <c r="C68" s="168"/>
      <c r="D68" s="198"/>
      <c r="E68" s="132"/>
      <c r="F68" s="168"/>
      <c r="G68" s="300"/>
      <c r="H68" s="127"/>
      <c r="I68" s="124"/>
      <c r="J68" s="124"/>
      <c r="K68" s="124"/>
      <c r="L68" s="124"/>
      <c r="M68" s="124"/>
      <c r="N68" s="124"/>
      <c r="O68" s="124"/>
      <c r="P68" s="124"/>
      <c r="Q68" s="124"/>
      <c r="R68" s="124"/>
      <c r="S68" s="124"/>
      <c r="T68" s="124"/>
      <c r="U68" s="124"/>
      <c r="V68" s="124"/>
      <c r="W68" s="124"/>
      <c r="X68" s="124"/>
      <c r="Y68" s="124"/>
      <c r="Z68" s="293"/>
      <c r="AA68" s="300"/>
      <c r="AB68" s="191"/>
      <c r="AC68" s="139"/>
      <c r="AD68" s="132"/>
      <c r="AE68" s="168"/>
      <c r="AF68" s="192"/>
      <c r="AG68" s="192"/>
      <c r="AH68" s="192"/>
      <c r="AI68" s="168"/>
      <c r="AJ68" s="192"/>
      <c r="AK68" s="132"/>
      <c r="AL68" s="192"/>
      <c r="AM68" s="192"/>
      <c r="AN68" s="192"/>
      <c r="AO68" s="192"/>
      <c r="AS68" s="132"/>
      <c r="AT68" s="132"/>
      <c r="AU68" s="200"/>
      <c r="AV68" s="132"/>
      <c r="AW68" s="132"/>
      <c r="AX68" s="132"/>
      <c r="AY68" s="132"/>
      <c r="AZ68" s="132"/>
      <c r="BA68" s="167"/>
      <c r="BB68" s="167"/>
      <c r="BD68" s="211"/>
      <c r="BE68" s="210"/>
    </row>
    <row r="69" spans="1:57" x14ac:dyDescent="0.2">
      <c r="AG69" s="167">
        <f>AH20</f>
        <v>0</v>
      </c>
      <c r="AH69" s="167">
        <f>AI20</f>
        <v>5</v>
      </c>
      <c r="AL69" s="204"/>
    </row>
  </sheetData>
  <mergeCells count="18">
    <mergeCell ref="BE23:BG23"/>
    <mergeCell ref="BH23:BJ23"/>
    <mergeCell ref="BD22:BJ22"/>
    <mergeCell ref="I15:Z15"/>
    <mergeCell ref="AD14:AD15"/>
    <mergeCell ref="AE14:AE15"/>
    <mergeCell ref="AF14:AF15"/>
    <mergeCell ref="AI14:AI15"/>
    <mergeCell ref="AK14:AK15"/>
    <mergeCell ref="AL14:AL15"/>
    <mergeCell ref="AN14:AN15"/>
    <mergeCell ref="BK22:BL22"/>
    <mergeCell ref="N4:R4"/>
    <mergeCell ref="X3:Z3"/>
    <mergeCell ref="F14:F15"/>
    <mergeCell ref="Y9:Z9"/>
    <mergeCell ref="X11:Z11"/>
    <mergeCell ref="I16:Z16"/>
  </mergeCells>
  <pageMargins left="0.53" right="0.51" top="0.984251969" bottom="0.984251969" header="0.49212598499999999" footer="0.49212598499999999"/>
  <pageSetup paperSize="9" scale="90" orientation="landscape" horizontalDpi="180" verticalDpi="180" r:id="rId1"/>
  <headerFooter alignWithMargins="0"/>
  <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3"/>
  <dimension ref="A1:BM69"/>
  <sheetViews>
    <sheetView tabSelected="1" topLeftCell="A17" zoomScale="70" zoomScaleNormal="70" zoomScaleSheetLayoutView="75" zoomScalePageLayoutView="115" workbookViewId="0">
      <pane xSplit="1" topLeftCell="B1" activePane="topRight" state="frozen"/>
      <selection activeCell="N21" sqref="N21"/>
      <selection pane="topRight" activeCell="E53" sqref="E53:E67"/>
    </sheetView>
  </sheetViews>
  <sheetFormatPr defaultRowHeight="12.75" x14ac:dyDescent="0.2"/>
  <cols>
    <col min="1" max="1" width="13.42578125" style="125" customWidth="1"/>
    <col min="2" max="2" width="10.85546875" style="125" bestFit="1" customWidth="1"/>
    <col min="3" max="3" width="10.28515625" style="125" bestFit="1" customWidth="1"/>
    <col min="4" max="4" width="9.5703125" style="125" customWidth="1"/>
    <col min="5" max="6" width="11.5703125" style="125" bestFit="1" customWidth="1"/>
    <col min="7" max="7" width="2.140625" style="297" customWidth="1"/>
    <col min="8" max="8" width="10.5703125" style="125" customWidth="1"/>
    <col min="9" max="9" width="7.42578125" style="125" customWidth="1"/>
    <col min="10" max="25" width="6.140625" style="125" customWidth="1"/>
    <col min="26" max="26" width="7.140625" style="125" customWidth="1"/>
    <col min="27" max="27" width="2.140625" style="297" customWidth="1"/>
    <col min="28" max="28" width="10" style="125" customWidth="1"/>
    <col min="29" max="29" width="10.7109375" style="125" bestFit="1" customWidth="1"/>
    <col min="30" max="30" width="12.85546875" style="125" customWidth="1"/>
    <col min="31" max="31" width="9" style="125" customWidth="1"/>
    <col min="32" max="32" width="12" style="125" customWidth="1"/>
    <col min="33" max="33" width="6.85546875" style="125" customWidth="1"/>
    <col min="34" max="34" width="6.85546875" style="125" bestFit="1" customWidth="1"/>
    <col min="35" max="35" width="12.42578125" style="125" customWidth="1"/>
    <col min="36" max="36" width="5.42578125" style="125" customWidth="1"/>
    <col min="37" max="37" width="12.42578125" style="125" customWidth="1"/>
    <col min="38" max="38" width="13.140625" style="125" customWidth="1"/>
    <col min="39" max="39" width="5.42578125" style="125" customWidth="1"/>
    <col min="40" max="40" width="13.7109375" style="125" customWidth="1"/>
    <col min="41" max="41" width="7" style="125" customWidth="1"/>
    <col min="42" max="44" width="33.7109375" style="125" customWidth="1"/>
    <col min="45" max="46" width="12" style="125" bestFit="1" customWidth="1"/>
    <col min="47" max="48" width="9.140625" style="125"/>
    <col min="49" max="50" width="12.5703125" style="125" bestFit="1" customWidth="1"/>
    <col min="51" max="51" width="25.5703125" style="125" bestFit="1" customWidth="1"/>
    <col min="52" max="52" width="17.28515625" style="125" bestFit="1" customWidth="1"/>
    <col min="53" max="55" width="9.140625" style="125"/>
    <col min="56" max="56" width="13" style="209" customWidth="1"/>
    <col min="57" max="60" width="9.140625" style="209"/>
    <col min="61" max="16384" width="9.140625" style="125"/>
  </cols>
  <sheetData>
    <row r="1" spans="2:57" x14ac:dyDescent="0.2">
      <c r="B1" s="205"/>
      <c r="C1" s="206"/>
      <c r="G1" s="301"/>
      <c r="I1" s="135">
        <v>0.13333333333333333</v>
      </c>
      <c r="J1" s="135">
        <v>0.13333333333333333</v>
      </c>
      <c r="K1" s="135">
        <v>0.13333333333333333</v>
      </c>
      <c r="L1" s="135">
        <v>0.13333333333333333</v>
      </c>
      <c r="M1" s="135">
        <v>0.13333333333333333</v>
      </c>
      <c r="N1" s="135">
        <v>0.13333333333333333</v>
      </c>
      <c r="O1" s="135">
        <v>0.13333333333333333</v>
      </c>
      <c r="P1" s="135">
        <v>0.13333333333333333</v>
      </c>
      <c r="Q1" s="135">
        <v>0.13333333333333333</v>
      </c>
      <c r="R1" s="135">
        <v>0.13333333333333333</v>
      </c>
      <c r="S1" s="135">
        <v>0.13333333333333333</v>
      </c>
      <c r="T1" s="135">
        <v>0.13333333333333333</v>
      </c>
      <c r="U1" s="135">
        <v>0.13333333333333333</v>
      </c>
      <c r="V1" s="135">
        <v>0.13333333333333333</v>
      </c>
      <c r="W1" s="135">
        <v>0.13333333333333333</v>
      </c>
      <c r="X1" s="135">
        <v>0.13333333333333333</v>
      </c>
      <c r="Y1" s="135">
        <v>0.13333333333333333</v>
      </c>
      <c r="Z1" s="135">
        <v>0.13333333333333333</v>
      </c>
      <c r="AA1" s="296"/>
      <c r="AB1" s="280"/>
      <c r="AC1" s="145"/>
      <c r="AD1" s="146"/>
      <c r="AE1" s="146"/>
      <c r="AF1" s="146"/>
      <c r="AG1" s="146"/>
      <c r="AH1" s="146"/>
    </row>
    <row r="2" spans="2:57" x14ac:dyDescent="0.2">
      <c r="B2" s="147" t="s">
        <v>35</v>
      </c>
      <c r="C2" s="148">
        <f>AT20+BB22</f>
        <v>-5.0525426742561184</v>
      </c>
      <c r="D2" s="149"/>
      <c r="E2" s="150"/>
      <c r="I2" s="135">
        <v>8.3333333333333332E-3</v>
      </c>
      <c r="J2" s="135">
        <v>8.3333333333333332E-3</v>
      </c>
      <c r="K2" s="135">
        <v>8.3333333333333332E-3</v>
      </c>
      <c r="L2" s="135">
        <v>8.3333333333333332E-3</v>
      </c>
      <c r="M2" s="135">
        <v>8.3333333333333332E-3</v>
      </c>
      <c r="N2" s="135">
        <v>8.3333333333333332E-3</v>
      </c>
      <c r="O2" s="135">
        <v>8.3333333333333332E-3</v>
      </c>
      <c r="P2" s="135">
        <v>8.3333333333333332E-3</v>
      </c>
      <c r="Q2" s="135">
        <v>8.3333333333333332E-3</v>
      </c>
      <c r="R2" s="135">
        <v>8.3333333333333332E-3</v>
      </c>
      <c r="S2" s="135">
        <v>8.3333333333333332E-3</v>
      </c>
      <c r="T2" s="135">
        <v>8.3333333333333332E-3</v>
      </c>
      <c r="U2" s="135">
        <v>8.3333333333333332E-3</v>
      </c>
      <c r="V2" s="135">
        <v>8.3333333333333332E-3</v>
      </c>
      <c r="W2" s="135">
        <v>8.3333333333333332E-3</v>
      </c>
      <c r="X2" s="135">
        <v>8.3333333333333332E-3</v>
      </c>
      <c r="Y2" s="135">
        <v>8.3333333333333332E-3</v>
      </c>
      <c r="Z2" s="135">
        <v>8.3333333333333332E-3</v>
      </c>
      <c r="AC2" s="146"/>
      <c r="AD2" s="146"/>
      <c r="AE2" s="146"/>
      <c r="AF2" s="146"/>
      <c r="AG2" s="146"/>
      <c r="AH2" s="146"/>
      <c r="AM2" s="136"/>
      <c r="AN2" s="136"/>
      <c r="AO2" s="136"/>
    </row>
    <row r="3" spans="2:57" x14ac:dyDescent="0.2">
      <c r="B3" s="152" t="s">
        <v>36</v>
      </c>
      <c r="C3" s="153">
        <f>AZ20</f>
        <v>0.99747432263019908</v>
      </c>
      <c r="D3" s="151"/>
      <c r="I3" s="280" t="s">
        <v>69</v>
      </c>
      <c r="M3" s="154"/>
      <c r="S3" s="150"/>
      <c r="T3" s="150"/>
      <c r="U3" s="150"/>
      <c r="V3" s="150"/>
      <c r="X3" s="387" t="s">
        <v>26</v>
      </c>
      <c r="Y3" s="388"/>
      <c r="Z3" s="389"/>
      <c r="AC3" s="146"/>
      <c r="AD3" s="146"/>
      <c r="AE3" s="146"/>
      <c r="AF3" s="146"/>
      <c r="AG3" s="157"/>
      <c r="AH3" s="157"/>
      <c r="AM3" s="136"/>
      <c r="AN3" s="136"/>
      <c r="AO3" s="136"/>
    </row>
    <row r="4" spans="2:57" x14ac:dyDescent="0.2">
      <c r="B4" s="152" t="s">
        <v>41</v>
      </c>
      <c r="C4" s="158">
        <f>AV22</f>
        <v>-15</v>
      </c>
      <c r="D4" s="159"/>
      <c r="I4" s="125" t="s">
        <v>49</v>
      </c>
      <c r="J4" s="125" t="s">
        <v>51</v>
      </c>
      <c r="M4" s="154"/>
      <c r="N4" s="387" t="s">
        <v>34</v>
      </c>
      <c r="O4" s="388"/>
      <c r="P4" s="388"/>
      <c r="Q4" s="388"/>
      <c r="R4" s="389"/>
      <c r="S4" s="154"/>
      <c r="T4" s="154"/>
      <c r="U4" s="154"/>
      <c r="V4" s="154"/>
      <c r="X4" s="155" t="s">
        <v>23</v>
      </c>
      <c r="Y4" s="232">
        <f>Operacional_10_dias!Y4</f>
        <v>61.347914490414695</v>
      </c>
      <c r="Z4" s="156">
        <f>Y4/100</f>
        <v>0.6134791449041469</v>
      </c>
      <c r="AC4" s="146"/>
      <c r="AD4" s="146"/>
      <c r="AE4" s="146"/>
      <c r="AF4" s="146"/>
      <c r="AG4" s="157"/>
      <c r="AH4" s="157"/>
      <c r="AM4" s="136"/>
      <c r="AN4" s="136"/>
      <c r="AO4" s="136"/>
    </row>
    <row r="5" spans="2:57" x14ac:dyDescent="0.2">
      <c r="B5" s="160" t="s">
        <v>45</v>
      </c>
      <c r="C5" s="161">
        <f>BA22</f>
        <v>17.630966598891774</v>
      </c>
      <c r="D5" s="159"/>
      <c r="H5" s="162"/>
      <c r="I5" s="125">
        <v>3</v>
      </c>
      <c r="J5" s="122">
        <f>Operacional_10_dias!J5</f>
        <v>2.2987808881364698E-2</v>
      </c>
      <c r="K5" s="135">
        <v>0</v>
      </c>
      <c r="L5" s="135">
        <v>1</v>
      </c>
      <c r="N5" s="155" t="s">
        <v>93</v>
      </c>
      <c r="O5" s="268">
        <f>Operacional_10_dias!O5</f>
        <v>78.021296834139704</v>
      </c>
      <c r="P5" s="156"/>
      <c r="Q5" s="269">
        <v>25</v>
      </c>
      <c r="R5" s="270">
        <v>2000</v>
      </c>
      <c r="S5" s="154"/>
      <c r="T5" s="154"/>
      <c r="U5" s="154"/>
      <c r="V5" s="154"/>
      <c r="X5" s="163" t="s">
        <v>24</v>
      </c>
      <c r="Y5" s="273">
        <f>Operacional_10_dias!Y5</f>
        <v>249.84495960979811</v>
      </c>
      <c r="Z5" s="189"/>
      <c r="AC5" s="146"/>
      <c r="AD5" s="146"/>
      <c r="AE5" s="146"/>
      <c r="AF5" s="146"/>
      <c r="AG5" s="157"/>
      <c r="AH5" s="157"/>
      <c r="AM5" s="136"/>
      <c r="AN5" s="136"/>
      <c r="AO5" s="136"/>
    </row>
    <row r="6" spans="2:57" x14ac:dyDescent="0.2">
      <c r="I6" s="125">
        <v>2</v>
      </c>
      <c r="J6" s="122">
        <f>Operacional_10_dias!J6</f>
        <v>0</v>
      </c>
      <c r="K6" s="135">
        <v>0</v>
      </c>
      <c r="L6" s="135">
        <v>1</v>
      </c>
      <c r="N6" s="164" t="s">
        <v>50</v>
      </c>
      <c r="O6" s="143">
        <f>Operacional_10_dias!O6</f>
        <v>2.4326154</v>
      </c>
      <c r="P6" s="140">
        <f>0.5^(1/O6)</f>
        <v>0.75206007259991525</v>
      </c>
      <c r="Q6" s="142">
        <v>0.2</v>
      </c>
      <c r="R6" s="261">
        <v>10</v>
      </c>
      <c r="S6" s="154"/>
      <c r="T6" s="154"/>
      <c r="U6" s="154"/>
      <c r="V6" s="154"/>
      <c r="X6" s="136"/>
      <c r="Z6" s="136"/>
      <c r="AC6" s="146"/>
      <c r="AD6" s="146"/>
      <c r="AE6" s="146"/>
      <c r="AF6" s="146"/>
      <c r="AG6" s="146"/>
      <c r="AH6" s="146"/>
    </row>
    <row r="7" spans="2:57" x14ac:dyDescent="0.2">
      <c r="B7" s="146"/>
      <c r="C7" s="137"/>
      <c r="D7" s="137"/>
      <c r="E7" s="136"/>
      <c r="F7" s="136"/>
      <c r="I7" s="125">
        <v>1</v>
      </c>
      <c r="J7" s="122">
        <f>Operacional_10_dias!J7</f>
        <v>0.40454725138639203</v>
      </c>
      <c r="K7" s="135">
        <v>0</v>
      </c>
      <c r="L7" s="135">
        <v>1</v>
      </c>
      <c r="N7" s="164" t="s">
        <v>94</v>
      </c>
      <c r="O7" s="143">
        <f>Operacional_10_dias!O7</f>
        <v>6.1669564867628806</v>
      </c>
      <c r="P7" s="140">
        <f>O7/100</f>
        <v>6.1669564867628805E-2</v>
      </c>
      <c r="Q7" s="142">
        <v>0</v>
      </c>
      <c r="R7" s="261">
        <v>20</v>
      </c>
      <c r="S7" s="154"/>
      <c r="T7" s="154"/>
      <c r="U7" s="154"/>
      <c r="V7" s="154"/>
      <c r="AC7" s="146"/>
      <c r="AD7" s="146"/>
      <c r="AE7" s="146"/>
      <c r="AF7" s="146"/>
      <c r="AG7" s="146"/>
      <c r="AH7" s="146"/>
      <c r="AM7" s="136"/>
      <c r="AN7" s="136"/>
      <c r="AO7" s="136"/>
    </row>
    <row r="8" spans="2:57" x14ac:dyDescent="0.2">
      <c r="B8" s="136"/>
      <c r="C8" s="140"/>
      <c r="D8" s="140"/>
      <c r="E8" s="136"/>
      <c r="F8" s="136"/>
      <c r="I8" s="125">
        <v>0</v>
      </c>
      <c r="J8" s="122">
        <f>Operacional_10_dias!J8</f>
        <v>0.35862847617556698</v>
      </c>
      <c r="K8" s="135">
        <v>0</v>
      </c>
      <c r="L8" s="135">
        <v>1</v>
      </c>
      <c r="N8" s="164" t="s">
        <v>95</v>
      </c>
      <c r="O8" s="123">
        <f>Operacional_10_dias!O8</f>
        <v>2</v>
      </c>
      <c r="P8" s="140"/>
      <c r="Q8" s="142">
        <v>2</v>
      </c>
      <c r="R8" s="261">
        <v>2.1</v>
      </c>
      <c r="S8" s="154"/>
      <c r="T8" s="154"/>
      <c r="U8" s="154"/>
      <c r="V8" s="154"/>
      <c r="X8" s="155" t="s">
        <v>27</v>
      </c>
      <c r="Y8" s="156"/>
      <c r="Z8" s="278"/>
      <c r="AC8" s="146"/>
      <c r="AD8" s="146"/>
      <c r="AE8" s="146"/>
      <c r="AF8" s="146"/>
      <c r="AG8" s="157"/>
      <c r="AH8" s="157"/>
      <c r="AM8" s="136"/>
      <c r="AN8" s="136"/>
      <c r="AO8" s="136"/>
    </row>
    <row r="9" spans="2:57" x14ac:dyDescent="0.2">
      <c r="B9" s="136"/>
      <c r="C9" s="140"/>
      <c r="D9" s="140"/>
      <c r="E9" s="136"/>
      <c r="F9" s="136"/>
      <c r="I9" s="125">
        <v>-1</v>
      </c>
      <c r="J9" s="122">
        <f>Operacional_10_dias!J9</f>
        <v>0.21383646355667599</v>
      </c>
      <c r="K9" s="135">
        <v>0</v>
      </c>
      <c r="L9" s="135">
        <v>1</v>
      </c>
      <c r="N9" s="164" t="s">
        <v>96</v>
      </c>
      <c r="O9" s="138">
        <f>Operacional_10_dias!O9</f>
        <v>47.624739322009098</v>
      </c>
      <c r="P9" s="140">
        <f>O9/100</f>
        <v>0.47624739322009096</v>
      </c>
      <c r="Q9" s="142">
        <v>20</v>
      </c>
      <c r="R9" s="261">
        <v>50</v>
      </c>
      <c r="S9" s="154"/>
      <c r="T9" s="154"/>
      <c r="U9" s="154"/>
      <c r="V9" s="154"/>
      <c r="X9" s="277" t="s">
        <v>8</v>
      </c>
      <c r="Y9" s="391">
        <f>Operacional_10_dias!Y9</f>
        <v>55726</v>
      </c>
      <c r="Z9" s="392"/>
      <c r="AC9" s="146"/>
      <c r="AD9" s="146"/>
      <c r="AE9" s="146"/>
      <c r="AF9" s="146"/>
      <c r="AG9" s="157"/>
      <c r="AH9" s="157"/>
      <c r="AI9" s="154"/>
      <c r="AM9" s="136"/>
      <c r="AN9" s="136"/>
      <c r="AO9" s="136"/>
    </row>
    <row r="10" spans="2:57" x14ac:dyDescent="0.2">
      <c r="B10" s="136"/>
      <c r="C10" s="140"/>
      <c r="D10" s="140"/>
      <c r="E10" s="136"/>
      <c r="F10" s="136"/>
      <c r="M10" s="154"/>
      <c r="N10" s="163" t="s">
        <v>97</v>
      </c>
      <c r="O10" s="271">
        <f>Operacional_10_dias!O10</f>
        <v>48.342505227826699</v>
      </c>
      <c r="P10" s="272">
        <f>0.5^(1/O10)</f>
        <v>0.98576404797407446</v>
      </c>
      <c r="Q10" s="266">
        <v>30</v>
      </c>
      <c r="R10" s="267">
        <v>180</v>
      </c>
      <c r="S10" s="154"/>
      <c r="T10" s="154"/>
      <c r="U10" s="154"/>
      <c r="V10" s="154"/>
      <c r="X10" s="146"/>
      <c r="Y10" s="146"/>
      <c r="Z10" s="136"/>
      <c r="AC10" s="146"/>
      <c r="AD10" s="146"/>
      <c r="AE10" s="146"/>
      <c r="AF10" s="146"/>
      <c r="AG10" s="157"/>
      <c r="AH10" s="157"/>
      <c r="AI10" s="154"/>
      <c r="AM10" s="136"/>
      <c r="AN10" s="136"/>
      <c r="AO10" s="136"/>
    </row>
    <row r="11" spans="2:57" x14ac:dyDescent="0.2">
      <c r="B11" s="136"/>
      <c r="C11" s="140"/>
      <c r="D11" s="140"/>
      <c r="E11" s="145"/>
      <c r="F11" s="276"/>
      <c r="I11" s="166" t="s">
        <v>46</v>
      </c>
      <c r="J11" s="172">
        <f>SUM(J5:J9)</f>
        <v>0.99999999999999967</v>
      </c>
      <c r="N11" s="340" t="s">
        <v>83</v>
      </c>
      <c r="O11" s="138">
        <f>Operacional_10_dias!O11</f>
        <v>0.87752911268068001</v>
      </c>
      <c r="P11" s="341"/>
      <c r="Q11" s="342">
        <v>0.8</v>
      </c>
      <c r="R11" s="343">
        <v>1.2</v>
      </c>
      <c r="X11" s="393"/>
      <c r="Y11" s="393"/>
      <c r="Z11" s="393"/>
      <c r="AB11" s="274"/>
      <c r="AC11" s="274"/>
      <c r="AD11" s="274"/>
      <c r="AE11" s="274"/>
      <c r="AF11" s="274"/>
      <c r="AG11" s="274"/>
      <c r="AH11" s="274"/>
      <c r="AI11" s="274"/>
      <c r="AJ11" s="274"/>
      <c r="AK11" s="274"/>
      <c r="AL11" s="274"/>
      <c r="AM11" s="274"/>
      <c r="AN11" s="274"/>
      <c r="AO11" s="274"/>
    </row>
    <row r="12" spans="2:57" x14ac:dyDescent="0.2">
      <c r="C12" s="168"/>
      <c r="D12" s="168"/>
      <c r="N12" s="262" t="s">
        <v>104</v>
      </c>
      <c r="O12" s="141">
        <f>Operacional_10_dias!O12</f>
        <v>358</v>
      </c>
      <c r="P12" s="137"/>
      <c r="Q12" s="142">
        <v>200</v>
      </c>
      <c r="R12" s="261">
        <v>500</v>
      </c>
    </row>
    <row r="13" spans="2:57" ht="18" customHeight="1" x14ac:dyDescent="0.25">
      <c r="B13" s="252" t="s">
        <v>1</v>
      </c>
      <c r="C13" s="253" t="s">
        <v>5</v>
      </c>
      <c r="D13" s="254" t="s">
        <v>5</v>
      </c>
      <c r="E13" s="255" t="s">
        <v>1</v>
      </c>
      <c r="F13" s="256" t="s">
        <v>21</v>
      </c>
      <c r="H13" s="125" t="s">
        <v>2</v>
      </c>
      <c r="J13" s="280"/>
      <c r="K13" s="280"/>
      <c r="L13" s="280"/>
      <c r="M13" s="280"/>
      <c r="N13" s="262" t="s">
        <v>107</v>
      </c>
      <c r="O13" s="141">
        <f>Operacional_10_dias!O13</f>
        <v>54.400000000000006</v>
      </c>
      <c r="P13" s="137"/>
      <c r="Q13" s="142">
        <v>0.1</v>
      </c>
      <c r="R13" s="261">
        <v>100</v>
      </c>
      <c r="S13" s="280"/>
      <c r="T13" s="280"/>
      <c r="U13" s="280"/>
      <c r="V13" s="280"/>
      <c r="W13" s="280"/>
      <c r="X13" s="280"/>
      <c r="Y13" s="280"/>
      <c r="Z13" s="280"/>
      <c r="AB13" s="294" t="s">
        <v>0</v>
      </c>
      <c r="AC13" s="283" t="s">
        <v>0</v>
      </c>
      <c r="AD13" s="282" t="s">
        <v>12</v>
      </c>
      <c r="AE13" s="284" t="s">
        <v>13</v>
      </c>
      <c r="AF13" s="285" t="s">
        <v>17</v>
      </c>
      <c r="AG13" s="283" t="s">
        <v>18</v>
      </c>
      <c r="AH13" s="286" t="s">
        <v>19</v>
      </c>
      <c r="AI13" s="287" t="s">
        <v>103</v>
      </c>
      <c r="AJ13" s="169" t="s">
        <v>98</v>
      </c>
      <c r="AK13" s="287" t="s">
        <v>110</v>
      </c>
      <c r="AL13" s="285" t="s">
        <v>21</v>
      </c>
      <c r="AM13" s="170" t="s">
        <v>105</v>
      </c>
      <c r="AN13" s="288" t="s">
        <v>106</v>
      </c>
      <c r="AO13" s="171" t="s">
        <v>108</v>
      </c>
      <c r="BD13" s="212"/>
      <c r="BE13" s="210"/>
    </row>
    <row r="14" spans="2:57" ht="18" customHeight="1" x14ac:dyDescent="0.25">
      <c r="B14" s="252" t="s">
        <v>25</v>
      </c>
      <c r="C14" s="253" t="s">
        <v>139</v>
      </c>
      <c r="D14" s="254" t="s">
        <v>140</v>
      </c>
      <c r="E14" s="255" t="s">
        <v>22</v>
      </c>
      <c r="F14" s="390" t="s">
        <v>88</v>
      </c>
      <c r="H14" s="125" t="s">
        <v>3</v>
      </c>
      <c r="I14" s="339"/>
      <c r="J14" s="339"/>
      <c r="K14" s="339"/>
      <c r="L14" s="339"/>
      <c r="M14" s="339"/>
      <c r="N14" s="263" t="s">
        <v>109</v>
      </c>
      <c r="O14" s="264">
        <f>Operacional_10_dias!O14</f>
        <v>163.89999999999998</v>
      </c>
      <c r="P14" s="265"/>
      <c r="Q14" s="266">
        <v>0.1</v>
      </c>
      <c r="R14" s="267">
        <v>200</v>
      </c>
      <c r="S14" s="339"/>
      <c r="T14" s="339"/>
      <c r="U14" s="339"/>
      <c r="V14" s="339"/>
      <c r="W14" s="339"/>
      <c r="X14" s="339"/>
      <c r="Y14" s="339"/>
      <c r="Z14" s="339"/>
      <c r="AB14" s="295" t="s">
        <v>4</v>
      </c>
      <c r="AC14" s="283" t="s">
        <v>53</v>
      </c>
      <c r="AD14" s="396" t="s">
        <v>143</v>
      </c>
      <c r="AE14" s="397" t="s">
        <v>86</v>
      </c>
      <c r="AF14" s="398" t="s">
        <v>87</v>
      </c>
      <c r="AG14" s="289"/>
      <c r="AH14" s="289"/>
      <c r="AI14" s="396" t="s">
        <v>144</v>
      </c>
      <c r="AK14" s="396" t="s">
        <v>145</v>
      </c>
      <c r="AL14" s="399" t="s">
        <v>88</v>
      </c>
      <c r="AN14" s="400" t="s">
        <v>146</v>
      </c>
      <c r="BD14" s="212"/>
      <c r="BE14" s="210"/>
    </row>
    <row r="15" spans="2:57" ht="18" x14ac:dyDescent="0.25">
      <c r="B15" s="252" t="s">
        <v>141</v>
      </c>
      <c r="C15" s="253" t="s">
        <v>43</v>
      </c>
      <c r="D15" s="254" t="s">
        <v>43</v>
      </c>
      <c r="E15" s="255" t="s">
        <v>141</v>
      </c>
      <c r="F15" s="390"/>
      <c r="H15" s="280" t="s">
        <v>99</v>
      </c>
      <c r="I15" s="393"/>
      <c r="J15" s="393"/>
      <c r="K15" s="393"/>
      <c r="L15" s="393"/>
      <c r="M15" s="393"/>
      <c r="N15" s="393"/>
      <c r="O15" s="393"/>
      <c r="P15" s="393"/>
      <c r="Q15" s="393"/>
      <c r="R15" s="393"/>
      <c r="S15" s="393"/>
      <c r="T15" s="393"/>
      <c r="U15" s="393"/>
      <c r="V15" s="393"/>
      <c r="W15" s="393"/>
      <c r="X15" s="393"/>
      <c r="Y15" s="393"/>
      <c r="Z15" s="393"/>
      <c r="AB15" s="295" t="s">
        <v>10</v>
      </c>
      <c r="AC15" s="290"/>
      <c r="AD15" s="396"/>
      <c r="AE15" s="397"/>
      <c r="AF15" s="398"/>
      <c r="AG15" s="289"/>
      <c r="AH15" s="289"/>
      <c r="AI15" s="396"/>
      <c r="AK15" s="396"/>
      <c r="AL15" s="399"/>
      <c r="AN15" s="400"/>
      <c r="BD15" s="212"/>
      <c r="BE15" s="210"/>
    </row>
    <row r="16" spans="2:57" ht="18" customHeight="1" x14ac:dyDescent="0.25">
      <c r="B16" s="257"/>
      <c r="C16" s="174"/>
      <c r="D16" s="175"/>
      <c r="E16" s="258" t="s">
        <v>84</v>
      </c>
      <c r="F16" s="279" t="s">
        <v>141</v>
      </c>
      <c r="G16" s="298"/>
      <c r="I16" s="394" t="s">
        <v>142</v>
      </c>
      <c r="J16" s="394"/>
      <c r="K16" s="394"/>
      <c r="L16" s="394"/>
      <c r="M16" s="394"/>
      <c r="N16" s="394"/>
      <c r="O16" s="394"/>
      <c r="P16" s="394"/>
      <c r="Q16" s="394"/>
      <c r="R16" s="394"/>
      <c r="S16" s="394"/>
      <c r="T16" s="394"/>
      <c r="U16" s="394"/>
      <c r="V16" s="394"/>
      <c r="W16" s="394"/>
      <c r="X16" s="394"/>
      <c r="Y16" s="394"/>
      <c r="Z16" s="394"/>
      <c r="AA16" s="298"/>
      <c r="BA16" s="125" t="s">
        <v>5</v>
      </c>
      <c r="BD16" s="212"/>
      <c r="BE16" s="210"/>
    </row>
    <row r="17" spans="1:65" x14ac:dyDescent="0.2">
      <c r="B17" s="173">
        <f>STDEV(B24:B68)</f>
        <v>538.82346535137606</v>
      </c>
      <c r="C17" s="174">
        <f>ABS(F17-B17)/B17</f>
        <v>0.88803006611594726</v>
      </c>
      <c r="D17" s="175"/>
      <c r="E17" s="133">
        <f>STDEV(E24:E68)</f>
        <v>1320.5848631288918</v>
      </c>
      <c r="F17" s="133">
        <f>STDEV(F24:F68)</f>
        <v>60.332027790569782</v>
      </c>
      <c r="I17" s="281">
        <f>Operacional_10_dias!I17</f>
        <v>5.5555555555555552E-2</v>
      </c>
      <c r="J17" s="281">
        <f>Operacional_10_dias!J17</f>
        <v>5.5555555555555552E-2</v>
      </c>
      <c r="K17" s="281">
        <f>Operacional_10_dias!K17</f>
        <v>5.5555555555555552E-2</v>
      </c>
      <c r="L17" s="281">
        <f>Operacional_10_dias!L17</f>
        <v>5.5555555555555552E-2</v>
      </c>
      <c r="M17" s="281">
        <f>Operacional_10_dias!M17</f>
        <v>5.5555555555555552E-2</v>
      </c>
      <c r="N17" s="281">
        <f>Operacional_10_dias!N17</f>
        <v>5.5555555555555552E-2</v>
      </c>
      <c r="O17" s="281">
        <f>Operacional_10_dias!O17</f>
        <v>5.5555555555555552E-2</v>
      </c>
      <c r="P17" s="281">
        <f>Operacional_10_dias!P17</f>
        <v>5.5555555555555552E-2</v>
      </c>
      <c r="Q17" s="281">
        <f>Operacional_10_dias!Q17</f>
        <v>5.5555555555555552E-2</v>
      </c>
      <c r="R17" s="281">
        <f>Operacional_10_dias!R17</f>
        <v>5.5555555555555552E-2</v>
      </c>
      <c r="S17" s="281">
        <f>Operacional_10_dias!S17</f>
        <v>5.5555555555555552E-2</v>
      </c>
      <c r="T17" s="281">
        <f>Operacional_10_dias!T17</f>
        <v>5.5555555555555552E-2</v>
      </c>
      <c r="U17" s="281">
        <f>Operacional_10_dias!U17</f>
        <v>5.5555555555555552E-2</v>
      </c>
      <c r="V17" s="281">
        <f>Operacional_10_dias!V17</f>
        <v>5.5555555555555552E-2</v>
      </c>
      <c r="W17" s="281">
        <f>Operacional_10_dias!W17</f>
        <v>5.5555555555555552E-2</v>
      </c>
      <c r="X17" s="281">
        <f>Operacional_10_dias!X17</f>
        <v>5.5555555555555552E-2</v>
      </c>
      <c r="Y17" s="281">
        <f>Operacional_10_dias!Y17</f>
        <v>5.5555555555555552E-2</v>
      </c>
      <c r="Z17" s="281">
        <f>Operacional_10_dias!Z17</f>
        <v>5.5555555555555552E-2</v>
      </c>
      <c r="AB17" s="207">
        <f>SUM(I17:Z17)</f>
        <v>1.0000000000000002</v>
      </c>
      <c r="AC17" s="176"/>
      <c r="BA17" s="125" t="s">
        <v>44</v>
      </c>
      <c r="BD17" s="210"/>
      <c r="BE17" s="210"/>
    </row>
    <row r="18" spans="1:65" x14ac:dyDescent="0.2">
      <c r="B18" s="177"/>
      <c r="C18" s="178"/>
      <c r="D18" s="179"/>
      <c r="E18" s="180" t="s">
        <v>4</v>
      </c>
      <c r="F18" s="180" t="s">
        <v>4</v>
      </c>
      <c r="I18" s="134">
        <v>2352002</v>
      </c>
      <c r="J18" s="134">
        <v>2353044</v>
      </c>
      <c r="K18" s="134">
        <v>2352000</v>
      </c>
      <c r="L18" s="134">
        <v>2550000</v>
      </c>
      <c r="M18" s="134">
        <v>2451003</v>
      </c>
      <c r="N18" s="134">
        <v>2353001</v>
      </c>
      <c r="O18" s="134">
        <v>2353002</v>
      </c>
      <c r="P18" s="134">
        <v>2453013</v>
      </c>
      <c r="Q18" s="134">
        <v>2451015</v>
      </c>
      <c r="R18" s="134">
        <v>2451002</v>
      </c>
      <c r="S18" s="134">
        <v>2552006</v>
      </c>
      <c r="T18" s="134">
        <v>2452000</v>
      </c>
      <c r="U18" s="134">
        <v>2553009</v>
      </c>
      <c r="V18" s="134">
        <v>2453000</v>
      </c>
      <c r="W18" s="134">
        <v>2353004</v>
      </c>
      <c r="X18" s="134">
        <v>2451010</v>
      </c>
      <c r="Y18" s="134">
        <v>2451013</v>
      </c>
      <c r="Z18" s="134">
        <v>2452009</v>
      </c>
      <c r="AB18" s="207"/>
      <c r="AC18" s="181"/>
      <c r="BA18" s="125" t="s">
        <v>6</v>
      </c>
      <c r="BD18" s="210"/>
      <c r="BE18" s="210"/>
    </row>
    <row r="19" spans="1:65" x14ac:dyDescent="0.2">
      <c r="A19" s="182" t="s">
        <v>100</v>
      </c>
      <c r="B19" s="183">
        <f>AVERAGE(B24:B68)</f>
        <v>1515.2042847344769</v>
      </c>
      <c r="C19" s="174">
        <f>ABS(F19-B19)/B19</f>
        <v>0.7800549363088719</v>
      </c>
      <c r="D19" s="175">
        <f>AVERAGE(D24:D68)</f>
        <v>5.1341138269311429E-2</v>
      </c>
      <c r="E19" s="184">
        <f>AVERAGE(E24:E68)</f>
        <v>1961.0550951665884</v>
      </c>
      <c r="F19" s="184">
        <f>AVERAGE(F24:F68)</f>
        <v>333.26170291099476</v>
      </c>
      <c r="G19" s="299"/>
      <c r="H19" s="185">
        <f t="shared" ref="H19:Z19" si="0">SUM(H21:H68)</f>
        <v>219.73805309734513</v>
      </c>
      <c r="I19" s="185">
        <f t="shared" si="0"/>
        <v>384.52999999999992</v>
      </c>
      <c r="J19" s="185">
        <f t="shared" si="0"/>
        <v>384.52999999999992</v>
      </c>
      <c r="K19" s="185">
        <f t="shared" si="0"/>
        <v>384.52999999999992</v>
      </c>
      <c r="L19" s="185">
        <f t="shared" si="0"/>
        <v>384.52999999999992</v>
      </c>
      <c r="M19" s="185">
        <f t="shared" si="0"/>
        <v>384.52999999999992</v>
      </c>
      <c r="N19" s="185">
        <f t="shared" si="0"/>
        <v>384.52999999999992</v>
      </c>
      <c r="O19" s="185">
        <f t="shared" si="0"/>
        <v>384.52999999999992</v>
      </c>
      <c r="P19" s="185">
        <f t="shared" si="0"/>
        <v>384.52999999999992</v>
      </c>
      <c r="Q19" s="185">
        <f t="shared" si="0"/>
        <v>384.52999999999992</v>
      </c>
      <c r="R19" s="185">
        <f t="shared" si="0"/>
        <v>384.52999999999992</v>
      </c>
      <c r="S19" s="185">
        <f t="shared" si="0"/>
        <v>384.52999999999992</v>
      </c>
      <c r="T19" s="185">
        <f t="shared" si="0"/>
        <v>384.52999999999992</v>
      </c>
      <c r="U19" s="185">
        <f t="shared" si="0"/>
        <v>384.52999999999992</v>
      </c>
      <c r="V19" s="185">
        <f t="shared" si="0"/>
        <v>384.52999999999992</v>
      </c>
      <c r="W19" s="185">
        <f t="shared" si="0"/>
        <v>384.52999999999992</v>
      </c>
      <c r="X19" s="185">
        <f t="shared" si="0"/>
        <v>384.52999999999992</v>
      </c>
      <c r="Y19" s="185">
        <f t="shared" si="0"/>
        <v>384.52999999999992</v>
      </c>
      <c r="Z19" s="185">
        <f t="shared" si="0"/>
        <v>384.52999999999992</v>
      </c>
      <c r="AA19" s="299"/>
      <c r="AB19" s="185">
        <f>SUM(AB21:AB68)</f>
        <v>384.53</v>
      </c>
      <c r="AC19" s="185"/>
      <c r="AD19" s="185">
        <f>AVERAGE(AD24:AD68)</f>
        <v>59.931390641620993</v>
      </c>
      <c r="AE19" s="181">
        <f>AVERAGE(AE24:AE68)</f>
        <v>0.76123560384681721</v>
      </c>
      <c r="AF19" s="185">
        <f>SUM(AF24:AF68)</f>
        <v>130.43301443493394</v>
      </c>
      <c r="AG19" s="185">
        <f>SUM(AG24:AG68)</f>
        <v>166.91517689755037</v>
      </c>
      <c r="AH19" s="185">
        <f>SUM(AH24:AH68)</f>
        <v>49.384867708072328</v>
      </c>
      <c r="AI19" s="185">
        <f>AVERAGE(AI24:AI68)</f>
        <v>7.892710683728219</v>
      </c>
      <c r="AJ19" s="185">
        <f>SUM(AJ24:AJ68)</f>
        <v>117.09345880000261</v>
      </c>
      <c r="AK19" s="185">
        <f>AVERAGE(AK24:AK68)</f>
        <v>37.214972753196044</v>
      </c>
      <c r="AL19" s="185">
        <f>SUM(AL24:AL68)</f>
        <v>23.471676558179606</v>
      </c>
      <c r="AM19" s="185"/>
      <c r="AN19" s="185"/>
      <c r="AO19" s="185"/>
      <c r="AS19" s="168"/>
      <c r="AT19" s="186" t="s">
        <v>35</v>
      </c>
      <c r="AV19" s="151"/>
      <c r="AW19" s="151"/>
      <c r="AX19" s="151"/>
      <c r="AY19" s="168"/>
      <c r="AZ19" s="186" t="s">
        <v>36</v>
      </c>
      <c r="BA19" s="156"/>
      <c r="BB19" s="156"/>
      <c r="BD19" s="210"/>
      <c r="BE19" s="210"/>
    </row>
    <row r="20" spans="1:65" ht="13.5" thickBot="1" x14ac:dyDescent="0.25">
      <c r="A20" s="182"/>
      <c r="B20" s="185"/>
      <c r="C20" s="181"/>
      <c r="D20" s="181"/>
      <c r="E20" s="185"/>
      <c r="F20" s="185"/>
      <c r="G20" s="299"/>
      <c r="H20" s="185"/>
      <c r="I20" s="185"/>
      <c r="J20" s="185"/>
      <c r="K20" s="185"/>
      <c r="L20" s="185"/>
      <c r="M20" s="185"/>
      <c r="N20" s="185"/>
      <c r="O20" s="185"/>
      <c r="P20" s="185"/>
      <c r="Q20" s="185"/>
      <c r="R20" s="185"/>
      <c r="S20" s="185"/>
      <c r="T20" s="185"/>
      <c r="U20" s="185"/>
      <c r="V20" s="185"/>
      <c r="W20" s="185"/>
      <c r="X20" s="185"/>
      <c r="Y20" s="185"/>
      <c r="Z20" s="185"/>
      <c r="AA20" s="299"/>
      <c r="AB20" s="185"/>
      <c r="AC20" s="185"/>
      <c r="AD20" s="132">
        <f>Z4*O5</f>
        <v>47.864438466120653</v>
      </c>
      <c r="AE20" s="185"/>
      <c r="AF20" s="185"/>
      <c r="AG20" s="185"/>
      <c r="AH20" s="185"/>
      <c r="AI20" s="204">
        <f>Operacional_10_dias!AI20</f>
        <v>5</v>
      </c>
      <c r="AJ20" s="185"/>
      <c r="AK20" s="132">
        <f>Y5/(1-P10)/Y9*86.4</f>
        <v>27.210714675381308</v>
      </c>
      <c r="AL20" s="185"/>
      <c r="AM20" s="185"/>
      <c r="AN20" s="187">
        <v>0</v>
      </c>
      <c r="AO20" s="185"/>
      <c r="AS20" s="132"/>
      <c r="AT20" s="188">
        <f>(AS22-AT22)/AS22</f>
        <v>-5.2787375536383507</v>
      </c>
      <c r="AV20" s="151"/>
      <c r="AW20" s="151" t="s">
        <v>42</v>
      </c>
      <c r="AX20" s="151"/>
      <c r="AY20" s="132"/>
      <c r="AZ20" s="188">
        <f>(AY22-AZ22)/AY22</f>
        <v>0.99747432263019908</v>
      </c>
      <c r="BA20" s="189"/>
      <c r="BB20" s="189"/>
      <c r="BD20" s="210"/>
      <c r="BE20" s="210"/>
    </row>
    <row r="21" spans="1:65" ht="13.5" thickBot="1" x14ac:dyDescent="0.25">
      <c r="A21" s="213">
        <f t="shared" ref="A21:A50" si="1">A22-1</f>
        <v>42426</v>
      </c>
      <c r="B21" s="190">
        <f>VLOOKUP(A21,P_Q_obs!$A$4:$H$304,8,FALSE)</f>
        <v>777.36546287369697</v>
      </c>
      <c r="C21" s="168"/>
      <c r="D21" s="168"/>
      <c r="E21" s="132"/>
      <c r="F21" s="132"/>
      <c r="G21" s="300"/>
      <c r="H21" s="127">
        <f>VLOOKUP(MONTH(A21),ETP_Parametros!$A$6:$D$17,4,FALSE)</f>
        <v>5.7345132743362832</v>
      </c>
      <c r="I21" s="229">
        <f>VLOOKUP(A21,P_Q_obs!$A$4:$F$308,2,FALSE)*1</f>
        <v>3.9</v>
      </c>
      <c r="J21" s="229">
        <f t="shared" ref="J21:Z21" si="2">I21</f>
        <v>3.9</v>
      </c>
      <c r="K21" s="229">
        <f t="shared" si="2"/>
        <v>3.9</v>
      </c>
      <c r="L21" s="229">
        <f t="shared" si="2"/>
        <v>3.9</v>
      </c>
      <c r="M21" s="229">
        <f t="shared" si="2"/>
        <v>3.9</v>
      </c>
      <c r="N21" s="229">
        <f t="shared" si="2"/>
        <v>3.9</v>
      </c>
      <c r="O21" s="229">
        <f t="shared" si="2"/>
        <v>3.9</v>
      </c>
      <c r="P21" s="229">
        <f t="shared" si="2"/>
        <v>3.9</v>
      </c>
      <c r="Q21" s="229">
        <f t="shared" si="2"/>
        <v>3.9</v>
      </c>
      <c r="R21" s="229">
        <f t="shared" si="2"/>
        <v>3.9</v>
      </c>
      <c r="S21" s="229">
        <f t="shared" si="2"/>
        <v>3.9</v>
      </c>
      <c r="T21" s="229">
        <f t="shared" si="2"/>
        <v>3.9</v>
      </c>
      <c r="U21" s="229">
        <f t="shared" si="2"/>
        <v>3.9</v>
      </c>
      <c r="V21" s="229">
        <f t="shared" si="2"/>
        <v>3.9</v>
      </c>
      <c r="W21" s="229">
        <f t="shared" si="2"/>
        <v>3.9</v>
      </c>
      <c r="X21" s="229">
        <f t="shared" si="2"/>
        <v>3.9</v>
      </c>
      <c r="Y21" s="229">
        <f t="shared" si="2"/>
        <v>3.9</v>
      </c>
      <c r="Z21" s="291">
        <f t="shared" si="2"/>
        <v>3.9</v>
      </c>
      <c r="AA21" s="300"/>
      <c r="AB21" s="191">
        <f t="shared" ref="AB21:AB63" si="3">SUMPRODUCT($I$17:$Z$17,I21:Z21)</f>
        <v>3.9000000000000004</v>
      </c>
      <c r="AC21" s="191"/>
      <c r="AD21" s="132"/>
      <c r="AE21" s="168"/>
      <c r="AF21" s="192"/>
      <c r="AG21" s="192"/>
      <c r="AH21" s="192"/>
      <c r="AI21" s="167"/>
      <c r="AJ21" s="192"/>
      <c r="AK21" s="132"/>
      <c r="AL21" s="192"/>
      <c r="AM21" s="192"/>
      <c r="AN21" s="192"/>
      <c r="AO21" s="192"/>
      <c r="AS21" s="168" t="s">
        <v>37</v>
      </c>
      <c r="AT21" s="144" t="s">
        <v>38</v>
      </c>
      <c r="AU21" s="147" t="s">
        <v>39</v>
      </c>
      <c r="AV21" s="193" t="s">
        <v>40</v>
      </c>
      <c r="AW21" s="144"/>
      <c r="AX21" s="144"/>
      <c r="AY21" s="168" t="s">
        <v>37</v>
      </c>
      <c r="AZ21" s="144" t="s">
        <v>38</v>
      </c>
      <c r="BA21" s="156"/>
      <c r="BB21" s="156"/>
      <c r="BD21" s="210"/>
      <c r="BE21" s="210"/>
    </row>
    <row r="22" spans="1:65" ht="13.5" thickBot="1" x14ac:dyDescent="0.25">
      <c r="A22" s="213">
        <f t="shared" si="1"/>
        <v>42427</v>
      </c>
      <c r="B22" s="190">
        <f>VLOOKUP(A22,P_Q_obs!$A$4:$H$304,8,FALSE)</f>
        <v>1041.38518966268</v>
      </c>
      <c r="C22" s="168"/>
      <c r="D22" s="168"/>
      <c r="E22" s="132"/>
      <c r="F22" s="132"/>
      <c r="G22" s="300"/>
      <c r="H22" s="127">
        <f>VLOOKUP(MONTH(A22),ETP_Parametros!$A$6:$D$17,4,FALSE)</f>
        <v>5.7345132743362832</v>
      </c>
      <c r="I22" s="229">
        <f>VLOOKUP(A22,P_Q_obs!$A$4:$F$308,2,FALSE)*1</f>
        <v>14.85</v>
      </c>
      <c r="J22" s="229">
        <f t="shared" ref="J22:Y37" si="4">I22</f>
        <v>14.85</v>
      </c>
      <c r="K22" s="229">
        <f t="shared" si="4"/>
        <v>14.85</v>
      </c>
      <c r="L22" s="229">
        <f t="shared" si="4"/>
        <v>14.85</v>
      </c>
      <c r="M22" s="229">
        <f t="shared" si="4"/>
        <v>14.85</v>
      </c>
      <c r="N22" s="229">
        <f t="shared" si="4"/>
        <v>14.85</v>
      </c>
      <c r="O22" s="229">
        <f t="shared" si="4"/>
        <v>14.85</v>
      </c>
      <c r="P22" s="229">
        <f t="shared" si="4"/>
        <v>14.85</v>
      </c>
      <c r="Q22" s="229">
        <f t="shared" si="4"/>
        <v>14.85</v>
      </c>
      <c r="R22" s="229">
        <f t="shared" si="4"/>
        <v>14.85</v>
      </c>
      <c r="S22" s="229">
        <f t="shared" si="4"/>
        <v>14.85</v>
      </c>
      <c r="T22" s="229">
        <f t="shared" ref="T22:Z36" si="5">S22</f>
        <v>14.85</v>
      </c>
      <c r="U22" s="229">
        <f t="shared" si="5"/>
        <v>14.85</v>
      </c>
      <c r="V22" s="229">
        <f t="shared" si="5"/>
        <v>14.85</v>
      </c>
      <c r="W22" s="229">
        <f t="shared" si="5"/>
        <v>14.85</v>
      </c>
      <c r="X22" s="229">
        <f t="shared" si="5"/>
        <v>14.85</v>
      </c>
      <c r="Y22" s="229">
        <f t="shared" si="5"/>
        <v>14.85</v>
      </c>
      <c r="Z22" s="291">
        <f t="shared" si="5"/>
        <v>14.85</v>
      </c>
      <c r="AA22" s="300"/>
      <c r="AB22" s="191">
        <f t="shared" si="3"/>
        <v>14.849999999999994</v>
      </c>
      <c r="AC22" s="192"/>
      <c r="AD22" s="132"/>
      <c r="AE22" s="168"/>
      <c r="AF22" s="192"/>
      <c r="AG22" s="192"/>
      <c r="AH22" s="192"/>
      <c r="AI22" s="167"/>
      <c r="AJ22" s="192"/>
      <c r="AK22" s="132"/>
      <c r="AL22" s="192"/>
      <c r="AM22" s="192"/>
      <c r="AN22" s="192"/>
      <c r="AO22" s="192"/>
      <c r="AS22" s="185">
        <f>SUM(AS24:AS68)</f>
        <v>8129260.3507714225</v>
      </c>
      <c r="AT22" s="185">
        <f>SUM(AT24:AT68)</f>
        <v>51041492.247691803</v>
      </c>
      <c r="AU22" s="195"/>
      <c r="AV22" s="196">
        <f>AVERAGE(AV24:AV68)</f>
        <v>-15</v>
      </c>
      <c r="AW22" s="185">
        <f>SUM(AW24:AW68)</f>
        <v>-1044.5619599537374</v>
      </c>
      <c r="AX22" s="185">
        <f>SUM(AX24:AX68)</f>
        <v>-30907.337405983733</v>
      </c>
      <c r="AY22" s="185">
        <f>SUM(AY24:AY68)</f>
        <v>25859008120.591743</v>
      </c>
      <c r="AZ22" s="185">
        <f>SUM(AZ24:AZ68)</f>
        <v>65311511.615677342</v>
      </c>
      <c r="BA22" s="197">
        <f>SUM(BA24:BA68)</f>
        <v>17.630966598891774</v>
      </c>
      <c r="BB22" s="197">
        <f>1-AVERAGE(BB24:BB68)</f>
        <v>0.22619487938223271</v>
      </c>
      <c r="BD22" s="395" t="s">
        <v>119</v>
      </c>
      <c r="BE22" s="395"/>
      <c r="BF22" s="395"/>
      <c r="BG22" s="395"/>
      <c r="BH22" s="395"/>
      <c r="BI22" s="395"/>
      <c r="BJ22" s="395"/>
      <c r="BK22" s="386" t="s">
        <v>148</v>
      </c>
      <c r="BL22" s="386"/>
    </row>
    <row r="23" spans="1:65" ht="13.5" thickBot="1" x14ac:dyDescent="0.25">
      <c r="A23" s="213">
        <f t="shared" si="1"/>
        <v>42428</v>
      </c>
      <c r="B23" s="190">
        <f>VLOOKUP(A23,P_Q_obs!$A$4:$H$304,8,FALSE)</f>
        <v>1128.6026205929199</v>
      </c>
      <c r="C23" s="168"/>
      <c r="D23" s="168"/>
      <c r="E23" s="132"/>
      <c r="F23" s="132"/>
      <c r="G23" s="300"/>
      <c r="H23" s="127">
        <f>VLOOKUP(MONTH(A23),ETP_Parametros!$A$6:$D$17,4,FALSE)</f>
        <v>5.7345132743362832</v>
      </c>
      <c r="I23" s="229">
        <f>VLOOKUP(A23,P_Q_obs!$A$4:$F$308,2,FALSE)*1</f>
        <v>3.05</v>
      </c>
      <c r="J23" s="229">
        <f t="shared" si="4"/>
        <v>3.05</v>
      </c>
      <c r="K23" s="229">
        <f t="shared" si="4"/>
        <v>3.05</v>
      </c>
      <c r="L23" s="229">
        <f t="shared" si="4"/>
        <v>3.05</v>
      </c>
      <c r="M23" s="229">
        <f t="shared" si="4"/>
        <v>3.05</v>
      </c>
      <c r="N23" s="229">
        <f t="shared" si="4"/>
        <v>3.05</v>
      </c>
      <c r="O23" s="229">
        <f t="shared" si="4"/>
        <v>3.05</v>
      </c>
      <c r="P23" s="229">
        <f t="shared" si="4"/>
        <v>3.05</v>
      </c>
      <c r="Q23" s="229">
        <f t="shared" si="4"/>
        <v>3.05</v>
      </c>
      <c r="R23" s="229">
        <f t="shared" si="4"/>
        <v>3.05</v>
      </c>
      <c r="S23" s="229">
        <f t="shared" si="4"/>
        <v>3.05</v>
      </c>
      <c r="T23" s="229">
        <f t="shared" si="5"/>
        <v>3.05</v>
      </c>
      <c r="U23" s="229">
        <f t="shared" si="5"/>
        <v>3.05</v>
      </c>
      <c r="V23" s="229">
        <f t="shared" si="5"/>
        <v>3.05</v>
      </c>
      <c r="W23" s="229">
        <f t="shared" si="5"/>
        <v>3.05</v>
      </c>
      <c r="X23" s="229">
        <f t="shared" si="5"/>
        <v>3.05</v>
      </c>
      <c r="Y23" s="229">
        <f t="shared" si="5"/>
        <v>3.05</v>
      </c>
      <c r="Z23" s="291">
        <f t="shared" si="5"/>
        <v>3.05</v>
      </c>
      <c r="AA23" s="300"/>
      <c r="AB23" s="191">
        <f t="shared" si="3"/>
        <v>3.0499999999999994</v>
      </c>
      <c r="AC23" s="192"/>
      <c r="AD23" s="132"/>
      <c r="AE23" s="168"/>
      <c r="AF23" s="192"/>
      <c r="AG23" s="192"/>
      <c r="AH23" s="192"/>
      <c r="AI23" s="167"/>
      <c r="AJ23" s="192"/>
      <c r="AK23" s="132"/>
      <c r="AL23" s="192"/>
      <c r="AM23" s="192"/>
      <c r="AN23" s="192"/>
      <c r="AO23" s="192"/>
      <c r="AS23" s="181"/>
      <c r="AT23" s="181"/>
      <c r="AU23" s="181"/>
      <c r="AV23" s="185">
        <v>0</v>
      </c>
      <c r="AW23" s="185">
        <v>0</v>
      </c>
      <c r="AX23" s="185">
        <v>0</v>
      </c>
      <c r="AY23" s="185"/>
      <c r="AZ23" s="185"/>
      <c r="BA23" s="185"/>
      <c r="BB23" s="185"/>
      <c r="BE23" s="395" t="s">
        <v>111</v>
      </c>
      <c r="BF23" s="395"/>
      <c r="BG23" s="395"/>
      <c r="BH23" s="395"/>
      <c r="BI23" s="395"/>
      <c r="BJ23" s="395"/>
      <c r="BK23" s="280" t="s">
        <v>149</v>
      </c>
      <c r="BL23" s="280" t="s">
        <v>150</v>
      </c>
      <c r="BM23" s="280"/>
    </row>
    <row r="24" spans="1:65" ht="13.5" thickBot="1" x14ac:dyDescent="0.25">
      <c r="A24" s="213">
        <f t="shared" si="1"/>
        <v>42429</v>
      </c>
      <c r="B24" s="190">
        <f>VLOOKUP(A24,P_Q_obs!$A$4:$H$304,8,FALSE)</f>
        <v>1035.03556978713</v>
      </c>
      <c r="C24" s="168">
        <f t="shared" ref="C24:C52" si="6">((E24-B24)/B24)^2</f>
        <v>1.9320904696515425E-4</v>
      </c>
      <c r="D24" s="198">
        <f t="shared" ref="D24:D52" si="7">ABS(B24-E24)/B24</f>
        <v>1.3899965718128741E-2</v>
      </c>
      <c r="E24" s="132">
        <f t="shared" ref="E24:E63" si="8">(AJ24+AL24+AO24)*Y$9/86.4</f>
        <v>1049.422528724215</v>
      </c>
      <c r="F24" s="168">
        <f>(AL24*$Y$9)/86.4</f>
        <v>249.8449596097982</v>
      </c>
      <c r="G24" s="300"/>
      <c r="H24" s="127">
        <f>VLOOKUP(MONTH(A24),ETP_Parametros!$A$6:$D$17,4,FALSE)</f>
        <v>5.7345132743362832</v>
      </c>
      <c r="I24" s="229">
        <f>VLOOKUP(A24,P_Q_obs!$A$4:$F$308,2,FALSE)*1</f>
        <v>0.46</v>
      </c>
      <c r="J24" s="229">
        <f t="shared" si="4"/>
        <v>0.46</v>
      </c>
      <c r="K24" s="229">
        <f t="shared" si="4"/>
        <v>0.46</v>
      </c>
      <c r="L24" s="229">
        <f t="shared" si="4"/>
        <v>0.46</v>
      </c>
      <c r="M24" s="229">
        <f t="shared" si="4"/>
        <v>0.46</v>
      </c>
      <c r="N24" s="229">
        <f t="shared" si="4"/>
        <v>0.46</v>
      </c>
      <c r="O24" s="229">
        <f t="shared" si="4"/>
        <v>0.46</v>
      </c>
      <c r="P24" s="229">
        <f t="shared" si="4"/>
        <v>0.46</v>
      </c>
      <c r="Q24" s="229">
        <f t="shared" si="4"/>
        <v>0.46</v>
      </c>
      <c r="R24" s="229">
        <f t="shared" si="4"/>
        <v>0.46</v>
      </c>
      <c r="S24" s="229">
        <f t="shared" si="4"/>
        <v>0.46</v>
      </c>
      <c r="T24" s="229">
        <f t="shared" si="5"/>
        <v>0.46</v>
      </c>
      <c r="U24" s="229">
        <f t="shared" si="5"/>
        <v>0.46</v>
      </c>
      <c r="V24" s="229">
        <f t="shared" si="5"/>
        <v>0.46</v>
      </c>
      <c r="W24" s="229">
        <f t="shared" si="5"/>
        <v>0.46</v>
      </c>
      <c r="X24" s="229">
        <f t="shared" si="5"/>
        <v>0.46</v>
      </c>
      <c r="Y24" s="229">
        <f t="shared" si="5"/>
        <v>0.46</v>
      </c>
      <c r="Z24" s="291">
        <f t="shared" si="5"/>
        <v>0.46</v>
      </c>
      <c r="AA24" s="300"/>
      <c r="AB24" s="191">
        <f t="shared" si="3"/>
        <v>0.45999999999999996</v>
      </c>
      <c r="AC24" s="139">
        <f>(AB21*$J$5+AB22*$J$6+AB23*$J$7+AB24*$J$8+AB25*$J$9)*BE24</f>
        <v>1.8739810199400995</v>
      </c>
      <c r="AD24" s="132">
        <f>AD20+AC24-AF24-AG24-AH24</f>
        <v>45.521857732536013</v>
      </c>
      <c r="AE24" s="168">
        <f>AD20/$O$5</f>
        <v>0.6134791449041469</v>
      </c>
      <c r="AF24" s="192">
        <f>IF(AC24&gt;O$8,(AC24-O$8)^2/(AC24-O$8+O$5-AD20),0)</f>
        <v>0</v>
      </c>
      <c r="AG24" s="192">
        <f>IF((AC24-AF24)&gt;H24,H24*$O$11,(AC24-AF24+(H24*$O$11-(AC24-AF24))*AE24))</f>
        <v>3.8114839380300558</v>
      </c>
      <c r="AH24" s="192">
        <f>IF(AD20&gt;(P$9*O$5),(P$7*AE24*(AD20-(P$9*O$5))),0)</f>
        <v>0.40507781549467714</v>
      </c>
      <c r="AI24" s="168">
        <f>AI20+AF24-AJ24</f>
        <v>3.7603003629995762</v>
      </c>
      <c r="AJ24" s="192">
        <f>(AI20+AF24)*(1-P$6)</f>
        <v>1.2396996370004238</v>
      </c>
      <c r="AK24" s="132">
        <f>AK20-AL24+AH24</f>
        <v>27.228422062166111</v>
      </c>
      <c r="AL24" s="192">
        <f>AK20*(1-P$10)</f>
        <v>0.38737042870987626</v>
      </c>
      <c r="AM24" s="199">
        <v>0</v>
      </c>
      <c r="AN24" s="199">
        <v>0</v>
      </c>
      <c r="AO24" s="199">
        <v>0</v>
      </c>
      <c r="AS24" s="132">
        <f t="shared" ref="AS24:AS52" si="9">(B24-B$19)^2</f>
        <v>230561.99481418644</v>
      </c>
      <c r="AT24" s="132">
        <f t="shared" ref="AT24:AT52" si="10">(B24-F24)^2</f>
        <v>616524.29431065067</v>
      </c>
      <c r="AU24" s="200" t="str">
        <f t="shared" ref="AU24:AU52" si="11">IF(F24&lt;B24,"-","+")</f>
        <v>-</v>
      </c>
      <c r="AV24" s="132">
        <f>IF(AU24="-",AV23-1,AV23+1)</f>
        <v>-1</v>
      </c>
      <c r="AW24" s="132">
        <f t="shared" ref="AW24:AW52" si="12">F24-F$19</f>
        <v>-83.416743301196561</v>
      </c>
      <c r="AX24" s="132">
        <f>B24-B$19</f>
        <v>-480.16871494734687</v>
      </c>
      <c r="AY24" s="132">
        <f t="shared" ref="AY24:AY52" si="13">(AX24-AX$22)^2</f>
        <v>925812594.55278492</v>
      </c>
      <c r="AZ24" s="132">
        <f>(AX24-AW24)^2</f>
        <v>157412.12700510767</v>
      </c>
      <c r="BA24" s="167">
        <f t="shared" ref="BA24:BA52" si="14">((F24-B24)/B24)^2</f>
        <v>0.575492469260104</v>
      </c>
      <c r="BB24" s="167">
        <f t="shared" ref="BB24:BB52" si="15">ABS((F24-B24)/B24)</f>
        <v>0.75861219951969139</v>
      </c>
      <c r="BD24" s="211">
        <f>A24</f>
        <v>42429</v>
      </c>
      <c r="BE24" s="210">
        <f>Operacional_10_dias!BE24</f>
        <v>1.2170198204658247</v>
      </c>
      <c r="BF24" s="209">
        <v>0.5</v>
      </c>
      <c r="BG24" s="209">
        <v>2</v>
      </c>
      <c r="BH24" s="210"/>
      <c r="BI24" s="209"/>
      <c r="BJ24" s="209"/>
      <c r="BL24" s="168"/>
    </row>
    <row r="25" spans="1:65" ht="13.5" thickBot="1" x14ac:dyDescent="0.25">
      <c r="A25" s="213">
        <f t="shared" si="1"/>
        <v>42430</v>
      </c>
      <c r="B25" s="190">
        <f>VLOOKUP(A25,P_Q_obs!$A$4:$H$304,8,FALSE)</f>
        <v>894.423546771171</v>
      </c>
      <c r="C25" s="168">
        <f t="shared" si="6"/>
        <v>1.2366162118570292E-3</v>
      </c>
      <c r="D25" s="198">
        <f t="shared" si="7"/>
        <v>3.5165554337405647E-2</v>
      </c>
      <c r="E25" s="132">
        <f t="shared" si="8"/>
        <v>862.97064693653431</v>
      </c>
      <c r="F25" s="168">
        <f t="shared" ref="F25:F63" si="16">(AL25*$Y$9)/86.4</f>
        <v>250.00754634773659</v>
      </c>
      <c r="G25" s="300"/>
      <c r="H25" s="127">
        <f>VLOOKUP(MONTH(A25),ETP_Parametros!$A$6:$D$17,4,FALSE)</f>
        <v>4.838709677419355</v>
      </c>
      <c r="I25" s="229">
        <f>VLOOKUP(A25,P_Q_obs!$A$4:$F$308,2,FALSE)*1</f>
        <v>0.24</v>
      </c>
      <c r="J25" s="229">
        <f t="shared" si="4"/>
        <v>0.24</v>
      </c>
      <c r="K25" s="229">
        <f t="shared" si="4"/>
        <v>0.24</v>
      </c>
      <c r="L25" s="229">
        <f t="shared" si="4"/>
        <v>0.24</v>
      </c>
      <c r="M25" s="229">
        <f t="shared" si="4"/>
        <v>0.24</v>
      </c>
      <c r="N25" s="229">
        <f t="shared" si="4"/>
        <v>0.24</v>
      </c>
      <c r="O25" s="229">
        <f t="shared" si="4"/>
        <v>0.24</v>
      </c>
      <c r="P25" s="229">
        <f t="shared" si="4"/>
        <v>0.24</v>
      </c>
      <c r="Q25" s="229">
        <f t="shared" si="4"/>
        <v>0.24</v>
      </c>
      <c r="R25" s="229">
        <f t="shared" si="4"/>
        <v>0.24</v>
      </c>
      <c r="S25" s="229">
        <f t="shared" si="4"/>
        <v>0.24</v>
      </c>
      <c r="T25" s="229">
        <f t="shared" si="5"/>
        <v>0.24</v>
      </c>
      <c r="U25" s="229">
        <f t="shared" si="5"/>
        <v>0.24</v>
      </c>
      <c r="V25" s="229">
        <f t="shared" si="5"/>
        <v>0.24</v>
      </c>
      <c r="W25" s="229">
        <f t="shared" si="5"/>
        <v>0.24</v>
      </c>
      <c r="X25" s="229">
        <f t="shared" si="5"/>
        <v>0.24</v>
      </c>
      <c r="Y25" s="229">
        <f t="shared" si="5"/>
        <v>0.24</v>
      </c>
      <c r="Z25" s="291">
        <f t="shared" si="5"/>
        <v>0.24</v>
      </c>
      <c r="AA25" s="300"/>
      <c r="AB25" s="191">
        <f t="shared" si="3"/>
        <v>0.24000000000000002</v>
      </c>
      <c r="AC25" s="139">
        <f t="shared" ref="AC25:AC63" si="17">(AB22*$J$5+AB23*$J$6+AB24*$J$7+AB25*$J$8+AB26*$J$9)*BE25</f>
        <v>3.5743669305951831</v>
      </c>
      <c r="AD25" s="132">
        <f>AD24+AC25-AF25-AG25-AH25</f>
        <v>44.786521733610442</v>
      </c>
      <c r="AE25" s="168">
        <f t="shared" ref="AE25:AE63" si="18">AD24/$O$5</f>
        <v>0.58345425646164162</v>
      </c>
      <c r="AF25" s="192">
        <f t="shared" ref="AF25:AF63" si="19">IF(AC25&gt;O$8,(AC25-O$8)^2/(AC25-O$8+O$5-AD24),0)</f>
        <v>7.274301056387579E-2</v>
      </c>
      <c r="AG25" s="192">
        <f>IF((AC25-AF25)&gt;H25,H25*$O$11,(AC25-AF25+(H25*$O$11-(AC25-AF25))*AE25))</f>
        <v>3.9359966811154177</v>
      </c>
      <c r="AH25" s="192">
        <f t="shared" ref="AH25:AH63" si="20">IF(AD24&gt;(P$9*O$5),(P$7*AE25*(AD24-(P$9*O$5))),0)</f>
        <v>0.30096323784146134</v>
      </c>
      <c r="AI25" s="168">
        <f t="shared" ref="AI25:AI63" si="21">AI24+AF25-AJ25</f>
        <v>2.8826788778007542</v>
      </c>
      <c r="AJ25" s="192">
        <f t="shared" ref="AJ25:AJ63" si="22">(AI24+AF25)*(1-P$6)</f>
        <v>0.95036449576269821</v>
      </c>
      <c r="AK25" s="132">
        <f t="shared" ref="AK25:AK63" si="23">AK24-AL25+AH25</f>
        <v>27.141762789788924</v>
      </c>
      <c r="AL25" s="192">
        <f t="shared" ref="AL25:AL63" si="24">AK24*(1-P$10)</f>
        <v>0.38762251021864919</v>
      </c>
      <c r="AM25" s="192">
        <f t="shared" ref="AM25:AM68" si="25">IF(AI24&lt;=$O$12,0,(AI24-$O$12)*(1-0.5^(1/$O$13)))</f>
        <v>0</v>
      </c>
      <c r="AN25" s="192">
        <f>AN24+AM25-AO25</f>
        <v>0</v>
      </c>
      <c r="AO25" s="192">
        <f t="shared" ref="AO25:AO68" si="26">AN24*(1-0.5^(1/$O$14))</f>
        <v>0</v>
      </c>
      <c r="AS25" s="132">
        <f t="shared" si="9"/>
        <v>385368.72462626669</v>
      </c>
      <c r="AT25" s="132">
        <f t="shared" si="10"/>
        <v>415271.98160173581</v>
      </c>
      <c r="AU25" s="200" t="str">
        <f t="shared" si="11"/>
        <v>-</v>
      </c>
      <c r="AV25" s="132">
        <f>IF(AU25="-",AV24-1,AV24+1)</f>
        <v>-2</v>
      </c>
      <c r="AW25" s="132">
        <f t="shared" si="12"/>
        <v>-83.254156563258164</v>
      </c>
      <c r="AX25" s="132">
        <f t="shared" ref="AX25:AX52" si="27">B25-B$19+AX24</f>
        <v>-1100.9494529106528</v>
      </c>
      <c r="AY25" s="132">
        <f t="shared" si="13"/>
        <v>888420762.80910015</v>
      </c>
      <c r="AZ25" s="132">
        <f t="shared" ref="AZ25:AZ52" si="28">(AX25-AW25)^2</f>
        <v>1035703.7162076113</v>
      </c>
      <c r="BA25" s="167">
        <f t="shared" si="14"/>
        <v>0.51909420695894126</v>
      </c>
      <c r="BB25" s="167">
        <f t="shared" si="15"/>
        <v>0.72048192687876722</v>
      </c>
      <c r="BD25" s="211">
        <f t="shared" ref="BD25:BD63" si="29">A25</f>
        <v>42430</v>
      </c>
      <c r="BE25" s="210">
        <f>Operacional_10_dias!BE25</f>
        <v>1.3735886218004494</v>
      </c>
      <c r="BF25" s="209">
        <v>0.5</v>
      </c>
      <c r="BG25" s="209">
        <v>2</v>
      </c>
      <c r="BH25" s="210"/>
      <c r="BI25" s="209"/>
      <c r="BJ25" s="209"/>
      <c r="BL25" s="168"/>
    </row>
    <row r="26" spans="1:65" ht="13.5" thickBot="1" x14ac:dyDescent="0.25">
      <c r="A26" s="213">
        <f t="shared" si="1"/>
        <v>42431</v>
      </c>
      <c r="B26" s="190">
        <f>VLOOKUP(A26,P_Q_obs!$A$4:$H$304,8,FALSE)</f>
        <v>770.51679494953601</v>
      </c>
      <c r="C26" s="168">
        <f t="shared" si="6"/>
        <v>2.1737215230292778E-4</v>
      </c>
      <c r="D26" s="198">
        <f t="shared" si="7"/>
        <v>1.4743546123742679E-2</v>
      </c>
      <c r="E26" s="132">
        <f t="shared" si="8"/>
        <v>781.87694485499287</v>
      </c>
      <c r="F26" s="168">
        <f t="shared" si="16"/>
        <v>249.21185308259496</v>
      </c>
      <c r="G26" s="300"/>
      <c r="H26" s="127">
        <f>VLOOKUP(MONTH(A26),ETP_Parametros!$A$6:$D$17,4,FALSE)</f>
        <v>4.838709677419355</v>
      </c>
      <c r="I26" s="229">
        <f>VLOOKUP(A26,P_Q_obs!$A$4:$F$308,2,FALSE)*1</f>
        <v>9.3000000000000007</v>
      </c>
      <c r="J26" s="229">
        <f t="shared" si="4"/>
        <v>9.3000000000000007</v>
      </c>
      <c r="K26" s="229">
        <f t="shared" si="4"/>
        <v>9.3000000000000007</v>
      </c>
      <c r="L26" s="229">
        <f t="shared" si="4"/>
        <v>9.3000000000000007</v>
      </c>
      <c r="M26" s="229">
        <f t="shared" si="4"/>
        <v>9.3000000000000007</v>
      </c>
      <c r="N26" s="229">
        <f t="shared" si="4"/>
        <v>9.3000000000000007</v>
      </c>
      <c r="O26" s="229">
        <f t="shared" si="4"/>
        <v>9.3000000000000007</v>
      </c>
      <c r="P26" s="229">
        <f t="shared" si="4"/>
        <v>9.3000000000000007</v>
      </c>
      <c r="Q26" s="229">
        <f t="shared" si="4"/>
        <v>9.3000000000000007</v>
      </c>
      <c r="R26" s="229">
        <f t="shared" si="4"/>
        <v>9.3000000000000007</v>
      </c>
      <c r="S26" s="229">
        <f t="shared" si="4"/>
        <v>9.3000000000000007</v>
      </c>
      <c r="T26" s="229">
        <f t="shared" si="5"/>
        <v>9.3000000000000007</v>
      </c>
      <c r="U26" s="229">
        <f t="shared" si="5"/>
        <v>9.3000000000000007</v>
      </c>
      <c r="V26" s="229">
        <f t="shared" si="5"/>
        <v>9.3000000000000007</v>
      </c>
      <c r="W26" s="229">
        <f t="shared" si="5"/>
        <v>9.3000000000000007</v>
      </c>
      <c r="X26" s="229">
        <f t="shared" si="5"/>
        <v>9.3000000000000007</v>
      </c>
      <c r="Y26" s="229">
        <f t="shared" si="5"/>
        <v>9.3000000000000007</v>
      </c>
      <c r="Z26" s="291">
        <f t="shared" si="5"/>
        <v>9.3000000000000007</v>
      </c>
      <c r="AA26" s="300"/>
      <c r="AB26" s="191">
        <f t="shared" si="3"/>
        <v>9.3000000000000025</v>
      </c>
      <c r="AC26" s="139">
        <f t="shared" si="17"/>
        <v>6.0902894020061362</v>
      </c>
      <c r="AD26" s="132">
        <f>AD25+AC26-AF26-AG26-AH26</f>
        <v>45.912395092847802</v>
      </c>
      <c r="AE26" s="168">
        <f t="shared" si="18"/>
        <v>0.57402944517596444</v>
      </c>
      <c r="AF26" s="192">
        <f t="shared" si="19"/>
        <v>0.44823679785006815</v>
      </c>
      <c r="AG26" s="192">
        <f t="shared" ref="AG26:AG69" si="30">IF((AC26-AF26)&gt;H26,H26*$O$11,(AC26-AF26+(H26*$O$11-(AC26-AF26))*AE26))</f>
        <v>4.2461086097452263</v>
      </c>
      <c r="AH26" s="192">
        <f t="shared" si="20"/>
        <v>0.27007063517348312</v>
      </c>
      <c r="AI26" s="168">
        <f t="shared" si="21"/>
        <v>2.5050486848541533</v>
      </c>
      <c r="AJ26" s="192">
        <f t="shared" si="22"/>
        <v>0.82586699079666914</v>
      </c>
      <c r="AK26" s="132">
        <f t="shared" si="23"/>
        <v>27.02544459198792</v>
      </c>
      <c r="AL26" s="192">
        <f t="shared" si="24"/>
        <v>0.38638883297448595</v>
      </c>
      <c r="AM26" s="192">
        <f t="shared" si="25"/>
        <v>0</v>
      </c>
      <c r="AN26" s="192">
        <f t="shared" ref="AN26:AN63" si="31">AN25+AM26-AO26</f>
        <v>0</v>
      </c>
      <c r="AO26" s="192">
        <f t="shared" si="26"/>
        <v>0</v>
      </c>
      <c r="AS26" s="132">
        <f t="shared" si="9"/>
        <v>554559.45744219644</v>
      </c>
      <c r="AT26" s="132">
        <f t="shared" si="10"/>
        <v>271758.84241489478</v>
      </c>
      <c r="AU26" s="200" t="str">
        <f t="shared" si="11"/>
        <v>-</v>
      </c>
      <c r="AV26" s="132">
        <f t="shared" ref="AV26:AV52" si="32">IF(AU26="-",AV25-1,AV25+1)</f>
        <v>-3</v>
      </c>
      <c r="AW26" s="132">
        <f t="shared" si="12"/>
        <v>-84.0498498283998</v>
      </c>
      <c r="AX26" s="132">
        <f t="shared" si="27"/>
        <v>-1845.6369426955937</v>
      </c>
      <c r="AY26" s="132">
        <f t="shared" si="13"/>
        <v>844582433.81788206</v>
      </c>
      <c r="AZ26" s="132">
        <f t="shared" si="28"/>
        <v>3103189.0857562916</v>
      </c>
      <c r="BA26" s="167">
        <f t="shared" si="14"/>
        <v>0.45774063209768601</v>
      </c>
      <c r="BB26" s="167">
        <f t="shared" si="15"/>
        <v>0.67656531990465341</v>
      </c>
      <c r="BD26" s="211">
        <f t="shared" si="29"/>
        <v>42431</v>
      </c>
      <c r="BE26" s="210">
        <f>Operacional_10_dias!BE26</f>
        <v>0.59747426994914621</v>
      </c>
      <c r="BF26" s="209">
        <v>0.5</v>
      </c>
      <c r="BG26" s="209">
        <v>2</v>
      </c>
      <c r="BH26" s="210"/>
      <c r="BI26" s="209"/>
      <c r="BJ26" s="209"/>
      <c r="BL26" s="168"/>
    </row>
    <row r="27" spans="1:65" ht="13.5" thickBot="1" x14ac:dyDescent="0.25">
      <c r="A27" s="213">
        <f t="shared" si="1"/>
        <v>42432</v>
      </c>
      <c r="B27" s="190">
        <f>VLOOKUP(A27,P_Q_obs!$A$4:$H$304,8,FALSE)</f>
        <v>2008.20300002503</v>
      </c>
      <c r="C27" s="168">
        <f t="shared" si="6"/>
        <v>1.243132393040255E-5</v>
      </c>
      <c r="D27" s="198">
        <f t="shared" si="7"/>
        <v>3.5258082662564835E-3</v>
      </c>
      <c r="E27" s="132">
        <f t="shared" si="8"/>
        <v>2015.2835387628393</v>
      </c>
      <c r="F27" s="168">
        <f t="shared" si="16"/>
        <v>248.143835730674</v>
      </c>
      <c r="G27" s="300"/>
      <c r="H27" s="127">
        <f>VLOOKUP(MONTH(A27),ETP_Parametros!$A$6:$D$17,4,FALSE)</f>
        <v>4.838709677419355</v>
      </c>
      <c r="I27" s="229">
        <f>VLOOKUP(A27,P_Q_obs!$A$4:$F$308,2,FALSE)*1</f>
        <v>31.29</v>
      </c>
      <c r="J27" s="229">
        <f t="shared" si="4"/>
        <v>31.29</v>
      </c>
      <c r="K27" s="229">
        <f t="shared" si="4"/>
        <v>31.29</v>
      </c>
      <c r="L27" s="229">
        <f t="shared" si="4"/>
        <v>31.29</v>
      </c>
      <c r="M27" s="229">
        <f t="shared" si="4"/>
        <v>31.29</v>
      </c>
      <c r="N27" s="229">
        <f t="shared" si="4"/>
        <v>31.29</v>
      </c>
      <c r="O27" s="229">
        <f t="shared" si="4"/>
        <v>31.29</v>
      </c>
      <c r="P27" s="229">
        <f t="shared" si="4"/>
        <v>31.29</v>
      </c>
      <c r="Q27" s="229">
        <f t="shared" si="4"/>
        <v>31.29</v>
      </c>
      <c r="R27" s="229">
        <f t="shared" si="4"/>
        <v>31.29</v>
      </c>
      <c r="S27" s="229">
        <f t="shared" si="4"/>
        <v>31.29</v>
      </c>
      <c r="T27" s="229">
        <f t="shared" si="5"/>
        <v>31.29</v>
      </c>
      <c r="U27" s="229">
        <f t="shared" si="5"/>
        <v>31.29</v>
      </c>
      <c r="V27" s="229">
        <f t="shared" si="5"/>
        <v>31.29</v>
      </c>
      <c r="W27" s="229">
        <f t="shared" si="5"/>
        <v>31.29</v>
      </c>
      <c r="X27" s="229">
        <f t="shared" si="5"/>
        <v>31.29</v>
      </c>
      <c r="Y27" s="229">
        <f t="shared" si="5"/>
        <v>31.29</v>
      </c>
      <c r="Z27" s="291">
        <f t="shared" si="5"/>
        <v>31.29</v>
      </c>
      <c r="AA27" s="300"/>
      <c r="AB27" s="191">
        <f t="shared" si="3"/>
        <v>31.29</v>
      </c>
      <c r="AC27" s="139">
        <f t="shared" si="17"/>
        <v>23.379420429365496</v>
      </c>
      <c r="AD27" s="132">
        <f t="shared" ref="AD27:AD63" si="33">AD26+AC27-AF27-AG27-AH27</f>
        <v>56.182579524370311</v>
      </c>
      <c r="AE27" s="168">
        <f t="shared" si="18"/>
        <v>0.58845977900687696</v>
      </c>
      <c r="AF27" s="192">
        <f t="shared" si="19"/>
        <v>8.5454095276578954</v>
      </c>
      <c r="AG27" s="192">
        <f t="shared" si="30"/>
        <v>4.2461086097452263</v>
      </c>
      <c r="AH27" s="192">
        <f t="shared" si="20"/>
        <v>0.31771786043986056</v>
      </c>
      <c r="AI27" s="168">
        <f>AI26+AF27-AJ27</f>
        <v>8.3106084055641407</v>
      </c>
      <c r="AJ27" s="192">
        <f t="shared" si="22"/>
        <v>2.7398498069479076</v>
      </c>
      <c r="AK27" s="132">
        <f t="shared" si="23"/>
        <v>26.958429519736931</v>
      </c>
      <c r="AL27" s="192">
        <f t="shared" si="24"/>
        <v>0.38473293269084874</v>
      </c>
      <c r="AM27" s="192">
        <f t="shared" si="25"/>
        <v>0</v>
      </c>
      <c r="AN27" s="192">
        <f t="shared" si="31"/>
        <v>0</v>
      </c>
      <c r="AO27" s="192">
        <f t="shared" si="26"/>
        <v>0</v>
      </c>
      <c r="AS27" s="132">
        <f t="shared" si="9"/>
        <v>243047.73327813577</v>
      </c>
      <c r="AT27" s="132">
        <f t="shared" si="10"/>
        <v>3097808.2618165468</v>
      </c>
      <c r="AU27" s="200" t="str">
        <f t="shared" si="11"/>
        <v>-</v>
      </c>
      <c r="AV27" s="132">
        <f t="shared" si="32"/>
        <v>-4</v>
      </c>
      <c r="AW27" s="132">
        <f t="shared" si="12"/>
        <v>-85.117867180320758</v>
      </c>
      <c r="AX27" s="132">
        <f t="shared" si="27"/>
        <v>-1352.6382274050407</v>
      </c>
      <c r="AY27" s="132">
        <f t="shared" si="13"/>
        <v>873480243.53628004</v>
      </c>
      <c r="AZ27" s="132">
        <f t="shared" si="28"/>
        <v>1606607.8635842039</v>
      </c>
      <c r="BA27" s="167">
        <f t="shared" si="14"/>
        <v>0.76813810669421811</v>
      </c>
      <c r="BB27" s="167">
        <f t="shared" si="15"/>
        <v>0.87643488445760653</v>
      </c>
      <c r="BD27" s="211">
        <f t="shared" si="29"/>
        <v>42432</v>
      </c>
      <c r="BE27" s="210">
        <f>Operacional_10_dias!BE27</f>
        <v>1.4681381157415605</v>
      </c>
      <c r="BF27" s="209">
        <v>0.5</v>
      </c>
      <c r="BG27" s="209">
        <v>2</v>
      </c>
      <c r="BH27" s="210"/>
      <c r="BI27" s="209"/>
      <c r="BJ27" s="209"/>
      <c r="BL27" s="168"/>
    </row>
    <row r="28" spans="1:65" ht="13.5" thickBot="1" x14ac:dyDescent="0.25">
      <c r="A28" s="213">
        <f t="shared" si="1"/>
        <v>42433</v>
      </c>
      <c r="B28" s="190">
        <f>VLOOKUP(A28,P_Q_obs!$A$4:$H$304,8,FALSE)</f>
        <v>2064.5436128544702</v>
      </c>
      <c r="C28" s="168">
        <f t="shared" si="6"/>
        <v>1.4887478678581607E-2</v>
      </c>
      <c r="D28" s="198">
        <f t="shared" si="7"/>
        <v>0.12201425604650305</v>
      </c>
      <c r="E28" s="132">
        <f t="shared" si="8"/>
        <v>2316.447365852468</v>
      </c>
      <c r="F28" s="168">
        <f t="shared" si="16"/>
        <v>247.52851275148947</v>
      </c>
      <c r="G28" s="300"/>
      <c r="H28" s="127">
        <f>VLOOKUP(MONTH(A28),ETP_Parametros!$A$6:$D$17,4,FALSE)</f>
        <v>4.838709677419355</v>
      </c>
      <c r="I28" s="229">
        <f>VLOOKUP(A28,P_Q_obs!$A$4:$F$308,2,FALSE)*1</f>
        <v>4.3499999999999996</v>
      </c>
      <c r="J28" s="229">
        <f t="shared" si="4"/>
        <v>4.3499999999999996</v>
      </c>
      <c r="K28" s="229">
        <f t="shared" si="4"/>
        <v>4.3499999999999996</v>
      </c>
      <c r="L28" s="229">
        <f t="shared" si="4"/>
        <v>4.3499999999999996</v>
      </c>
      <c r="M28" s="229">
        <f t="shared" si="4"/>
        <v>4.3499999999999996</v>
      </c>
      <c r="N28" s="229">
        <f t="shared" si="4"/>
        <v>4.3499999999999996</v>
      </c>
      <c r="O28" s="229">
        <f t="shared" si="4"/>
        <v>4.3499999999999996</v>
      </c>
      <c r="P28" s="229">
        <f t="shared" si="4"/>
        <v>4.3499999999999996</v>
      </c>
      <c r="Q28" s="229">
        <f t="shared" si="4"/>
        <v>4.3499999999999996</v>
      </c>
      <c r="R28" s="229">
        <f t="shared" si="4"/>
        <v>4.3499999999999996</v>
      </c>
      <c r="S28" s="229">
        <f t="shared" si="4"/>
        <v>4.3499999999999996</v>
      </c>
      <c r="T28" s="229">
        <f t="shared" si="5"/>
        <v>4.3499999999999996</v>
      </c>
      <c r="U28" s="229">
        <f t="shared" si="5"/>
        <v>4.3499999999999996</v>
      </c>
      <c r="V28" s="229">
        <f t="shared" si="5"/>
        <v>4.3499999999999996</v>
      </c>
      <c r="W28" s="229">
        <f t="shared" si="5"/>
        <v>4.3499999999999996</v>
      </c>
      <c r="X28" s="229">
        <f t="shared" si="5"/>
        <v>4.3499999999999996</v>
      </c>
      <c r="Y28" s="229">
        <f t="shared" si="5"/>
        <v>4.3499999999999996</v>
      </c>
      <c r="Z28" s="291">
        <f t="shared" si="5"/>
        <v>4.3499999999999996</v>
      </c>
      <c r="AA28" s="300"/>
      <c r="AB28" s="191">
        <f t="shared" si="3"/>
        <v>4.3499999999999996</v>
      </c>
      <c r="AC28" s="139">
        <f t="shared" si="17"/>
        <v>14.628482023902196</v>
      </c>
      <c r="AD28" s="132">
        <f t="shared" si="33"/>
        <v>61.093122083401489</v>
      </c>
      <c r="AE28" s="168">
        <f t="shared" si="18"/>
        <v>0.72009286956361573</v>
      </c>
      <c r="AF28" s="192">
        <f t="shared" si="19"/>
        <v>4.626965965065331</v>
      </c>
      <c r="AG28" s="192">
        <f t="shared" si="30"/>
        <v>4.2461086097452263</v>
      </c>
      <c r="AH28" s="192">
        <f t="shared" si="20"/>
        <v>0.84486489006046062</v>
      </c>
      <c r="AI28" s="168">
        <f t="shared" si="21"/>
        <v>9.7298331204424038</v>
      </c>
      <c r="AJ28" s="192">
        <f t="shared" si="22"/>
        <v>3.2077412501870683</v>
      </c>
      <c r="AK28" s="132">
        <f t="shared" si="23"/>
        <v>27.419515500460122</v>
      </c>
      <c r="AL28" s="192">
        <f t="shared" si="24"/>
        <v>0.38377890933726971</v>
      </c>
      <c r="AM28" s="192">
        <f t="shared" si="25"/>
        <v>0</v>
      </c>
      <c r="AN28" s="192">
        <f t="shared" si="31"/>
        <v>0</v>
      </c>
      <c r="AO28" s="192">
        <f t="shared" si="26"/>
        <v>0</v>
      </c>
      <c r="AS28" s="132">
        <f t="shared" si="9"/>
        <v>301773.69741932565</v>
      </c>
      <c r="AT28" s="132">
        <f t="shared" si="10"/>
        <v>3301543.8740022453</v>
      </c>
      <c r="AU28" s="200" t="str">
        <f t="shared" si="11"/>
        <v>-</v>
      </c>
      <c r="AV28" s="132">
        <f t="shared" si="32"/>
        <v>-5</v>
      </c>
      <c r="AW28" s="132">
        <f t="shared" si="12"/>
        <v>-85.733190159505284</v>
      </c>
      <c r="AX28" s="132">
        <f t="shared" si="27"/>
        <v>-803.29889928504736</v>
      </c>
      <c r="AY28" s="132">
        <f t="shared" si="13"/>
        <v>906253134.41279721</v>
      </c>
      <c r="AZ28" s="132">
        <f t="shared" si="28"/>
        <v>514900.54691284202</v>
      </c>
      <c r="BA28" s="167">
        <f t="shared" si="14"/>
        <v>0.77458476303413593</v>
      </c>
      <c r="BB28" s="167">
        <f t="shared" si="15"/>
        <v>0.88010497273571631</v>
      </c>
      <c r="BD28" s="211">
        <f t="shared" si="29"/>
        <v>42433</v>
      </c>
      <c r="BE28" s="210">
        <f>Operacional_10_dias!BE28</f>
        <v>1.0084366895767167</v>
      </c>
      <c r="BF28" s="209">
        <v>0.5</v>
      </c>
      <c r="BG28" s="209">
        <v>2</v>
      </c>
      <c r="BH28" s="210"/>
      <c r="BI28" s="209"/>
      <c r="BJ28" s="209"/>
      <c r="BL28" s="168"/>
    </row>
    <row r="29" spans="1:65" ht="13.5" thickBot="1" x14ac:dyDescent="0.25">
      <c r="A29" s="213">
        <f t="shared" si="1"/>
        <v>42434</v>
      </c>
      <c r="B29" s="190">
        <f>VLOOKUP(A29,P_Q_obs!$A$4:$H$304,8,FALSE)</f>
        <v>1933.3914916014901</v>
      </c>
      <c r="C29" s="168">
        <f t="shared" si="6"/>
        <v>6.6330040222668834E-5</v>
      </c>
      <c r="D29" s="198">
        <f t="shared" si="7"/>
        <v>8.1443256456669774E-3</v>
      </c>
      <c r="E29" s="132">
        <f t="shared" si="8"/>
        <v>1949.1376615096544</v>
      </c>
      <c r="F29" s="168">
        <f t="shared" si="16"/>
        <v>251.76213945349801</v>
      </c>
      <c r="G29" s="300"/>
      <c r="H29" s="127">
        <f>VLOOKUP(MONTH(A29),ETP_Parametros!$A$6:$D$17,4,FALSE)</f>
        <v>4.838709677419355</v>
      </c>
      <c r="I29" s="229">
        <f>VLOOKUP(A29,P_Q_obs!$A$4:$F$308,2,FALSE)*1</f>
        <v>1.32</v>
      </c>
      <c r="J29" s="229">
        <f t="shared" si="4"/>
        <v>1.32</v>
      </c>
      <c r="K29" s="229">
        <f t="shared" si="4"/>
        <v>1.32</v>
      </c>
      <c r="L29" s="229">
        <f t="shared" si="4"/>
        <v>1.32</v>
      </c>
      <c r="M29" s="229">
        <f t="shared" si="4"/>
        <v>1.32</v>
      </c>
      <c r="N29" s="229">
        <f t="shared" si="4"/>
        <v>1.32</v>
      </c>
      <c r="O29" s="229">
        <f t="shared" si="4"/>
        <v>1.32</v>
      </c>
      <c r="P29" s="229">
        <f t="shared" si="4"/>
        <v>1.32</v>
      </c>
      <c r="Q29" s="229">
        <f t="shared" si="4"/>
        <v>1.32</v>
      </c>
      <c r="R29" s="229">
        <f t="shared" si="4"/>
        <v>1.32</v>
      </c>
      <c r="S29" s="229">
        <f t="shared" si="4"/>
        <v>1.32</v>
      </c>
      <c r="T29" s="229">
        <f t="shared" si="5"/>
        <v>1.32</v>
      </c>
      <c r="U29" s="229">
        <f t="shared" si="5"/>
        <v>1.32</v>
      </c>
      <c r="V29" s="229">
        <f t="shared" si="5"/>
        <v>1.32</v>
      </c>
      <c r="W29" s="229">
        <f t="shared" si="5"/>
        <v>1.32</v>
      </c>
      <c r="X29" s="229">
        <f t="shared" si="5"/>
        <v>1.32</v>
      </c>
      <c r="Y29" s="229">
        <f t="shared" si="5"/>
        <v>1.32</v>
      </c>
      <c r="Z29" s="291">
        <f t="shared" si="5"/>
        <v>1.32</v>
      </c>
      <c r="AA29" s="300"/>
      <c r="AB29" s="191">
        <f t="shared" si="3"/>
        <v>1.3199999999999998</v>
      </c>
      <c r="AC29" s="139">
        <f t="shared" si="17"/>
        <v>6.3365742618437073</v>
      </c>
      <c r="AD29" s="132">
        <f t="shared" si="33"/>
        <v>61.143384082351041</v>
      </c>
      <c r="AE29" s="168">
        <f t="shared" si="18"/>
        <v>0.78303135890288134</v>
      </c>
      <c r="AF29" s="192">
        <f t="shared" si="19"/>
        <v>0.88436860069960077</v>
      </c>
      <c r="AG29" s="192">
        <f t="shared" si="30"/>
        <v>4.2461086097452263</v>
      </c>
      <c r="AH29" s="192">
        <f t="shared" si="20"/>
        <v>1.1558350524493168</v>
      </c>
      <c r="AI29" s="168">
        <f t="shared" si="21"/>
        <v>7.982517316992201</v>
      </c>
      <c r="AJ29" s="192">
        <f t="shared" si="22"/>
        <v>2.6316844041498033</v>
      </c>
      <c r="AK29" s="132">
        <f t="shared" si="23"/>
        <v>28.185007645670765</v>
      </c>
      <c r="AL29" s="192">
        <f t="shared" si="24"/>
        <v>0.39034290723867188</v>
      </c>
      <c r="AM29" s="192">
        <f t="shared" si="25"/>
        <v>0</v>
      </c>
      <c r="AN29" s="192">
        <f t="shared" si="31"/>
        <v>0</v>
      </c>
      <c r="AO29" s="192">
        <f t="shared" si="26"/>
        <v>0</v>
      </c>
      <c r="AS29" s="132">
        <f t="shared" si="9"/>
        <v>174880.53998723408</v>
      </c>
      <c r="AT29" s="132">
        <f t="shared" si="10"/>
        <v>2827877.2780056754</v>
      </c>
      <c r="AU29" s="200" t="str">
        <f t="shared" si="11"/>
        <v>-</v>
      </c>
      <c r="AV29" s="132">
        <f t="shared" si="32"/>
        <v>-6</v>
      </c>
      <c r="AW29" s="132">
        <f t="shared" si="12"/>
        <v>-81.499563457496748</v>
      </c>
      <c r="AX29" s="132">
        <f t="shared" si="27"/>
        <v>-385.11169241803418</v>
      </c>
      <c r="AY29" s="132">
        <f t="shared" si="13"/>
        <v>931606262.5098511</v>
      </c>
      <c r="AZ29" s="132">
        <f t="shared" si="28"/>
        <v>92180.324851950034</v>
      </c>
      <c r="BA29" s="167">
        <f t="shared" si="14"/>
        <v>0.75652093788483887</v>
      </c>
      <c r="BB29" s="167">
        <f t="shared" si="15"/>
        <v>0.86978212092732676</v>
      </c>
      <c r="BD29" s="211">
        <f t="shared" si="29"/>
        <v>42434</v>
      </c>
      <c r="BE29" s="210">
        <f>Operacional_10_dias!BE29</f>
        <v>2.5</v>
      </c>
      <c r="BF29" s="209">
        <v>0.5</v>
      </c>
      <c r="BG29" s="209">
        <v>2</v>
      </c>
      <c r="BH29" s="210"/>
      <c r="BI29" s="209"/>
      <c r="BJ29" s="209"/>
      <c r="BL29" s="168"/>
    </row>
    <row r="30" spans="1:65" ht="13.5" thickBot="1" x14ac:dyDescent="0.25">
      <c r="A30" s="213">
        <f t="shared" si="1"/>
        <v>42435</v>
      </c>
      <c r="B30" s="190">
        <f>VLOOKUP(A30,P_Q_obs!$A$4:$H$304,8,FALSE)</f>
        <v>1700.6263589523101</v>
      </c>
      <c r="C30" s="168">
        <f t="shared" si="6"/>
        <v>9.4485644839026849E-3</v>
      </c>
      <c r="D30" s="198">
        <f t="shared" si="7"/>
        <v>9.7203726697604992E-2</v>
      </c>
      <c r="E30" s="132">
        <f t="shared" si="8"/>
        <v>1535.3191391419666</v>
      </c>
      <c r="F30" s="168">
        <f t="shared" si="16"/>
        <v>258.79078079509446</v>
      </c>
      <c r="G30" s="300"/>
      <c r="H30" s="127">
        <f>VLOOKUP(MONTH(A30),ETP_Parametros!$A$6:$D$17,4,FALSE)</f>
        <v>4.838709677419355</v>
      </c>
      <c r="I30" s="229">
        <f>VLOOKUP(A30,P_Q_obs!$A$4:$F$308,2,FALSE)*1</f>
        <v>0.41</v>
      </c>
      <c r="J30" s="229">
        <f t="shared" si="4"/>
        <v>0.41</v>
      </c>
      <c r="K30" s="229">
        <f t="shared" si="4"/>
        <v>0.41</v>
      </c>
      <c r="L30" s="229">
        <f t="shared" si="4"/>
        <v>0.41</v>
      </c>
      <c r="M30" s="229">
        <f t="shared" si="4"/>
        <v>0.41</v>
      </c>
      <c r="N30" s="229">
        <f t="shared" si="4"/>
        <v>0.41</v>
      </c>
      <c r="O30" s="229">
        <f t="shared" si="4"/>
        <v>0.41</v>
      </c>
      <c r="P30" s="229">
        <f t="shared" si="4"/>
        <v>0.41</v>
      </c>
      <c r="Q30" s="229">
        <f t="shared" si="4"/>
        <v>0.41</v>
      </c>
      <c r="R30" s="229">
        <f t="shared" si="4"/>
        <v>0.41</v>
      </c>
      <c r="S30" s="229">
        <f t="shared" si="4"/>
        <v>0.41</v>
      </c>
      <c r="T30" s="229">
        <f t="shared" si="5"/>
        <v>0.41</v>
      </c>
      <c r="U30" s="229">
        <f t="shared" si="5"/>
        <v>0.41</v>
      </c>
      <c r="V30" s="229">
        <f t="shared" si="5"/>
        <v>0.41</v>
      </c>
      <c r="W30" s="229">
        <f t="shared" si="5"/>
        <v>0.41</v>
      </c>
      <c r="X30" s="229">
        <f t="shared" si="5"/>
        <v>0.41</v>
      </c>
      <c r="Y30" s="229">
        <f t="shared" si="5"/>
        <v>0.41</v>
      </c>
      <c r="Z30" s="291">
        <f t="shared" si="5"/>
        <v>0.41</v>
      </c>
      <c r="AA30" s="300"/>
      <c r="AB30" s="191">
        <f t="shared" si="3"/>
        <v>0.41000000000000009</v>
      </c>
      <c r="AC30" s="139">
        <f t="shared" si="17"/>
        <v>1.9112568381984532</v>
      </c>
      <c r="AD30" s="132">
        <f t="shared" si="33"/>
        <v>58.154402715349185</v>
      </c>
      <c r="AE30" s="168">
        <f t="shared" si="18"/>
        <v>0.78367556761241364</v>
      </c>
      <c r="AF30" s="192">
        <f t="shared" si="19"/>
        <v>0</v>
      </c>
      <c r="AG30" s="192">
        <f t="shared" si="30"/>
        <v>3.7410231255562199</v>
      </c>
      <c r="AH30" s="192">
        <f t="shared" si="20"/>
        <v>1.1592150796440899</v>
      </c>
      <c r="AI30" s="168">
        <f t="shared" si="21"/>
        <v>6.003332552947235</v>
      </c>
      <c r="AJ30" s="192">
        <f t="shared" si="22"/>
        <v>1.9791847640449656</v>
      </c>
      <c r="AK30" s="132">
        <f t="shared" si="23"/>
        <v>28.942982308620742</v>
      </c>
      <c r="AL30" s="192">
        <f t="shared" si="24"/>
        <v>0.40124041669411342</v>
      </c>
      <c r="AM30" s="192">
        <f t="shared" si="25"/>
        <v>0</v>
      </c>
      <c r="AN30" s="192">
        <f t="shared" si="31"/>
        <v>0</v>
      </c>
      <c r="AO30" s="192">
        <f t="shared" si="26"/>
        <v>0</v>
      </c>
      <c r="AS30" s="132">
        <f t="shared" si="9"/>
        <v>34381.345607243624</v>
      </c>
      <c r="AT30" s="132">
        <f t="shared" si="10"/>
        <v>2078889.8344399524</v>
      </c>
      <c r="AU30" s="200" t="str">
        <f t="shared" si="11"/>
        <v>-</v>
      </c>
      <c r="AV30" s="132">
        <f t="shared" si="32"/>
        <v>-7</v>
      </c>
      <c r="AW30" s="132">
        <f t="shared" si="12"/>
        <v>-74.470922115900294</v>
      </c>
      <c r="AX30" s="132">
        <f t="shared" si="27"/>
        <v>-199.68961820020104</v>
      </c>
      <c r="AY30" s="132">
        <f t="shared" si="13"/>
        <v>942959632.65856683</v>
      </c>
      <c r="AZ30" s="132">
        <f t="shared" si="28"/>
        <v>15679.721849052476</v>
      </c>
      <c r="BA30" s="167">
        <f t="shared" si="14"/>
        <v>0.71880926004899803</v>
      </c>
      <c r="BB30" s="167">
        <f t="shared" si="15"/>
        <v>0.84782619684048333</v>
      </c>
      <c r="BD30" s="211">
        <f t="shared" si="29"/>
        <v>42435</v>
      </c>
      <c r="BE30" s="210">
        <f>Operacional_10_dias!BE30</f>
        <v>1.3012757095019813</v>
      </c>
      <c r="BF30" s="209">
        <v>0.5</v>
      </c>
      <c r="BG30" s="209">
        <v>2</v>
      </c>
      <c r="BH30" s="210"/>
      <c r="BI30" s="209"/>
      <c r="BJ30" s="209"/>
      <c r="BL30" s="168"/>
    </row>
    <row r="31" spans="1:65" ht="13.5" thickBot="1" x14ac:dyDescent="0.25">
      <c r="A31" s="213">
        <f t="shared" si="1"/>
        <v>42436</v>
      </c>
      <c r="B31" s="190">
        <f>VLOOKUP(A31,P_Q_obs!$A$4:$H$304,8,FALSE)</f>
        <v>1339.08532292257</v>
      </c>
      <c r="C31" s="168">
        <f t="shared" si="6"/>
        <v>7.1599776225109739E-3</v>
      </c>
      <c r="D31" s="198">
        <f t="shared" si="7"/>
        <v>8.4616650976690008E-2</v>
      </c>
      <c r="E31" s="132">
        <f t="shared" si="8"/>
        <v>1225.7764075248226</v>
      </c>
      <c r="F31" s="168">
        <f t="shared" si="16"/>
        <v>265.75039767062344</v>
      </c>
      <c r="G31" s="300"/>
      <c r="H31" s="127">
        <f>VLOOKUP(MONTH(A31),ETP_Parametros!$A$6:$D$17,4,FALSE)</f>
        <v>4.838709677419355</v>
      </c>
      <c r="I31" s="229">
        <f>VLOOKUP(A31,P_Q_obs!$A$4:$F$308,2,FALSE)*1</f>
        <v>0.32</v>
      </c>
      <c r="J31" s="229">
        <f t="shared" si="4"/>
        <v>0.32</v>
      </c>
      <c r="K31" s="229">
        <f t="shared" si="4"/>
        <v>0.32</v>
      </c>
      <c r="L31" s="229">
        <f t="shared" si="4"/>
        <v>0.32</v>
      </c>
      <c r="M31" s="229">
        <f t="shared" si="4"/>
        <v>0.32</v>
      </c>
      <c r="N31" s="229">
        <f t="shared" si="4"/>
        <v>0.32</v>
      </c>
      <c r="O31" s="229">
        <f t="shared" si="4"/>
        <v>0.32</v>
      </c>
      <c r="P31" s="229">
        <f t="shared" si="4"/>
        <v>0.32</v>
      </c>
      <c r="Q31" s="229">
        <f t="shared" si="4"/>
        <v>0.32</v>
      </c>
      <c r="R31" s="229">
        <f t="shared" si="4"/>
        <v>0.32</v>
      </c>
      <c r="S31" s="229">
        <f t="shared" si="4"/>
        <v>0.32</v>
      </c>
      <c r="T31" s="229">
        <f t="shared" si="5"/>
        <v>0.32</v>
      </c>
      <c r="U31" s="229">
        <f t="shared" si="5"/>
        <v>0.32</v>
      </c>
      <c r="V31" s="229">
        <f t="shared" si="5"/>
        <v>0.32</v>
      </c>
      <c r="W31" s="229">
        <f t="shared" si="5"/>
        <v>0.32</v>
      </c>
      <c r="X31" s="229">
        <f t="shared" si="5"/>
        <v>0.32</v>
      </c>
      <c r="Y31" s="229">
        <f t="shared" si="5"/>
        <v>0.32</v>
      </c>
      <c r="Z31" s="291">
        <f t="shared" si="5"/>
        <v>0.32</v>
      </c>
      <c r="AA31" s="300"/>
      <c r="AB31" s="191">
        <f t="shared" si="3"/>
        <v>0.32</v>
      </c>
      <c r="AC31" s="139">
        <f t="shared" si="17"/>
        <v>0.42522718957934413</v>
      </c>
      <c r="AD31" s="132">
        <f t="shared" si="33"/>
        <v>54.341294118145584</v>
      </c>
      <c r="AE31" s="168">
        <f t="shared" si="18"/>
        <v>0.74536575364769664</v>
      </c>
      <c r="AF31" s="192">
        <f t="shared" si="19"/>
        <v>0</v>
      </c>
      <c r="AG31" s="192">
        <f t="shared" si="30"/>
        <v>3.2731813489197683</v>
      </c>
      <c r="AH31" s="192">
        <f t="shared" si="20"/>
        <v>0.96515443786317701</v>
      </c>
      <c r="AI31" s="168">
        <f t="shared" si="21"/>
        <v>4.5148667156109319</v>
      </c>
      <c r="AJ31" s="192">
        <f t="shared" si="22"/>
        <v>1.4884658373363029</v>
      </c>
      <c r="AK31" s="132">
        <f t="shared" si="23"/>
        <v>29.496105838851182</v>
      </c>
      <c r="AL31" s="192">
        <f t="shared" si="24"/>
        <v>0.41203090763273637</v>
      </c>
      <c r="AM31" s="192">
        <f t="shared" si="25"/>
        <v>0</v>
      </c>
      <c r="AN31" s="192">
        <f t="shared" si="31"/>
        <v>0</v>
      </c>
      <c r="AO31" s="192">
        <f t="shared" si="26"/>
        <v>0</v>
      </c>
      <c r="AS31" s="132">
        <f t="shared" si="9"/>
        <v>31017.888709703941</v>
      </c>
      <c r="AT31" s="132">
        <f t="shared" si="10"/>
        <v>1152047.8617656017</v>
      </c>
      <c r="AU31" s="200" t="str">
        <f t="shared" si="11"/>
        <v>-</v>
      </c>
      <c r="AV31" s="132">
        <f t="shared" si="32"/>
        <v>-8</v>
      </c>
      <c r="AW31" s="132">
        <f t="shared" si="12"/>
        <v>-67.511305240371314</v>
      </c>
      <c r="AX31" s="132">
        <f t="shared" si="27"/>
        <v>-375.808580012108</v>
      </c>
      <c r="AY31" s="132">
        <f t="shared" si="13"/>
        <v>932174252.45113635</v>
      </c>
      <c r="AZ31" s="132">
        <f t="shared" si="28"/>
        <v>95047.209631679711</v>
      </c>
      <c r="BA31" s="167">
        <f t="shared" si="14"/>
        <v>0.64247172945582165</v>
      </c>
      <c r="BB31" s="167">
        <f t="shared" si="15"/>
        <v>0.80154334221913515</v>
      </c>
      <c r="BD31" s="211">
        <f t="shared" si="29"/>
        <v>42436</v>
      </c>
      <c r="BE31" s="210">
        <f>Operacional_10_dias!BE31</f>
        <v>1.0749162204469316</v>
      </c>
      <c r="BF31" s="209">
        <v>0.5</v>
      </c>
      <c r="BG31" s="209">
        <v>2</v>
      </c>
      <c r="BH31" s="210"/>
      <c r="BI31" s="209"/>
      <c r="BJ31" s="209"/>
      <c r="BL31" s="168"/>
    </row>
    <row r="32" spans="1:65" ht="13.5" thickBot="1" x14ac:dyDescent="0.25">
      <c r="A32" s="213">
        <f t="shared" si="1"/>
        <v>42437</v>
      </c>
      <c r="B32" s="190">
        <f>VLOOKUP(A32,P_Q_obs!$A$4:$H$304,8,FALSE)</f>
        <v>1099.2439515618901</v>
      </c>
      <c r="C32" s="168">
        <f t="shared" si="6"/>
        <v>7.7253197606676231E-3</v>
      </c>
      <c r="D32" s="198">
        <f t="shared" si="7"/>
        <v>8.7893798192293537E-2</v>
      </c>
      <c r="E32" s="132">
        <f t="shared" si="8"/>
        <v>1002.62722551921</v>
      </c>
      <c r="F32" s="168">
        <f t="shared" si="16"/>
        <v>270.8291002228458</v>
      </c>
      <c r="G32" s="300"/>
      <c r="H32" s="127">
        <f>VLOOKUP(MONTH(A32),ETP_Parametros!$A$6:$D$17,4,FALSE)</f>
        <v>4.838709677419355</v>
      </c>
      <c r="I32" s="229">
        <f>VLOOKUP(A32,P_Q_obs!$A$4:$F$308,2,FALSE)*1</f>
        <v>7.0000000000000007E-2</v>
      </c>
      <c r="J32" s="229">
        <f t="shared" si="4"/>
        <v>7.0000000000000007E-2</v>
      </c>
      <c r="K32" s="229">
        <f t="shared" si="4"/>
        <v>7.0000000000000007E-2</v>
      </c>
      <c r="L32" s="229">
        <f t="shared" si="4"/>
        <v>7.0000000000000007E-2</v>
      </c>
      <c r="M32" s="229">
        <f t="shared" si="4"/>
        <v>7.0000000000000007E-2</v>
      </c>
      <c r="N32" s="229">
        <f t="shared" si="4"/>
        <v>7.0000000000000007E-2</v>
      </c>
      <c r="O32" s="229">
        <f t="shared" si="4"/>
        <v>7.0000000000000007E-2</v>
      </c>
      <c r="P32" s="229">
        <f t="shared" si="4"/>
        <v>7.0000000000000007E-2</v>
      </c>
      <c r="Q32" s="229">
        <f t="shared" si="4"/>
        <v>7.0000000000000007E-2</v>
      </c>
      <c r="R32" s="229">
        <f t="shared" si="4"/>
        <v>7.0000000000000007E-2</v>
      </c>
      <c r="S32" s="229">
        <f t="shared" si="4"/>
        <v>7.0000000000000007E-2</v>
      </c>
      <c r="T32" s="229">
        <f t="shared" si="5"/>
        <v>7.0000000000000007E-2</v>
      </c>
      <c r="U32" s="229">
        <f t="shared" si="5"/>
        <v>7.0000000000000007E-2</v>
      </c>
      <c r="V32" s="229">
        <f t="shared" si="5"/>
        <v>7.0000000000000007E-2</v>
      </c>
      <c r="W32" s="229">
        <f t="shared" si="5"/>
        <v>7.0000000000000007E-2</v>
      </c>
      <c r="X32" s="229">
        <f t="shared" si="5"/>
        <v>7.0000000000000007E-2</v>
      </c>
      <c r="Y32" s="229">
        <f t="shared" si="5"/>
        <v>7.0000000000000007E-2</v>
      </c>
      <c r="Z32" s="291">
        <f t="shared" si="5"/>
        <v>7.0000000000000007E-2</v>
      </c>
      <c r="AA32" s="300"/>
      <c r="AB32" s="191">
        <f t="shared" si="3"/>
        <v>6.9999999999999979E-2</v>
      </c>
      <c r="AC32" s="139">
        <f t="shared" si="17"/>
        <v>3.235732341488867</v>
      </c>
      <c r="AD32" s="132">
        <f t="shared" si="33"/>
        <v>52.856799140848167</v>
      </c>
      <c r="AE32" s="168">
        <f t="shared" si="18"/>
        <v>0.69649309000420911</v>
      </c>
      <c r="AF32" s="192">
        <f t="shared" si="19"/>
        <v>6.1287953828315436E-2</v>
      </c>
      <c r="AG32" s="192">
        <f t="shared" si="30"/>
        <v>3.9208511131472639</v>
      </c>
      <c r="AH32" s="192">
        <f t="shared" si="20"/>
        <v>0.73808825181070958</v>
      </c>
      <c r="AI32" s="168">
        <f t="shared" si="21"/>
        <v>3.4415432129269212</v>
      </c>
      <c r="AJ32" s="192">
        <f t="shared" si="22"/>
        <v>1.1346114565123258</v>
      </c>
      <c r="AK32" s="132">
        <f t="shared" si="23"/>
        <v>29.814288942988384</v>
      </c>
      <c r="AL32" s="192">
        <f t="shared" si="24"/>
        <v>0.41990514767350751</v>
      </c>
      <c r="AM32" s="192">
        <f t="shared" si="25"/>
        <v>0</v>
      </c>
      <c r="AN32" s="192">
        <f t="shared" si="31"/>
        <v>0</v>
      </c>
      <c r="AO32" s="192">
        <f t="shared" si="26"/>
        <v>0</v>
      </c>
      <c r="AS32" s="132">
        <f t="shared" si="9"/>
        <v>173022.99877304945</v>
      </c>
      <c r="AT32" s="132">
        <f t="shared" si="10"/>
        <v>686271.16591909085</v>
      </c>
      <c r="AU32" s="200" t="str">
        <f t="shared" si="11"/>
        <v>-</v>
      </c>
      <c r="AV32" s="132">
        <f t="shared" si="32"/>
        <v>-9</v>
      </c>
      <c r="AW32" s="132">
        <f t="shared" si="12"/>
        <v>-62.432602688148961</v>
      </c>
      <c r="AX32" s="132">
        <f t="shared" si="27"/>
        <v>-791.76891318469484</v>
      </c>
      <c r="AY32" s="132">
        <f t="shared" si="13"/>
        <v>906947465.6444701</v>
      </c>
      <c r="AZ32" s="132">
        <f t="shared" si="28"/>
        <v>531931.45380871394</v>
      </c>
      <c r="BA32" s="167">
        <f t="shared" si="14"/>
        <v>0.56794670310305029</v>
      </c>
      <c r="BB32" s="167">
        <f t="shared" si="15"/>
        <v>0.75362238760738143</v>
      </c>
      <c r="BD32" s="211">
        <f t="shared" si="29"/>
        <v>42437</v>
      </c>
      <c r="BE32" s="210">
        <f>Operacional_10_dias!BE32</f>
        <v>1.4828282690857177</v>
      </c>
      <c r="BF32" s="209">
        <v>0.5</v>
      </c>
      <c r="BG32" s="209">
        <v>2</v>
      </c>
      <c r="BH32" s="210"/>
      <c r="BI32" s="209"/>
      <c r="BJ32" s="209"/>
      <c r="BL32" s="168"/>
    </row>
    <row r="33" spans="1:64" ht="13.5" thickBot="1" x14ac:dyDescent="0.25">
      <c r="A33" s="213">
        <f t="shared" si="1"/>
        <v>42438</v>
      </c>
      <c r="B33" s="190">
        <f>VLOOKUP(A33,P_Q_obs!$A$4:$H$304,8,FALSE)</f>
        <v>1180.2527855814201</v>
      </c>
      <c r="C33" s="168">
        <f t="shared" si="6"/>
        <v>7.9285715576180203E-7</v>
      </c>
      <c r="D33" s="198">
        <f t="shared" si="7"/>
        <v>8.904252668033416E-4</v>
      </c>
      <c r="E33" s="132">
        <f t="shared" si="8"/>
        <v>1181.3037124829168</v>
      </c>
      <c r="F33" s="168">
        <f t="shared" si="16"/>
        <v>273.75061278692425</v>
      </c>
      <c r="G33" s="300"/>
      <c r="H33" s="127">
        <f>VLOOKUP(MONTH(A33),ETP_Parametros!$A$6:$D$17,4,FALSE)</f>
        <v>4.838709677419355</v>
      </c>
      <c r="I33" s="229">
        <f>VLOOKUP(A33,P_Q_obs!$A$4:$F$308,2,FALSE)*1</f>
        <v>9.34</v>
      </c>
      <c r="J33" s="229">
        <f t="shared" si="4"/>
        <v>9.34</v>
      </c>
      <c r="K33" s="229">
        <f t="shared" si="4"/>
        <v>9.34</v>
      </c>
      <c r="L33" s="229">
        <f t="shared" si="4"/>
        <v>9.34</v>
      </c>
      <c r="M33" s="229">
        <f t="shared" si="4"/>
        <v>9.34</v>
      </c>
      <c r="N33" s="229">
        <f t="shared" si="4"/>
        <v>9.34</v>
      </c>
      <c r="O33" s="229">
        <f t="shared" si="4"/>
        <v>9.34</v>
      </c>
      <c r="P33" s="229">
        <f t="shared" si="4"/>
        <v>9.34</v>
      </c>
      <c r="Q33" s="229">
        <f t="shared" si="4"/>
        <v>9.34</v>
      </c>
      <c r="R33" s="229">
        <f t="shared" si="4"/>
        <v>9.34</v>
      </c>
      <c r="S33" s="229">
        <f t="shared" si="4"/>
        <v>9.34</v>
      </c>
      <c r="T33" s="229">
        <f t="shared" si="5"/>
        <v>9.34</v>
      </c>
      <c r="U33" s="229">
        <f t="shared" si="5"/>
        <v>9.34</v>
      </c>
      <c r="V33" s="229">
        <f t="shared" si="5"/>
        <v>9.34</v>
      </c>
      <c r="W33" s="229">
        <f t="shared" si="5"/>
        <v>9.34</v>
      </c>
      <c r="X33" s="229">
        <f t="shared" si="5"/>
        <v>9.34</v>
      </c>
      <c r="Y33" s="229">
        <f t="shared" si="5"/>
        <v>9.34</v>
      </c>
      <c r="Z33" s="291">
        <f t="shared" si="5"/>
        <v>9.34</v>
      </c>
      <c r="AA33" s="300"/>
      <c r="AB33" s="191">
        <f t="shared" si="3"/>
        <v>9.34</v>
      </c>
      <c r="AC33" s="139">
        <f t="shared" si="17"/>
        <v>10.696820386751661</v>
      </c>
      <c r="AD33" s="132">
        <f t="shared" si="33"/>
        <v>56.417946159981177</v>
      </c>
      <c r="AE33" s="168">
        <f t="shared" si="18"/>
        <v>0.67746629812130565</v>
      </c>
      <c r="AF33" s="192">
        <f t="shared" si="19"/>
        <v>2.2336603867761431</v>
      </c>
      <c r="AG33" s="192">
        <f t="shared" si="30"/>
        <v>4.2461086097452263</v>
      </c>
      <c r="AH33" s="192">
        <f t="shared" si="20"/>
        <v>0.65590437109728195</v>
      </c>
      <c r="AI33" s="168">
        <f t="shared" si="21"/>
        <v>4.2680940312119864</v>
      </c>
      <c r="AJ33" s="192">
        <f t="shared" si="22"/>
        <v>1.4071095684910773</v>
      </c>
      <c r="AK33" s="132">
        <f t="shared" si="23"/>
        <v>30.0457585270062</v>
      </c>
      <c r="AL33" s="192">
        <f t="shared" si="24"/>
        <v>0.4244347870794648</v>
      </c>
      <c r="AM33" s="192">
        <f t="shared" si="25"/>
        <v>0</v>
      </c>
      <c r="AN33" s="192">
        <f t="shared" si="31"/>
        <v>0</v>
      </c>
      <c r="AO33" s="192">
        <f t="shared" si="26"/>
        <v>0</v>
      </c>
      <c r="AS33" s="132">
        <f t="shared" si="9"/>
        <v>112192.50678488023</v>
      </c>
      <c r="AT33" s="132">
        <f t="shared" si="10"/>
        <v>821746.18928114208</v>
      </c>
      <c r="AU33" s="200" t="str">
        <f t="shared" si="11"/>
        <v>-</v>
      </c>
      <c r="AV33" s="132">
        <f t="shared" si="32"/>
        <v>-10</v>
      </c>
      <c r="AW33" s="132">
        <f t="shared" si="12"/>
        <v>-59.511090124070506</v>
      </c>
      <c r="AX33" s="132">
        <f t="shared" si="27"/>
        <v>-1126.7204123377517</v>
      </c>
      <c r="AY33" s="132">
        <f t="shared" si="13"/>
        <v>886885148.52223575</v>
      </c>
      <c r="AZ33" s="132">
        <f t="shared" si="28"/>
        <v>1138935.7374197848</v>
      </c>
      <c r="BA33" s="167">
        <f t="shared" si="14"/>
        <v>0.58991254317459241</v>
      </c>
      <c r="BB33" s="167">
        <f t="shared" si="15"/>
        <v>0.7680576431327224</v>
      </c>
      <c r="BD33" s="211">
        <f t="shared" si="29"/>
        <v>42438</v>
      </c>
      <c r="BE33" s="210">
        <f>Operacional_10_dias!BE33</f>
        <v>1.2708942179801364</v>
      </c>
      <c r="BF33" s="209">
        <v>0.5</v>
      </c>
      <c r="BG33" s="209">
        <v>2</v>
      </c>
      <c r="BH33" s="210"/>
      <c r="BI33" s="209"/>
      <c r="BJ33" s="209"/>
      <c r="BL33" s="168"/>
    </row>
    <row r="34" spans="1:64" ht="13.5" thickBot="1" x14ac:dyDescent="0.25">
      <c r="A34" s="213">
        <f t="shared" si="1"/>
        <v>42439</v>
      </c>
      <c r="B34" s="190">
        <f>VLOOKUP(A34,P_Q_obs!$A$4:$H$304,8,FALSE)</f>
        <v>1709.14781201286</v>
      </c>
      <c r="C34" s="168">
        <f t="shared" si="6"/>
        <v>3.4132029782806381E-7</v>
      </c>
      <c r="D34" s="198">
        <f t="shared" si="7"/>
        <v>5.8422623856521866E-4</v>
      </c>
      <c r="E34" s="132">
        <f t="shared" si="8"/>
        <v>1710.1463410102242</v>
      </c>
      <c r="F34" s="168">
        <f t="shared" si="16"/>
        <v>275.87593399071278</v>
      </c>
      <c r="G34" s="300"/>
      <c r="H34" s="127">
        <f>VLOOKUP(MONTH(A34),ETP_Parametros!$A$6:$D$17,4,FALSE)</f>
        <v>4.838709677419355</v>
      </c>
      <c r="I34" s="229">
        <f>VLOOKUP(A34,P_Q_obs!$A$4:$F$308,2,FALSE)*1</f>
        <v>23.52</v>
      </c>
      <c r="J34" s="229">
        <f t="shared" si="4"/>
        <v>23.52</v>
      </c>
      <c r="K34" s="229">
        <f t="shared" si="4"/>
        <v>23.52</v>
      </c>
      <c r="L34" s="229">
        <f t="shared" si="4"/>
        <v>23.52</v>
      </c>
      <c r="M34" s="229">
        <f t="shared" si="4"/>
        <v>23.52</v>
      </c>
      <c r="N34" s="229">
        <f t="shared" si="4"/>
        <v>23.52</v>
      </c>
      <c r="O34" s="229">
        <f t="shared" si="4"/>
        <v>23.52</v>
      </c>
      <c r="P34" s="229">
        <f t="shared" si="4"/>
        <v>23.52</v>
      </c>
      <c r="Q34" s="229">
        <f t="shared" si="4"/>
        <v>23.52</v>
      </c>
      <c r="R34" s="229">
        <f t="shared" si="4"/>
        <v>23.52</v>
      </c>
      <c r="S34" s="229">
        <f t="shared" si="4"/>
        <v>23.52</v>
      </c>
      <c r="T34" s="229">
        <f t="shared" si="5"/>
        <v>23.52</v>
      </c>
      <c r="U34" s="229">
        <f t="shared" si="5"/>
        <v>23.52</v>
      </c>
      <c r="V34" s="229">
        <f t="shared" si="5"/>
        <v>23.52</v>
      </c>
      <c r="W34" s="229">
        <f t="shared" si="5"/>
        <v>23.52</v>
      </c>
      <c r="X34" s="229">
        <f t="shared" si="5"/>
        <v>23.52</v>
      </c>
      <c r="Y34" s="229">
        <f t="shared" si="5"/>
        <v>23.52</v>
      </c>
      <c r="Z34" s="291">
        <f t="shared" si="5"/>
        <v>23.52</v>
      </c>
      <c r="AA34" s="300"/>
      <c r="AB34" s="191">
        <f t="shared" si="3"/>
        <v>23.519999999999989</v>
      </c>
      <c r="AC34" s="139">
        <f t="shared" si="17"/>
        <v>14.698274516498451</v>
      </c>
      <c r="AD34" s="132">
        <f t="shared" si="33"/>
        <v>61.310379912989333</v>
      </c>
      <c r="AE34" s="168">
        <f t="shared" si="18"/>
        <v>0.72310956686501049</v>
      </c>
      <c r="AF34" s="192">
        <f t="shared" si="19"/>
        <v>4.7008319518421526</v>
      </c>
      <c r="AG34" s="192">
        <f t="shared" si="30"/>
        <v>4.2461086097452263</v>
      </c>
      <c r="AH34" s="192">
        <f t="shared" si="20"/>
        <v>0.85890020190291849</v>
      </c>
      <c r="AI34" s="168">
        <f t="shared" si="21"/>
        <v>6.7451711259589615</v>
      </c>
      <c r="AJ34" s="192">
        <f t="shared" si="22"/>
        <v>2.2237548570951766</v>
      </c>
      <c r="AK34" s="132">
        <f t="shared" si="23"/>
        <v>30.476928751936114</v>
      </c>
      <c r="AL34" s="192">
        <f t="shared" si="24"/>
        <v>0.42772997697300336</v>
      </c>
      <c r="AM34" s="192">
        <f t="shared" si="25"/>
        <v>0</v>
      </c>
      <c r="AN34" s="192">
        <f t="shared" si="31"/>
        <v>0</v>
      </c>
      <c r="AO34" s="192">
        <f t="shared" si="26"/>
        <v>0</v>
      </c>
      <c r="AS34" s="132">
        <f t="shared" si="9"/>
        <v>37614.09177318091</v>
      </c>
      <c r="AT34" s="132">
        <f t="shared" si="10"/>
        <v>2054268.2763291325</v>
      </c>
      <c r="AU34" s="200" t="str">
        <f t="shared" si="11"/>
        <v>-</v>
      </c>
      <c r="AV34" s="132">
        <f t="shared" si="32"/>
        <v>-11</v>
      </c>
      <c r="AW34" s="132">
        <f t="shared" si="12"/>
        <v>-57.385768920281976</v>
      </c>
      <c r="AX34" s="132">
        <f t="shared" si="27"/>
        <v>-932.77688505936862</v>
      </c>
      <c r="AY34" s="132">
        <f t="shared" si="13"/>
        <v>898474278.42255759</v>
      </c>
      <c r="AZ34" s="132">
        <f t="shared" si="28"/>
        <v>766309.60621523589</v>
      </c>
      <c r="BA34" s="167">
        <f t="shared" si="14"/>
        <v>0.70323084706937455</v>
      </c>
      <c r="BB34" s="167">
        <f t="shared" si="15"/>
        <v>0.83858860418525516</v>
      </c>
      <c r="BD34" s="211">
        <f t="shared" si="29"/>
        <v>42439</v>
      </c>
      <c r="BE34" s="210">
        <f>Operacional_10_dias!BE34</f>
        <v>1.1410353835134694</v>
      </c>
      <c r="BF34" s="209">
        <v>0.5</v>
      </c>
      <c r="BG34" s="209">
        <v>2</v>
      </c>
      <c r="BH34" s="210"/>
      <c r="BI34" s="209"/>
      <c r="BJ34" s="209"/>
      <c r="BL34" s="168"/>
    </row>
    <row r="35" spans="1:64" ht="13.5" thickBot="1" x14ac:dyDescent="0.25">
      <c r="A35" s="213">
        <f t="shared" si="1"/>
        <v>42440</v>
      </c>
      <c r="B35" s="190">
        <f>VLOOKUP(A35,P_Q_obs!$A$4:$H$304,8,FALSE)</f>
        <v>2064.19808210052</v>
      </c>
      <c r="C35" s="168">
        <f t="shared" si="6"/>
        <v>3.3187819612905463E-2</v>
      </c>
      <c r="D35" s="198">
        <f t="shared" si="7"/>
        <v>0.18217524423726036</v>
      </c>
      <c r="E35" s="132">
        <f t="shared" si="8"/>
        <v>2440.2438718612666</v>
      </c>
      <c r="F35" s="168">
        <f t="shared" si="16"/>
        <v>279.834878425569</v>
      </c>
      <c r="G35" s="300"/>
      <c r="H35" s="127">
        <f>VLOOKUP(MONTH(A35),ETP_Parametros!$A$6:$D$17,4,FALSE)</f>
        <v>4.838709677419355</v>
      </c>
      <c r="I35" s="229">
        <f>VLOOKUP(A35,P_Q_obs!$A$4:$F$308,2,FALSE)*1</f>
        <v>3.09</v>
      </c>
      <c r="J35" s="229">
        <f t="shared" si="4"/>
        <v>3.09</v>
      </c>
      <c r="K35" s="229">
        <f t="shared" si="4"/>
        <v>3.09</v>
      </c>
      <c r="L35" s="229">
        <f t="shared" si="4"/>
        <v>3.09</v>
      </c>
      <c r="M35" s="229">
        <f t="shared" si="4"/>
        <v>3.09</v>
      </c>
      <c r="N35" s="229">
        <f t="shared" si="4"/>
        <v>3.09</v>
      </c>
      <c r="O35" s="229">
        <f t="shared" si="4"/>
        <v>3.09</v>
      </c>
      <c r="P35" s="229">
        <f t="shared" si="4"/>
        <v>3.09</v>
      </c>
      <c r="Q35" s="229">
        <f t="shared" si="4"/>
        <v>3.09</v>
      </c>
      <c r="R35" s="229">
        <f t="shared" si="4"/>
        <v>3.09</v>
      </c>
      <c r="S35" s="229">
        <f t="shared" si="4"/>
        <v>3.09</v>
      </c>
      <c r="T35" s="229">
        <f t="shared" si="5"/>
        <v>3.09</v>
      </c>
      <c r="U35" s="229">
        <f t="shared" si="5"/>
        <v>3.09</v>
      </c>
      <c r="V35" s="229">
        <f t="shared" si="5"/>
        <v>3.09</v>
      </c>
      <c r="W35" s="229">
        <f t="shared" si="5"/>
        <v>3.09</v>
      </c>
      <c r="X35" s="229">
        <f t="shared" si="5"/>
        <v>3.09</v>
      </c>
      <c r="Y35" s="229">
        <f t="shared" si="5"/>
        <v>3.09</v>
      </c>
      <c r="Z35" s="291">
        <f t="shared" si="5"/>
        <v>3.09</v>
      </c>
      <c r="AA35" s="300"/>
      <c r="AB35" s="191">
        <f t="shared" si="3"/>
        <v>3.0900000000000012</v>
      </c>
      <c r="AC35" s="139">
        <f t="shared" si="17"/>
        <v>16.539364215000159</v>
      </c>
      <c r="AD35" s="132">
        <f t="shared" si="33"/>
        <v>65.668642877283588</v>
      </c>
      <c r="AE35" s="168">
        <f t="shared" si="18"/>
        <v>0.78581595539644766</v>
      </c>
      <c r="AF35" s="192">
        <f t="shared" si="19"/>
        <v>6.7645187208215614</v>
      </c>
      <c r="AG35" s="192">
        <f t="shared" si="30"/>
        <v>4.2461086097452263</v>
      </c>
      <c r="AH35" s="192">
        <f t="shared" si="20"/>
        <v>1.1704739201391361</v>
      </c>
      <c r="AI35" s="168">
        <f t="shared" si="21"/>
        <v>10.160098326972097</v>
      </c>
      <c r="AJ35" s="192">
        <f t="shared" si="22"/>
        <v>3.349591519808425</v>
      </c>
      <c r="AK35" s="132">
        <f t="shared" si="23"/>
        <v>31.21353457646514</v>
      </c>
      <c r="AL35" s="192">
        <f t="shared" si="24"/>
        <v>0.43386809561011314</v>
      </c>
      <c r="AM35" s="192">
        <f t="shared" si="25"/>
        <v>0</v>
      </c>
      <c r="AN35" s="192">
        <f t="shared" si="31"/>
        <v>0</v>
      </c>
      <c r="AO35" s="192">
        <f t="shared" si="26"/>
        <v>0</v>
      </c>
      <c r="AS35" s="132">
        <f t="shared" si="9"/>
        <v>301394.18954638793</v>
      </c>
      <c r="AT35" s="132">
        <f t="shared" si="10"/>
        <v>3183952.0426291344</v>
      </c>
      <c r="AU35" s="200" t="str">
        <f t="shared" si="11"/>
        <v>-</v>
      </c>
      <c r="AV35" s="132">
        <f t="shared" si="32"/>
        <v>-12</v>
      </c>
      <c r="AW35" s="132">
        <f t="shared" si="12"/>
        <v>-53.426824485425755</v>
      </c>
      <c r="AX35" s="132">
        <f t="shared" si="27"/>
        <v>-383.78308769332557</v>
      </c>
      <c r="AY35" s="132">
        <f t="shared" si="13"/>
        <v>931687368.22162497</v>
      </c>
      <c r="AZ35" s="132">
        <f t="shared" si="28"/>
        <v>109135.26064068718</v>
      </c>
      <c r="BA35" s="167">
        <f t="shared" si="14"/>
        <v>0.74724630683778526</v>
      </c>
      <c r="BB35" s="167">
        <f t="shared" si="15"/>
        <v>0.86443409629524981</v>
      </c>
      <c r="BD35" s="211">
        <f t="shared" si="29"/>
        <v>42440</v>
      </c>
      <c r="BE35" s="210">
        <f>Operacional_10_dias!BE35</f>
        <v>1.4719589103128199</v>
      </c>
      <c r="BF35" s="209">
        <v>0.5</v>
      </c>
      <c r="BG35" s="209">
        <v>2</v>
      </c>
      <c r="BH35" s="210"/>
      <c r="BI35" s="209"/>
      <c r="BJ35" s="209"/>
      <c r="BL35" s="168"/>
    </row>
    <row r="36" spans="1:64" ht="13.5" thickBot="1" x14ac:dyDescent="0.25">
      <c r="A36" s="213">
        <f t="shared" si="1"/>
        <v>42441</v>
      </c>
      <c r="B36" s="190">
        <f>VLOOKUP(A36,P_Q_obs!$A$4:$H$304,8,FALSE)</f>
        <v>2041.8017553371501</v>
      </c>
      <c r="C36" s="168">
        <f t="shared" si="6"/>
        <v>1.188299459431427E-3</v>
      </c>
      <c r="D36" s="198">
        <f t="shared" si="7"/>
        <v>3.4471719705164508E-2</v>
      </c>
      <c r="E36" s="132">
        <f t="shared" si="8"/>
        <v>2112.1861731406452</v>
      </c>
      <c r="F36" s="168">
        <f t="shared" si="16"/>
        <v>286.59828962859422</v>
      </c>
      <c r="G36" s="300"/>
      <c r="H36" s="127">
        <f>VLOOKUP(MONTH(A36),ETP_Parametros!$A$6:$D$17,4,FALSE)</f>
        <v>4.838709677419355</v>
      </c>
      <c r="I36" s="229">
        <f>VLOOKUP(A36,P_Q_obs!$A$4:$F$308,2,FALSE)*1</f>
        <v>2.86</v>
      </c>
      <c r="J36" s="229">
        <f t="shared" si="4"/>
        <v>2.86</v>
      </c>
      <c r="K36" s="229">
        <f t="shared" si="4"/>
        <v>2.86</v>
      </c>
      <c r="L36" s="229">
        <f t="shared" si="4"/>
        <v>2.86</v>
      </c>
      <c r="M36" s="229">
        <f t="shared" si="4"/>
        <v>2.86</v>
      </c>
      <c r="N36" s="229">
        <f t="shared" si="4"/>
        <v>2.86</v>
      </c>
      <c r="O36" s="229">
        <f t="shared" si="4"/>
        <v>2.86</v>
      </c>
      <c r="P36" s="229">
        <f t="shared" si="4"/>
        <v>2.86</v>
      </c>
      <c r="Q36" s="229">
        <f t="shared" si="4"/>
        <v>2.86</v>
      </c>
      <c r="R36" s="229">
        <f t="shared" si="4"/>
        <v>2.86</v>
      </c>
      <c r="S36" s="229">
        <f t="shared" si="4"/>
        <v>2.86</v>
      </c>
      <c r="T36" s="229">
        <f t="shared" si="5"/>
        <v>2.86</v>
      </c>
      <c r="U36" s="229">
        <f t="shared" si="5"/>
        <v>2.86</v>
      </c>
      <c r="V36" s="229">
        <f t="shared" si="5"/>
        <v>2.86</v>
      </c>
      <c r="W36" s="229">
        <f t="shared" si="5"/>
        <v>2.86</v>
      </c>
      <c r="X36" s="229">
        <f t="shared" si="5"/>
        <v>2.86</v>
      </c>
      <c r="Y36" s="229">
        <f t="shared" si="5"/>
        <v>2.86</v>
      </c>
      <c r="Z36" s="291">
        <f t="shared" si="5"/>
        <v>2.86</v>
      </c>
      <c r="AA36" s="300"/>
      <c r="AB36" s="191">
        <f t="shared" si="3"/>
        <v>2.86</v>
      </c>
      <c r="AC36" s="139">
        <f t="shared" si="17"/>
        <v>6.616338004985983</v>
      </c>
      <c r="AD36" s="132">
        <f t="shared" si="33"/>
        <v>65.303121867462664</v>
      </c>
      <c r="AE36" s="168">
        <f t="shared" si="18"/>
        <v>0.84167586981903408</v>
      </c>
      <c r="AF36" s="192">
        <f t="shared" si="19"/>
        <v>1.2558540085468086</v>
      </c>
      <c r="AG36" s="192">
        <f t="shared" si="30"/>
        <v>4.2461086097452263</v>
      </c>
      <c r="AH36" s="192">
        <f t="shared" si="20"/>
        <v>1.4798963965148673</v>
      </c>
      <c r="AI36" s="168">
        <f t="shared" si="21"/>
        <v>8.5854819422475206</v>
      </c>
      <c r="AJ36" s="192">
        <f t="shared" si="22"/>
        <v>2.8304703932713853</v>
      </c>
      <c r="AK36" s="132">
        <f t="shared" si="23"/>
        <v>32.24907659218988</v>
      </c>
      <c r="AL36" s="192">
        <f t="shared" si="24"/>
        <v>0.44435438079012568</v>
      </c>
      <c r="AM36" s="192">
        <f t="shared" si="25"/>
        <v>0</v>
      </c>
      <c r="AN36" s="192">
        <f t="shared" si="31"/>
        <v>0</v>
      </c>
      <c r="AO36" s="192">
        <f t="shared" si="26"/>
        <v>0</v>
      </c>
      <c r="AS36" s="132">
        <f t="shared" si="9"/>
        <v>277304.89604513324</v>
      </c>
      <c r="AT36" s="132">
        <f t="shared" si="10"/>
        <v>3080739.2060353262</v>
      </c>
      <c r="AU36" s="200" t="str">
        <f t="shared" si="11"/>
        <v>-</v>
      </c>
      <c r="AV36" s="132">
        <f t="shared" si="32"/>
        <v>-13</v>
      </c>
      <c r="AW36" s="132">
        <f t="shared" si="12"/>
        <v>-46.663413282400541</v>
      </c>
      <c r="AX36" s="132">
        <f t="shared" si="27"/>
        <v>142.81438290934761</v>
      </c>
      <c r="AY36" s="132">
        <f t="shared" si="13"/>
        <v>964111926.11330009</v>
      </c>
      <c r="AZ36" s="132">
        <f t="shared" si="28"/>
        <v>35901.835249681651</v>
      </c>
      <c r="BA36" s="167">
        <f t="shared" si="14"/>
        <v>0.73897167118240281</v>
      </c>
      <c r="BB36" s="167">
        <f t="shared" si="15"/>
        <v>0.85963461492799531</v>
      </c>
      <c r="BD36" s="211">
        <f t="shared" si="29"/>
        <v>42441</v>
      </c>
      <c r="BE36" s="210">
        <f>Operacional_10_dias!BE36</f>
        <v>2.5</v>
      </c>
      <c r="BF36" s="209">
        <v>0.5</v>
      </c>
      <c r="BG36" s="209">
        <v>2</v>
      </c>
      <c r="BH36" s="210"/>
      <c r="BI36" s="209"/>
      <c r="BJ36" s="209"/>
      <c r="BL36" s="168"/>
    </row>
    <row r="37" spans="1:64" ht="13.5" thickBot="1" x14ac:dyDescent="0.25">
      <c r="A37" s="213">
        <f t="shared" si="1"/>
        <v>42442</v>
      </c>
      <c r="B37" s="190">
        <f>VLOOKUP(A37,P_Q_obs!$A$4:$H$304,8,FALSE)</f>
        <v>1897.4468000433001</v>
      </c>
      <c r="C37" s="168">
        <f t="shared" si="6"/>
        <v>4.3190846204540041E-3</v>
      </c>
      <c r="D37" s="198">
        <f t="shared" si="7"/>
        <v>6.5719743003560233E-2</v>
      </c>
      <c r="E37" s="132">
        <f t="shared" si="8"/>
        <v>1772.7470839815267</v>
      </c>
      <c r="F37" s="168">
        <f t="shared" si="16"/>
        <v>296.10649094486013</v>
      </c>
      <c r="G37" s="300"/>
      <c r="H37" s="127">
        <f>VLOOKUP(MONTH(A37),ETP_Parametros!$A$6:$D$17,4,FALSE)</f>
        <v>4.838709677419355</v>
      </c>
      <c r="I37" s="229">
        <f>VLOOKUP(A37,P_Q_obs!$A$4:$F$308,2,FALSE)*1</f>
        <v>0.73</v>
      </c>
      <c r="J37" s="229">
        <f t="shared" si="4"/>
        <v>0.73</v>
      </c>
      <c r="K37" s="229">
        <f t="shared" si="4"/>
        <v>0.73</v>
      </c>
      <c r="L37" s="229">
        <f t="shared" si="4"/>
        <v>0.73</v>
      </c>
      <c r="M37" s="229">
        <f t="shared" si="4"/>
        <v>0.73</v>
      </c>
      <c r="N37" s="229">
        <f t="shared" si="4"/>
        <v>0.73</v>
      </c>
      <c r="O37" s="229">
        <f t="shared" si="4"/>
        <v>0.73</v>
      </c>
      <c r="P37" s="229">
        <f t="shared" si="4"/>
        <v>0.73</v>
      </c>
      <c r="Q37" s="229">
        <f t="shared" si="4"/>
        <v>0.73</v>
      </c>
      <c r="R37" s="229">
        <f t="shared" si="4"/>
        <v>0.73</v>
      </c>
      <c r="S37" s="229">
        <f t="shared" si="4"/>
        <v>0.73</v>
      </c>
      <c r="T37" s="229">
        <f t="shared" si="4"/>
        <v>0.73</v>
      </c>
      <c r="U37" s="229">
        <f t="shared" si="4"/>
        <v>0.73</v>
      </c>
      <c r="V37" s="229">
        <f t="shared" si="4"/>
        <v>0.73</v>
      </c>
      <c r="W37" s="229">
        <f t="shared" si="4"/>
        <v>0.73</v>
      </c>
      <c r="X37" s="229">
        <f t="shared" si="4"/>
        <v>0.73</v>
      </c>
      <c r="Y37" s="229">
        <f t="shared" si="4"/>
        <v>0.73</v>
      </c>
      <c r="Z37" s="291">
        <f t="shared" ref="Z37:Z63" si="34">Y37</f>
        <v>0.73</v>
      </c>
      <c r="AA37" s="300"/>
      <c r="AB37" s="191">
        <f t="shared" si="3"/>
        <v>0.73000000000000009</v>
      </c>
      <c r="AC37" s="139">
        <f t="shared" si="17"/>
        <v>5.2141017624034536</v>
      </c>
      <c r="AD37" s="132">
        <f t="shared" si="33"/>
        <v>64.117828423058469</v>
      </c>
      <c r="AE37" s="168">
        <f t="shared" si="18"/>
        <v>0.83699098217101209</v>
      </c>
      <c r="AF37" s="192">
        <f t="shared" si="19"/>
        <v>0.64839760912696554</v>
      </c>
      <c r="AG37" s="192">
        <f t="shared" si="30"/>
        <v>4.2982055653987787</v>
      </c>
      <c r="AH37" s="192">
        <f t="shared" si="20"/>
        <v>1.452792032281923</v>
      </c>
      <c r="AI37" s="168">
        <f t="shared" si="21"/>
        <v>6.9444321257855686</v>
      </c>
      <c r="AJ37" s="192">
        <f t="shared" si="22"/>
        <v>2.289447425588917</v>
      </c>
      <c r="AK37" s="132">
        <f t="shared" si="23"/>
        <v>33.24277231722499</v>
      </c>
      <c r="AL37" s="192">
        <f t="shared" si="24"/>
        <v>0.45909630724681327</v>
      </c>
      <c r="AM37" s="192">
        <f t="shared" si="25"/>
        <v>0</v>
      </c>
      <c r="AN37" s="192">
        <f t="shared" si="31"/>
        <v>0</v>
      </c>
      <c r="AO37" s="192">
        <f t="shared" si="26"/>
        <v>0</v>
      </c>
      <c r="AS37" s="132">
        <f t="shared" si="9"/>
        <v>146109.3405096159</v>
      </c>
      <c r="AT37" s="132">
        <f t="shared" si="10"/>
        <v>2564290.7855434874</v>
      </c>
      <c r="AU37" s="200" t="str">
        <f t="shared" si="11"/>
        <v>-</v>
      </c>
      <c r="AV37" s="132">
        <f t="shared" si="32"/>
        <v>-14</v>
      </c>
      <c r="AW37" s="132">
        <f t="shared" si="12"/>
        <v>-37.15521196613463</v>
      </c>
      <c r="AX37" s="132">
        <f t="shared" si="27"/>
        <v>525.05689821817077</v>
      </c>
      <c r="AY37" s="132">
        <f t="shared" si="13"/>
        <v>987995411.69482434</v>
      </c>
      <c r="AZ37" s="132">
        <f t="shared" si="28"/>
        <v>316082.45683788956</v>
      </c>
      <c r="BA37" s="167">
        <f t="shared" si="14"/>
        <v>0.71224278001307795</v>
      </c>
      <c r="BB37" s="167">
        <f t="shared" si="15"/>
        <v>0.8439447730823848</v>
      </c>
      <c r="BD37" s="211">
        <f t="shared" si="29"/>
        <v>42442</v>
      </c>
      <c r="BE37" s="210">
        <f>Operacional_10_dias!BE37</f>
        <v>2.5</v>
      </c>
      <c r="BF37" s="209">
        <v>0.5</v>
      </c>
      <c r="BG37" s="209">
        <v>2</v>
      </c>
      <c r="BH37" s="210"/>
      <c r="BI37" s="209"/>
      <c r="BJ37" s="209"/>
      <c r="BL37" s="168"/>
    </row>
    <row r="38" spans="1:64" ht="13.5" thickBot="1" x14ac:dyDescent="0.25">
      <c r="A38" s="213">
        <f t="shared" si="1"/>
        <v>42443</v>
      </c>
      <c r="B38" s="190">
        <f>VLOOKUP(A38,P_Q_obs!$A$4:$H$304,8,FALSE)</f>
        <v>1561.3107932038799</v>
      </c>
      <c r="C38" s="168">
        <f t="shared" si="6"/>
        <v>8.6914615930283792E-3</v>
      </c>
      <c r="D38" s="198">
        <f t="shared" si="7"/>
        <v>9.3228008629533538E-2</v>
      </c>
      <c r="E38" s="132">
        <f t="shared" si="8"/>
        <v>1415.7528971016848</v>
      </c>
      <c r="F38" s="168">
        <f t="shared" si="16"/>
        <v>305.23046549854746</v>
      </c>
      <c r="G38" s="300"/>
      <c r="H38" s="127">
        <f>VLOOKUP(MONTH(A38),ETP_Parametros!$A$6:$D$17,4,FALSE)</f>
        <v>4.838709677419355</v>
      </c>
      <c r="I38" s="229">
        <f>VLOOKUP(A38,P_Q_obs!$A$4:$F$308,2,FALSE)*1</f>
        <v>0.59</v>
      </c>
      <c r="J38" s="229">
        <f t="shared" ref="J38:Y53" si="35">I38</f>
        <v>0.59</v>
      </c>
      <c r="K38" s="229">
        <f t="shared" si="35"/>
        <v>0.59</v>
      </c>
      <c r="L38" s="229">
        <f t="shared" si="35"/>
        <v>0.59</v>
      </c>
      <c r="M38" s="229">
        <f t="shared" si="35"/>
        <v>0.59</v>
      </c>
      <c r="N38" s="229">
        <f t="shared" si="35"/>
        <v>0.59</v>
      </c>
      <c r="O38" s="229">
        <f t="shared" si="35"/>
        <v>0.59</v>
      </c>
      <c r="P38" s="229">
        <f t="shared" si="35"/>
        <v>0.59</v>
      </c>
      <c r="Q38" s="229">
        <f t="shared" si="35"/>
        <v>0.59</v>
      </c>
      <c r="R38" s="229">
        <f t="shared" si="35"/>
        <v>0.59</v>
      </c>
      <c r="S38" s="229">
        <f t="shared" si="35"/>
        <v>0.59</v>
      </c>
      <c r="T38" s="229">
        <f t="shared" si="35"/>
        <v>0.59</v>
      </c>
      <c r="U38" s="229">
        <f t="shared" si="35"/>
        <v>0.59</v>
      </c>
      <c r="V38" s="229">
        <f t="shared" si="35"/>
        <v>0.59</v>
      </c>
      <c r="W38" s="229">
        <f t="shared" si="35"/>
        <v>0.59</v>
      </c>
      <c r="X38" s="229">
        <f t="shared" si="35"/>
        <v>0.59</v>
      </c>
      <c r="Y38" s="229">
        <f t="shared" si="35"/>
        <v>0.59</v>
      </c>
      <c r="Z38" s="291">
        <f t="shared" si="34"/>
        <v>0.59</v>
      </c>
      <c r="AA38" s="300"/>
      <c r="AB38" s="191">
        <f t="shared" si="3"/>
        <v>0.59000000000000008</v>
      </c>
      <c r="AC38" s="139">
        <f t="shared" si="17"/>
        <v>0.604633352342139</v>
      </c>
      <c r="AD38" s="132">
        <f t="shared" si="33"/>
        <v>59.758915211442869</v>
      </c>
      <c r="AE38" s="168">
        <f t="shared" si="18"/>
        <v>0.82179906031762462</v>
      </c>
      <c r="AF38" s="192">
        <f t="shared" si="19"/>
        <v>0</v>
      </c>
      <c r="AG38" s="192">
        <f t="shared" si="30"/>
        <v>3.5971942970458759</v>
      </c>
      <c r="AH38" s="192">
        <f t="shared" si="20"/>
        <v>1.3663522669118577</v>
      </c>
      <c r="AI38" s="168">
        <f t="shared" si="21"/>
        <v>5.2226301286834786</v>
      </c>
      <c r="AJ38" s="192">
        <f t="shared" si="22"/>
        <v>1.7218019971020901</v>
      </c>
      <c r="AK38" s="132">
        <f t="shared" si="23"/>
        <v>34.13588207222007</v>
      </c>
      <c r="AL38" s="192">
        <f t="shared" si="24"/>
        <v>0.47324251191678041</v>
      </c>
      <c r="AM38" s="192">
        <f t="shared" si="25"/>
        <v>0</v>
      </c>
      <c r="AN38" s="192">
        <f t="shared" si="31"/>
        <v>0</v>
      </c>
      <c r="AO38" s="192">
        <f t="shared" si="26"/>
        <v>0</v>
      </c>
      <c r="AS38" s="132">
        <f t="shared" si="9"/>
        <v>2125.8101232391327</v>
      </c>
      <c r="AT38" s="132">
        <f t="shared" si="10"/>
        <v>1577737.7896483352</v>
      </c>
      <c r="AU38" s="200" t="str">
        <f t="shared" si="11"/>
        <v>-</v>
      </c>
      <c r="AV38" s="132">
        <f t="shared" si="32"/>
        <v>-15</v>
      </c>
      <c r="AW38" s="132">
        <f t="shared" si="12"/>
        <v>-28.031237412447297</v>
      </c>
      <c r="AX38" s="132">
        <f t="shared" si="27"/>
        <v>571.1634066875738</v>
      </c>
      <c r="AY38" s="132">
        <f t="shared" si="13"/>
        <v>990896013.4133482</v>
      </c>
      <c r="AZ38" s="132">
        <f t="shared" si="28"/>
        <v>359034.221518151</v>
      </c>
      <c r="BA38" s="167">
        <f t="shared" si="14"/>
        <v>0.64722622157798371</v>
      </c>
      <c r="BB38" s="167">
        <f t="shared" si="15"/>
        <v>0.80450371135128007</v>
      </c>
      <c r="BD38" s="211">
        <f t="shared" si="29"/>
        <v>42443</v>
      </c>
      <c r="BE38" s="210">
        <f>Operacional_10_dias!BE38</f>
        <v>1.0197705431466233</v>
      </c>
      <c r="BF38" s="209">
        <v>0.5</v>
      </c>
      <c r="BG38" s="209">
        <v>2</v>
      </c>
      <c r="BH38" s="210"/>
      <c r="BI38" s="209"/>
      <c r="BJ38" s="209"/>
      <c r="BL38" s="168"/>
    </row>
    <row r="39" spans="1:64" ht="13.5" thickBot="1" x14ac:dyDescent="0.25">
      <c r="A39" s="213">
        <f t="shared" si="1"/>
        <v>42444</v>
      </c>
      <c r="B39" s="190">
        <f>VLOOKUP(A39,P_Q_obs!$A$4:$H$304,8,FALSE)</f>
        <v>1289.2214994701901</v>
      </c>
      <c r="C39" s="168">
        <f t="shared" si="6"/>
        <v>1.1895529924825867E-2</v>
      </c>
      <c r="D39" s="198">
        <f t="shared" si="7"/>
        <v>0.10906663066596431</v>
      </c>
      <c r="E39" s="132">
        <f t="shared" si="8"/>
        <v>1148.6104543408542</v>
      </c>
      <c r="F39" s="168">
        <f t="shared" si="16"/>
        <v>313.43087380556437</v>
      </c>
      <c r="G39" s="300"/>
      <c r="H39" s="127">
        <f>VLOOKUP(MONTH(A39),ETP_Parametros!$A$6:$D$17,4,FALSE)</f>
        <v>4.838709677419355</v>
      </c>
      <c r="I39" s="229">
        <f>VLOOKUP(A39,P_Q_obs!$A$4:$F$308,2,FALSE)*1</f>
        <v>7.0000000000000007E-2</v>
      </c>
      <c r="J39" s="229">
        <f t="shared" si="35"/>
        <v>7.0000000000000007E-2</v>
      </c>
      <c r="K39" s="229">
        <f t="shared" si="35"/>
        <v>7.0000000000000007E-2</v>
      </c>
      <c r="L39" s="229">
        <f t="shared" si="35"/>
        <v>7.0000000000000007E-2</v>
      </c>
      <c r="M39" s="229">
        <f t="shared" si="35"/>
        <v>7.0000000000000007E-2</v>
      </c>
      <c r="N39" s="229">
        <f t="shared" si="35"/>
        <v>7.0000000000000007E-2</v>
      </c>
      <c r="O39" s="229">
        <f t="shared" si="35"/>
        <v>7.0000000000000007E-2</v>
      </c>
      <c r="P39" s="229">
        <f t="shared" si="35"/>
        <v>7.0000000000000007E-2</v>
      </c>
      <c r="Q39" s="229">
        <f t="shared" si="35"/>
        <v>7.0000000000000007E-2</v>
      </c>
      <c r="R39" s="229">
        <f t="shared" si="35"/>
        <v>7.0000000000000007E-2</v>
      </c>
      <c r="S39" s="229">
        <f t="shared" si="35"/>
        <v>7.0000000000000007E-2</v>
      </c>
      <c r="T39" s="229">
        <f t="shared" si="35"/>
        <v>7.0000000000000007E-2</v>
      </c>
      <c r="U39" s="229">
        <f t="shared" si="35"/>
        <v>7.0000000000000007E-2</v>
      </c>
      <c r="V39" s="229">
        <f t="shared" si="35"/>
        <v>7.0000000000000007E-2</v>
      </c>
      <c r="W39" s="229">
        <f t="shared" si="35"/>
        <v>7.0000000000000007E-2</v>
      </c>
      <c r="X39" s="229">
        <f t="shared" si="35"/>
        <v>7.0000000000000007E-2</v>
      </c>
      <c r="Y39" s="229">
        <f t="shared" si="35"/>
        <v>7.0000000000000007E-2</v>
      </c>
      <c r="Z39" s="291">
        <f t="shared" si="34"/>
        <v>7.0000000000000007E-2</v>
      </c>
      <c r="AA39" s="300"/>
      <c r="AB39" s="191">
        <f t="shared" si="3"/>
        <v>6.9999999999999979E-2</v>
      </c>
      <c r="AC39" s="139">
        <f t="shared" si="17"/>
        <v>0.35864688280172424</v>
      </c>
      <c r="AD39" s="132">
        <f t="shared" si="33"/>
        <v>55.713816369161286</v>
      </c>
      <c r="AE39" s="168">
        <f t="shared" si="18"/>
        <v>0.76593081166646559</v>
      </c>
      <c r="AF39" s="192">
        <f t="shared" si="19"/>
        <v>0</v>
      </c>
      <c r="AG39" s="192">
        <f t="shared" si="30"/>
        <v>3.336173598641881</v>
      </c>
      <c r="AH39" s="192">
        <f t="shared" si="20"/>
        <v>1.0675721264414273</v>
      </c>
      <c r="AI39" s="168">
        <f t="shared" si="21"/>
        <v>3.9277315937402015</v>
      </c>
      <c r="AJ39" s="192">
        <f t="shared" si="22"/>
        <v>1.2948985349432769</v>
      </c>
      <c r="AK39" s="132">
        <f t="shared" si="23"/>
        <v>34.717497419118722</v>
      </c>
      <c r="AL39" s="192">
        <f t="shared" si="24"/>
        <v>0.4859567795427765</v>
      </c>
      <c r="AM39" s="192">
        <f t="shared" si="25"/>
        <v>0</v>
      </c>
      <c r="AN39" s="192">
        <f t="shared" si="31"/>
        <v>0</v>
      </c>
      <c r="AO39" s="192">
        <f t="shared" si="26"/>
        <v>0</v>
      </c>
      <c r="AS39" s="132">
        <f t="shared" si="9"/>
        <v>51068.219235804761</v>
      </c>
      <c r="AT39" s="132">
        <f t="shared" si="10"/>
        <v>952167.34513496177</v>
      </c>
      <c r="AU39" s="200" t="str">
        <f t="shared" si="11"/>
        <v>-</v>
      </c>
      <c r="AV39" s="132">
        <f t="shared" si="32"/>
        <v>-16</v>
      </c>
      <c r="AW39" s="132">
        <f t="shared" si="12"/>
        <v>-19.830829105430382</v>
      </c>
      <c r="AX39" s="132">
        <f t="shared" si="27"/>
        <v>345.18062142328699</v>
      </c>
      <c r="AY39" s="132">
        <f t="shared" si="13"/>
        <v>976719883.05340075</v>
      </c>
      <c r="AZ39" s="132">
        <f t="shared" si="28"/>
        <v>133233.3590170783</v>
      </c>
      <c r="BA39" s="167">
        <f t="shared" si="14"/>
        <v>0.57287280267491825</v>
      </c>
      <c r="BB39" s="167">
        <f t="shared" si="15"/>
        <v>0.75688361237043456</v>
      </c>
      <c r="BD39" s="211">
        <f t="shared" si="29"/>
        <v>42444</v>
      </c>
      <c r="BE39" s="210">
        <f>Operacional_10_dias!BE39</f>
        <v>1.0036832472594492</v>
      </c>
      <c r="BF39" s="209">
        <v>0.5</v>
      </c>
      <c r="BG39" s="209">
        <v>2</v>
      </c>
      <c r="BH39" s="210"/>
      <c r="BI39" s="209"/>
      <c r="BJ39" s="209"/>
      <c r="BL39" s="168"/>
    </row>
    <row r="40" spans="1:64" ht="13.5" thickBot="1" x14ac:dyDescent="0.25">
      <c r="A40" s="213">
        <f t="shared" si="1"/>
        <v>42445</v>
      </c>
      <c r="B40" s="190">
        <f>VLOOKUP(A40,P_Q_obs!$A$4:$H$304,8,FALSE)</f>
        <v>1090.66473545695</v>
      </c>
      <c r="C40" s="168">
        <f t="shared" si="6"/>
        <v>1.7380600157408266E-2</v>
      </c>
      <c r="D40" s="198">
        <f t="shared" si="7"/>
        <v>0.13183550416108805</v>
      </c>
      <c r="E40" s="132">
        <f t="shared" si="8"/>
        <v>946.87640018726324</v>
      </c>
      <c r="F40" s="168">
        <f t="shared" si="16"/>
        <v>318.77118421592644</v>
      </c>
      <c r="G40" s="300"/>
      <c r="H40" s="127">
        <f>VLOOKUP(MONTH(A40),ETP_Parametros!$A$6:$D$17,4,FALSE)</f>
        <v>4.838709677419355</v>
      </c>
      <c r="I40" s="229">
        <f>VLOOKUP(A40,P_Q_obs!$A$4:$F$308,2,FALSE)*1</f>
        <v>0.13</v>
      </c>
      <c r="J40" s="229">
        <f t="shared" si="35"/>
        <v>0.13</v>
      </c>
      <c r="K40" s="229">
        <f t="shared" si="35"/>
        <v>0.13</v>
      </c>
      <c r="L40" s="229">
        <f t="shared" si="35"/>
        <v>0.13</v>
      </c>
      <c r="M40" s="229">
        <f t="shared" si="35"/>
        <v>0.13</v>
      </c>
      <c r="N40" s="229">
        <f t="shared" si="35"/>
        <v>0.13</v>
      </c>
      <c r="O40" s="229">
        <f t="shared" si="35"/>
        <v>0.13</v>
      </c>
      <c r="P40" s="229">
        <f t="shared" si="35"/>
        <v>0.13</v>
      </c>
      <c r="Q40" s="229">
        <f t="shared" si="35"/>
        <v>0.13</v>
      </c>
      <c r="R40" s="229">
        <f t="shared" si="35"/>
        <v>0.13</v>
      </c>
      <c r="S40" s="229">
        <f t="shared" si="35"/>
        <v>0.13</v>
      </c>
      <c r="T40" s="229">
        <f t="shared" si="35"/>
        <v>0.13</v>
      </c>
      <c r="U40" s="229">
        <f t="shared" si="35"/>
        <v>0.13</v>
      </c>
      <c r="V40" s="229">
        <f t="shared" si="35"/>
        <v>0.13</v>
      </c>
      <c r="W40" s="229">
        <f t="shared" si="35"/>
        <v>0.13</v>
      </c>
      <c r="X40" s="229">
        <f t="shared" si="35"/>
        <v>0.13</v>
      </c>
      <c r="Y40" s="229">
        <f t="shared" si="35"/>
        <v>0.13</v>
      </c>
      <c r="Z40" s="291">
        <f t="shared" si="34"/>
        <v>0.13</v>
      </c>
      <c r="AA40" s="300"/>
      <c r="AB40" s="191">
        <f t="shared" si="3"/>
        <v>0.13000000000000003</v>
      </c>
      <c r="AC40" s="139">
        <f t="shared" si="17"/>
        <v>0.10451122861875817</v>
      </c>
      <c r="AD40" s="132">
        <f t="shared" si="33"/>
        <v>51.939192296580778</v>
      </c>
      <c r="AE40" s="168">
        <f t="shared" si="18"/>
        <v>0.71408472596398376</v>
      </c>
      <c r="AF40" s="192">
        <f t="shared" si="19"/>
        <v>0</v>
      </c>
      <c r="AG40" s="192">
        <f t="shared" si="30"/>
        <v>3.0619626595736049</v>
      </c>
      <c r="AH40" s="192">
        <f t="shared" si="20"/>
        <v>0.8171726416256635</v>
      </c>
      <c r="AI40" s="168">
        <f t="shared" si="21"/>
        <v>2.9538901075412367</v>
      </c>
      <c r="AJ40" s="192">
        <f t="shared" si="22"/>
        <v>0.97384148619896471</v>
      </c>
      <c r="AK40" s="132">
        <f t="shared" si="23"/>
        <v>35.040433433025612</v>
      </c>
      <c r="AL40" s="192">
        <f t="shared" si="24"/>
        <v>0.4942366277187677</v>
      </c>
      <c r="AM40" s="192">
        <f t="shared" si="25"/>
        <v>0</v>
      </c>
      <c r="AN40" s="192">
        <f t="shared" si="31"/>
        <v>0</v>
      </c>
      <c r="AO40" s="192">
        <f t="shared" si="26"/>
        <v>0</v>
      </c>
      <c r="AS40" s="132">
        <f t="shared" si="9"/>
        <v>180233.82890076571</v>
      </c>
      <c r="AT40" s="132">
        <f t="shared" si="10"/>
        <v>595819.65444747859</v>
      </c>
      <c r="AU40" s="200" t="str">
        <f t="shared" si="11"/>
        <v>-</v>
      </c>
      <c r="AV40" s="132">
        <f t="shared" si="32"/>
        <v>-17</v>
      </c>
      <c r="AW40" s="132">
        <f t="shared" si="12"/>
        <v>-14.490518695068317</v>
      </c>
      <c r="AX40" s="132">
        <f t="shared" si="27"/>
        <v>-79.358927854239937</v>
      </c>
      <c r="AY40" s="132">
        <f t="shared" si="13"/>
        <v>950364257.04801536</v>
      </c>
      <c r="AZ40" s="132">
        <f t="shared" si="28"/>
        <v>4207.9105068417002</v>
      </c>
      <c r="BA40" s="167">
        <f t="shared" si="14"/>
        <v>0.50087837606215302</v>
      </c>
      <c r="BB40" s="167">
        <f t="shared" si="15"/>
        <v>0.70772761431369413</v>
      </c>
      <c r="BD40" s="211">
        <f t="shared" si="29"/>
        <v>42445</v>
      </c>
      <c r="BE40" s="210">
        <f>Operacional_10_dias!BE40</f>
        <v>0.99961675102314174</v>
      </c>
      <c r="BF40" s="209">
        <v>0.5</v>
      </c>
      <c r="BG40" s="209">
        <v>2</v>
      </c>
      <c r="BH40" s="210"/>
      <c r="BI40" s="209"/>
      <c r="BJ40" s="209"/>
      <c r="BL40" s="168"/>
    </row>
    <row r="41" spans="1:64" ht="13.5" thickBot="1" x14ac:dyDescent="0.25">
      <c r="A41" s="213">
        <f t="shared" si="1"/>
        <v>42446</v>
      </c>
      <c r="B41" s="190">
        <f>VLOOKUP(A41,P_Q_obs!$A$4:$H$304,8,FALSE)</f>
        <v>929.17803163181395</v>
      </c>
      <c r="C41" s="168">
        <f t="shared" si="6"/>
        <v>2.1130631354135062E-2</v>
      </c>
      <c r="D41" s="198">
        <f t="shared" si="7"/>
        <v>0.14536378969377162</v>
      </c>
      <c r="E41" s="132">
        <f t="shared" si="8"/>
        <v>794.10919165361429</v>
      </c>
      <c r="F41" s="168">
        <f t="shared" si="16"/>
        <v>321.73633732982518</v>
      </c>
      <c r="G41" s="300"/>
      <c r="H41" s="127">
        <f>VLOOKUP(MONTH(A41),ETP_Parametros!$A$6:$D$17,4,FALSE)</f>
        <v>4.838709677419355</v>
      </c>
      <c r="I41" s="229">
        <f>VLOOKUP(A41,P_Q_obs!$A$4:$F$308,2,FALSE)*1</f>
        <v>0.06</v>
      </c>
      <c r="J41" s="229">
        <f t="shared" si="35"/>
        <v>0.06</v>
      </c>
      <c r="K41" s="229">
        <f t="shared" si="35"/>
        <v>0.06</v>
      </c>
      <c r="L41" s="229">
        <f t="shared" si="35"/>
        <v>0.06</v>
      </c>
      <c r="M41" s="229">
        <f t="shared" si="35"/>
        <v>0.06</v>
      </c>
      <c r="N41" s="229">
        <f t="shared" si="35"/>
        <v>0.06</v>
      </c>
      <c r="O41" s="229">
        <f t="shared" si="35"/>
        <v>0.06</v>
      </c>
      <c r="P41" s="229">
        <f t="shared" si="35"/>
        <v>0.06</v>
      </c>
      <c r="Q41" s="229">
        <f t="shared" si="35"/>
        <v>0.06</v>
      </c>
      <c r="R41" s="229">
        <f t="shared" si="35"/>
        <v>0.06</v>
      </c>
      <c r="S41" s="229">
        <f t="shared" si="35"/>
        <v>0.06</v>
      </c>
      <c r="T41" s="229">
        <f t="shared" si="35"/>
        <v>0.06</v>
      </c>
      <c r="U41" s="229">
        <f t="shared" si="35"/>
        <v>0.06</v>
      </c>
      <c r="V41" s="229">
        <f t="shared" si="35"/>
        <v>0.06</v>
      </c>
      <c r="W41" s="229">
        <f t="shared" si="35"/>
        <v>0.06</v>
      </c>
      <c r="X41" s="229">
        <f t="shared" si="35"/>
        <v>0.06</v>
      </c>
      <c r="Y41" s="229">
        <f t="shared" si="35"/>
        <v>0.06</v>
      </c>
      <c r="Z41" s="291">
        <f t="shared" si="34"/>
        <v>0.06</v>
      </c>
      <c r="AA41" s="300"/>
      <c r="AB41" s="191">
        <f t="shared" si="3"/>
        <v>6.0000000000000005E-2</v>
      </c>
      <c r="AC41" s="139">
        <f t="shared" si="17"/>
        <v>0.10893418164959043</v>
      </c>
      <c r="AD41" s="132">
        <f t="shared" si="33"/>
        <v>48.578206770718445</v>
      </c>
      <c r="AE41" s="168">
        <f t="shared" si="18"/>
        <v>0.6657053189848261</v>
      </c>
      <c r="AF41" s="192">
        <f t="shared" si="19"/>
        <v>0</v>
      </c>
      <c r="AG41" s="192">
        <f t="shared" si="30"/>
        <v>2.8630732040008615</v>
      </c>
      <c r="AH41" s="192">
        <f t="shared" si="20"/>
        <v>0.60684650351105829</v>
      </c>
      <c r="AI41" s="168">
        <f t="shared" si="21"/>
        <v>2.221502808729634</v>
      </c>
      <c r="AJ41" s="192">
        <f t="shared" si="22"/>
        <v>0.7323872988116028</v>
      </c>
      <c r="AK41" s="132">
        <f t="shared" si="23"/>
        <v>35.148446007216478</v>
      </c>
      <c r="AL41" s="192">
        <f t="shared" si="24"/>
        <v>0.49883392932018983</v>
      </c>
      <c r="AM41" s="192">
        <f t="shared" si="25"/>
        <v>0</v>
      </c>
      <c r="AN41" s="192">
        <f t="shared" si="31"/>
        <v>0</v>
      </c>
      <c r="AO41" s="192">
        <f t="shared" si="26"/>
        <v>0</v>
      </c>
      <c r="AS41" s="132">
        <f t="shared" si="9"/>
        <v>343426.7693255464</v>
      </c>
      <c r="AT41" s="132">
        <f t="shared" si="10"/>
        <v>368985.41197647073</v>
      </c>
      <c r="AU41" s="200" t="str">
        <f t="shared" si="11"/>
        <v>-</v>
      </c>
      <c r="AV41" s="132">
        <f t="shared" si="32"/>
        <v>-18</v>
      </c>
      <c r="AW41" s="132">
        <f t="shared" si="12"/>
        <v>-11.525365581169581</v>
      </c>
      <c r="AX41" s="132">
        <f t="shared" si="27"/>
        <v>-665.3851809569029</v>
      </c>
      <c r="AY41" s="132">
        <f t="shared" si="13"/>
        <v>914575674.38080525</v>
      </c>
      <c r="AZ41" s="132">
        <f t="shared" si="28"/>
        <v>427532.65816318808</v>
      </c>
      <c r="BA41" s="167">
        <f t="shared" si="14"/>
        <v>0.42737718071580677</v>
      </c>
      <c r="BB41" s="167">
        <f t="shared" si="15"/>
        <v>0.65374091253019095</v>
      </c>
      <c r="BD41" s="211">
        <f t="shared" si="29"/>
        <v>42446</v>
      </c>
      <c r="BE41" s="210">
        <f>Operacional_10_dias!BE41</f>
        <v>0.99888934154080911</v>
      </c>
      <c r="BF41" s="209">
        <v>0.5</v>
      </c>
      <c r="BG41" s="209">
        <v>2</v>
      </c>
      <c r="BH41" s="210"/>
      <c r="BI41" s="209"/>
      <c r="BJ41" s="209"/>
      <c r="BL41" s="168"/>
    </row>
    <row r="42" spans="1:64" ht="13.5" thickBot="1" x14ac:dyDescent="0.25">
      <c r="A42" s="213">
        <f t="shared" si="1"/>
        <v>42447</v>
      </c>
      <c r="B42" s="190">
        <f>VLOOKUP(A42,P_Q_obs!$A$4:$H$304,8,FALSE)</f>
        <v>832.586682242763</v>
      </c>
      <c r="C42" s="168">
        <f t="shared" si="6"/>
        <v>1.6260528416143664E-2</v>
      </c>
      <c r="D42" s="198">
        <f t="shared" si="7"/>
        <v>0.12751677699872932</v>
      </c>
      <c r="E42" s="132">
        <f t="shared" si="8"/>
        <v>726.41791195110068</v>
      </c>
      <c r="F42" s="168">
        <f t="shared" si="16"/>
        <v>322.72809361252524</v>
      </c>
      <c r="G42" s="300"/>
      <c r="H42" s="127">
        <f>VLOOKUP(MONTH(A42),ETP_Parametros!$A$6:$D$17,4,FALSE)</f>
        <v>4.838709677419355</v>
      </c>
      <c r="I42" s="229">
        <f>VLOOKUP(A42,P_Q_obs!$A$4:$F$308,2,FALSE)*1</f>
        <v>0.1</v>
      </c>
      <c r="J42" s="229">
        <f t="shared" si="35"/>
        <v>0.1</v>
      </c>
      <c r="K42" s="229">
        <f t="shared" si="35"/>
        <v>0.1</v>
      </c>
      <c r="L42" s="229">
        <f t="shared" si="35"/>
        <v>0.1</v>
      </c>
      <c r="M42" s="229">
        <f t="shared" si="35"/>
        <v>0.1</v>
      </c>
      <c r="N42" s="229">
        <f t="shared" si="35"/>
        <v>0.1</v>
      </c>
      <c r="O42" s="229">
        <f t="shared" si="35"/>
        <v>0.1</v>
      </c>
      <c r="P42" s="229">
        <f t="shared" si="35"/>
        <v>0.1</v>
      </c>
      <c r="Q42" s="229">
        <f t="shared" si="35"/>
        <v>0.1</v>
      </c>
      <c r="R42" s="229">
        <f t="shared" si="35"/>
        <v>0.1</v>
      </c>
      <c r="S42" s="229">
        <f t="shared" si="35"/>
        <v>0.1</v>
      </c>
      <c r="T42" s="229">
        <f t="shared" si="35"/>
        <v>0.1</v>
      </c>
      <c r="U42" s="229">
        <f t="shared" si="35"/>
        <v>0.1</v>
      </c>
      <c r="V42" s="229">
        <f t="shared" si="35"/>
        <v>0.1</v>
      </c>
      <c r="W42" s="229">
        <f t="shared" si="35"/>
        <v>0.1</v>
      </c>
      <c r="X42" s="229">
        <f t="shared" si="35"/>
        <v>0.1</v>
      </c>
      <c r="Y42" s="229">
        <f t="shared" si="35"/>
        <v>0.1</v>
      </c>
      <c r="Z42" s="291">
        <f t="shared" si="34"/>
        <v>0.1</v>
      </c>
      <c r="AA42" s="300"/>
      <c r="AB42" s="191">
        <f t="shared" si="3"/>
        <v>9.9999999999999964E-2</v>
      </c>
      <c r="AC42" s="139">
        <f t="shared" si="17"/>
        <v>5.1415960175666218</v>
      </c>
      <c r="AD42" s="132">
        <f t="shared" si="33"/>
        <v>48.508648137464832</v>
      </c>
      <c r="AE42" s="168">
        <f t="shared" si="18"/>
        <v>0.62262752276455535</v>
      </c>
      <c r="AF42" s="192">
        <f t="shared" si="19"/>
        <v>0.30289153355843029</v>
      </c>
      <c r="AG42" s="192">
        <f t="shared" si="30"/>
        <v>4.4697379828153458</v>
      </c>
      <c r="AH42" s="192">
        <f t="shared" si="20"/>
        <v>0.43852513444645547</v>
      </c>
      <c r="AI42" s="168">
        <f t="shared" si="21"/>
        <v>1.8984961923319768</v>
      </c>
      <c r="AJ42" s="192">
        <f t="shared" si="22"/>
        <v>0.62589814995608728</v>
      </c>
      <c r="AK42" s="132">
        <f t="shared" si="23"/>
        <v>35.086599550518365</v>
      </c>
      <c r="AL42" s="192">
        <f t="shared" si="24"/>
        <v>0.50037159114456775</v>
      </c>
      <c r="AM42" s="192">
        <f t="shared" si="25"/>
        <v>0</v>
      </c>
      <c r="AN42" s="192">
        <f t="shared" si="31"/>
        <v>0</v>
      </c>
      <c r="AO42" s="192">
        <f t="shared" si="26"/>
        <v>0</v>
      </c>
      <c r="AS42" s="132">
        <f t="shared" si="9"/>
        <v>465966.79123153555</v>
      </c>
      <c r="AT42" s="132">
        <f t="shared" si="10"/>
        <v>259955.780400018</v>
      </c>
      <c r="AU42" s="200" t="str">
        <f t="shared" si="11"/>
        <v>-</v>
      </c>
      <c r="AV42" s="132">
        <f t="shared" si="32"/>
        <v>-19</v>
      </c>
      <c r="AW42" s="132">
        <f t="shared" si="12"/>
        <v>-10.533609298469514</v>
      </c>
      <c r="AX42" s="132">
        <f t="shared" si="27"/>
        <v>-1348.0027834486168</v>
      </c>
      <c r="AY42" s="132">
        <f t="shared" si="13"/>
        <v>873754263.32700324</v>
      </c>
      <c r="AZ42" s="132">
        <f t="shared" si="28"/>
        <v>1788823.7918018773</v>
      </c>
      <c r="BA42" s="167">
        <f t="shared" si="14"/>
        <v>0.3750080230847268</v>
      </c>
      <c r="BB42" s="167">
        <f t="shared" si="15"/>
        <v>0.61237898648200428</v>
      </c>
      <c r="BD42" s="211">
        <f t="shared" si="29"/>
        <v>42447</v>
      </c>
      <c r="BE42" s="210">
        <f>Operacional_10_dias!BE42</f>
        <v>1.8497569430878134</v>
      </c>
      <c r="BF42" s="209">
        <v>0.5</v>
      </c>
      <c r="BG42" s="209">
        <v>2</v>
      </c>
      <c r="BH42" s="210"/>
      <c r="BI42" s="209"/>
      <c r="BJ42" s="209"/>
      <c r="BL42" s="168"/>
    </row>
    <row r="43" spans="1:64" ht="13.5" thickBot="1" x14ac:dyDescent="0.25">
      <c r="A43" s="213">
        <f t="shared" si="1"/>
        <v>42448</v>
      </c>
      <c r="B43" s="190">
        <f>VLOOKUP(A43,P_Q_obs!$A$4:$H$304,8,FALSE)</f>
        <v>760.89026976625405</v>
      </c>
      <c r="C43" s="168">
        <f t="shared" si="6"/>
        <v>7.0971849222414083E-6</v>
      </c>
      <c r="D43" s="198">
        <f t="shared" si="7"/>
        <v>2.6640542265955114E-3</v>
      </c>
      <c r="E43" s="132">
        <f t="shared" si="8"/>
        <v>758.86321682710786</v>
      </c>
      <c r="F43" s="168">
        <f t="shared" si="16"/>
        <v>322.16022813526422</v>
      </c>
      <c r="G43" s="300"/>
      <c r="H43" s="127">
        <f>VLOOKUP(MONTH(A43),ETP_Parametros!$A$6:$D$17,4,FALSE)</f>
        <v>4.838709677419355</v>
      </c>
      <c r="I43" s="229">
        <f>VLOOKUP(A43,P_Q_obs!$A$4:$F$308,2,FALSE)*1</f>
        <v>12.71</v>
      </c>
      <c r="J43" s="229">
        <f t="shared" si="35"/>
        <v>12.71</v>
      </c>
      <c r="K43" s="229">
        <f t="shared" si="35"/>
        <v>12.71</v>
      </c>
      <c r="L43" s="229">
        <f t="shared" si="35"/>
        <v>12.71</v>
      </c>
      <c r="M43" s="229">
        <f t="shared" si="35"/>
        <v>12.71</v>
      </c>
      <c r="N43" s="229">
        <f t="shared" si="35"/>
        <v>12.71</v>
      </c>
      <c r="O43" s="229">
        <f t="shared" si="35"/>
        <v>12.71</v>
      </c>
      <c r="P43" s="229">
        <f t="shared" si="35"/>
        <v>12.71</v>
      </c>
      <c r="Q43" s="229">
        <f t="shared" si="35"/>
        <v>12.71</v>
      </c>
      <c r="R43" s="229">
        <f t="shared" si="35"/>
        <v>12.71</v>
      </c>
      <c r="S43" s="229">
        <f t="shared" si="35"/>
        <v>12.71</v>
      </c>
      <c r="T43" s="229">
        <f t="shared" si="35"/>
        <v>12.71</v>
      </c>
      <c r="U43" s="229">
        <f t="shared" si="35"/>
        <v>12.71</v>
      </c>
      <c r="V43" s="229">
        <f t="shared" si="35"/>
        <v>12.71</v>
      </c>
      <c r="W43" s="229">
        <f t="shared" si="35"/>
        <v>12.71</v>
      </c>
      <c r="X43" s="229">
        <f t="shared" si="35"/>
        <v>12.71</v>
      </c>
      <c r="Y43" s="229">
        <f t="shared" si="35"/>
        <v>12.71</v>
      </c>
      <c r="Z43" s="291">
        <f t="shared" si="34"/>
        <v>12.71</v>
      </c>
      <c r="AA43" s="300"/>
      <c r="AB43" s="191">
        <f t="shared" si="3"/>
        <v>12.710000000000003</v>
      </c>
      <c r="AC43" s="139">
        <f t="shared" si="17"/>
        <v>7.3898745664426038</v>
      </c>
      <c r="AD43" s="132">
        <f t="shared" si="33"/>
        <v>50.384844435865809</v>
      </c>
      <c r="AE43" s="168">
        <f t="shared" si="18"/>
        <v>0.62173598883630643</v>
      </c>
      <c r="AF43" s="192">
        <f t="shared" si="19"/>
        <v>0.83233947365300176</v>
      </c>
      <c r="AG43" s="192">
        <f t="shared" si="30"/>
        <v>4.2461086097452263</v>
      </c>
      <c r="AH43" s="192">
        <f t="shared" si="20"/>
        <v>0.43523018464339569</v>
      </c>
      <c r="AI43" s="168">
        <f t="shared" si="21"/>
        <v>2.0537524692191012</v>
      </c>
      <c r="AJ43" s="192">
        <f t="shared" si="22"/>
        <v>0.67708319676587769</v>
      </c>
      <c r="AK43" s="132">
        <f t="shared" si="23"/>
        <v>35.02233858720772</v>
      </c>
      <c r="AL43" s="192">
        <f t="shared" si="24"/>
        <v>0.49949114795403993</v>
      </c>
      <c r="AM43" s="192">
        <f t="shared" si="25"/>
        <v>0</v>
      </c>
      <c r="AN43" s="192">
        <f t="shared" si="31"/>
        <v>0</v>
      </c>
      <c r="AO43" s="192">
        <f t="shared" si="26"/>
        <v>0</v>
      </c>
      <c r="AS43" s="132">
        <f t="shared" si="9"/>
        <v>568989.63317748031</v>
      </c>
      <c r="AT43" s="132">
        <f t="shared" si="10"/>
        <v>192484.04942953007</v>
      </c>
      <c r="AU43" s="200" t="str">
        <f t="shared" si="11"/>
        <v>-</v>
      </c>
      <c r="AV43" s="132">
        <f t="shared" si="32"/>
        <v>-20</v>
      </c>
      <c r="AW43" s="132">
        <f t="shared" si="12"/>
        <v>-11.101474775730537</v>
      </c>
      <c r="AX43" s="132">
        <f t="shared" si="27"/>
        <v>-2102.3167984168394</v>
      </c>
      <c r="AY43" s="132">
        <f t="shared" si="13"/>
        <v>829729212.20235348</v>
      </c>
      <c r="AZ43" s="132">
        <f t="shared" si="28"/>
        <v>4373181.529831389</v>
      </c>
      <c r="BA43" s="167">
        <f t="shared" si="14"/>
        <v>0.33246863923008085</v>
      </c>
      <c r="BB43" s="167">
        <f t="shared" si="15"/>
        <v>0.5766009358560571</v>
      </c>
      <c r="BD43" s="211">
        <f t="shared" si="29"/>
        <v>42448</v>
      </c>
      <c r="BE43" s="210">
        <f>Operacional_10_dias!BE43</f>
        <v>1.4269005700983277</v>
      </c>
      <c r="BF43" s="209">
        <v>0.5</v>
      </c>
      <c r="BG43" s="209">
        <v>2</v>
      </c>
      <c r="BH43" s="210"/>
      <c r="BI43" s="209"/>
      <c r="BJ43" s="209"/>
      <c r="BL43" s="168"/>
    </row>
    <row r="44" spans="1:64" ht="13.5" thickBot="1" x14ac:dyDescent="0.25">
      <c r="A44" s="213">
        <f t="shared" si="1"/>
        <v>42449</v>
      </c>
      <c r="B44" s="190">
        <f>VLOOKUP(A44,P_Q_obs!$A$4:$H$304,8,FALSE)</f>
        <v>671.57040358134805</v>
      </c>
      <c r="C44" s="168">
        <f t="shared" si="6"/>
        <v>5.3499514772770264E-3</v>
      </c>
      <c r="D44" s="198">
        <f t="shared" si="7"/>
        <v>7.3143362496381217E-2</v>
      </c>
      <c r="E44" s="132">
        <f t="shared" si="8"/>
        <v>720.69132105233962</v>
      </c>
      <c r="F44" s="168">
        <f t="shared" si="16"/>
        <v>321.57019299747486</v>
      </c>
      <c r="G44" s="300"/>
      <c r="H44" s="127">
        <f>VLOOKUP(MONTH(A44),ETP_Parametros!$A$6:$D$17,4,FALSE)</f>
        <v>4.838709677419355</v>
      </c>
      <c r="I44" s="229">
        <f>VLOOKUP(A44,P_Q_obs!$A$4:$F$308,2,FALSE)*1</f>
        <v>2.7</v>
      </c>
      <c r="J44" s="229">
        <f t="shared" si="35"/>
        <v>2.7</v>
      </c>
      <c r="K44" s="229">
        <f t="shared" si="35"/>
        <v>2.7</v>
      </c>
      <c r="L44" s="229">
        <f t="shared" si="35"/>
        <v>2.7</v>
      </c>
      <c r="M44" s="229">
        <f t="shared" si="35"/>
        <v>2.7</v>
      </c>
      <c r="N44" s="229">
        <f t="shared" si="35"/>
        <v>2.7</v>
      </c>
      <c r="O44" s="229">
        <f t="shared" si="35"/>
        <v>2.7</v>
      </c>
      <c r="P44" s="229">
        <f t="shared" si="35"/>
        <v>2.7</v>
      </c>
      <c r="Q44" s="229">
        <f t="shared" si="35"/>
        <v>2.7</v>
      </c>
      <c r="R44" s="229">
        <f t="shared" si="35"/>
        <v>2.7</v>
      </c>
      <c r="S44" s="229">
        <f t="shared" si="35"/>
        <v>2.7</v>
      </c>
      <c r="T44" s="229">
        <f t="shared" si="35"/>
        <v>2.7</v>
      </c>
      <c r="U44" s="229">
        <f t="shared" si="35"/>
        <v>2.7</v>
      </c>
      <c r="V44" s="229">
        <f t="shared" si="35"/>
        <v>2.7</v>
      </c>
      <c r="W44" s="229">
        <f t="shared" si="35"/>
        <v>2.7</v>
      </c>
      <c r="X44" s="229">
        <f t="shared" si="35"/>
        <v>2.7</v>
      </c>
      <c r="Y44" s="229">
        <f t="shared" si="35"/>
        <v>2.7</v>
      </c>
      <c r="Z44" s="291">
        <f t="shared" si="34"/>
        <v>2.7</v>
      </c>
      <c r="AA44" s="300"/>
      <c r="AB44" s="191">
        <f t="shared" si="3"/>
        <v>2.6999999999999993</v>
      </c>
      <c r="AC44" s="139">
        <f t="shared" si="17"/>
        <v>5.7233457425335121</v>
      </c>
      <c r="AD44" s="132">
        <f t="shared" si="33"/>
        <v>50.893225430966929</v>
      </c>
      <c r="AE44" s="168">
        <f t="shared" si="18"/>
        <v>0.64578322176540603</v>
      </c>
      <c r="AF44" s="192">
        <f t="shared" si="19"/>
        <v>0.44207247304958253</v>
      </c>
      <c r="AG44" s="192">
        <f t="shared" si="30"/>
        <v>4.2461086097452263</v>
      </c>
      <c r="AH44" s="192">
        <f t="shared" si="20"/>
        <v>0.52678366463757542</v>
      </c>
      <c r="AI44" s="168">
        <f t="shared" si="21"/>
        <v>1.8770102872792656</v>
      </c>
      <c r="AJ44" s="192">
        <f t="shared" si="22"/>
        <v>0.61881465498941812</v>
      </c>
      <c r="AK44" s="132">
        <f t="shared" si="23"/>
        <v>35.05054591988209</v>
      </c>
      <c r="AL44" s="192">
        <f t="shared" si="24"/>
        <v>0.49857633196320983</v>
      </c>
      <c r="AM44" s="192">
        <f t="shared" si="25"/>
        <v>0</v>
      </c>
      <c r="AN44" s="192">
        <f t="shared" si="31"/>
        <v>0</v>
      </c>
      <c r="AO44" s="192">
        <f t="shared" si="26"/>
        <v>0</v>
      </c>
      <c r="AS44" s="132">
        <f t="shared" si="9"/>
        <v>711718.12542949151</v>
      </c>
      <c r="AT44" s="132">
        <f t="shared" si="10"/>
        <v>122500.14740875557</v>
      </c>
      <c r="AU44" s="200" t="str">
        <f t="shared" si="11"/>
        <v>-</v>
      </c>
      <c r="AV44" s="132">
        <f t="shared" si="32"/>
        <v>-21</v>
      </c>
      <c r="AW44" s="132">
        <f t="shared" si="12"/>
        <v>-11.691509913519894</v>
      </c>
      <c r="AX44" s="132">
        <f t="shared" si="27"/>
        <v>-2945.9506795699681</v>
      </c>
      <c r="AY44" s="132">
        <f t="shared" si="13"/>
        <v>781839147.66406798</v>
      </c>
      <c r="AZ44" s="132">
        <f t="shared" si="28"/>
        <v>8609876.8747129496</v>
      </c>
      <c r="BA44" s="167">
        <f t="shared" si="14"/>
        <v>0.27161485262877166</v>
      </c>
      <c r="BB44" s="167">
        <f t="shared" si="15"/>
        <v>0.52116681842647239</v>
      </c>
      <c r="BD44" s="211">
        <f t="shared" si="29"/>
        <v>42449</v>
      </c>
      <c r="BE44" s="210">
        <f>Operacional_10_dias!BE44</f>
        <v>0.5</v>
      </c>
      <c r="BF44" s="209">
        <v>0.5</v>
      </c>
      <c r="BG44" s="209">
        <v>2</v>
      </c>
      <c r="BH44" s="210"/>
      <c r="BI44" s="209"/>
      <c r="BJ44" s="209"/>
      <c r="BL44" s="168"/>
    </row>
    <row r="45" spans="1:64" ht="13.5" thickBot="1" x14ac:dyDescent="0.25">
      <c r="A45" s="213">
        <f t="shared" si="1"/>
        <v>42450</v>
      </c>
      <c r="B45" s="190">
        <f>VLOOKUP(A45,P_Q_obs!$A$4:$H$304,8,FALSE)</f>
        <v>907.67806605403598</v>
      </c>
      <c r="C45" s="168">
        <f t="shared" si="6"/>
        <v>2.7171349160104145E-9</v>
      </c>
      <c r="D45" s="198">
        <f t="shared" si="7"/>
        <v>5.2126144265717701E-5</v>
      </c>
      <c r="E45" s="132">
        <f t="shared" si="8"/>
        <v>907.72537981185394</v>
      </c>
      <c r="F45" s="168">
        <f t="shared" si="16"/>
        <v>321.82918876354728</v>
      </c>
      <c r="G45" s="300"/>
      <c r="H45" s="127">
        <f>VLOOKUP(MONTH(A45),ETP_Parametros!$A$6:$D$17,4,FALSE)</f>
        <v>4.838709677419355</v>
      </c>
      <c r="I45" s="229">
        <f>VLOOKUP(A45,P_Q_obs!$A$4:$F$308,2,FALSE)*1</f>
        <v>24.95</v>
      </c>
      <c r="J45" s="229">
        <f t="shared" si="35"/>
        <v>24.95</v>
      </c>
      <c r="K45" s="229">
        <f t="shared" si="35"/>
        <v>24.95</v>
      </c>
      <c r="L45" s="229">
        <f t="shared" si="35"/>
        <v>24.95</v>
      </c>
      <c r="M45" s="229">
        <f t="shared" si="35"/>
        <v>24.95</v>
      </c>
      <c r="N45" s="229">
        <f t="shared" si="35"/>
        <v>24.95</v>
      </c>
      <c r="O45" s="229">
        <f t="shared" si="35"/>
        <v>24.95</v>
      </c>
      <c r="P45" s="229">
        <f t="shared" si="35"/>
        <v>24.95</v>
      </c>
      <c r="Q45" s="229">
        <f t="shared" si="35"/>
        <v>24.95</v>
      </c>
      <c r="R45" s="229">
        <f t="shared" si="35"/>
        <v>24.95</v>
      </c>
      <c r="S45" s="229">
        <f t="shared" si="35"/>
        <v>24.95</v>
      </c>
      <c r="T45" s="229">
        <f t="shared" si="35"/>
        <v>24.95</v>
      </c>
      <c r="U45" s="229">
        <f t="shared" si="35"/>
        <v>24.95</v>
      </c>
      <c r="V45" s="229">
        <f t="shared" si="35"/>
        <v>24.95</v>
      </c>
      <c r="W45" s="229">
        <f t="shared" si="35"/>
        <v>24.95</v>
      </c>
      <c r="X45" s="229">
        <f t="shared" si="35"/>
        <v>24.95</v>
      </c>
      <c r="Y45" s="229">
        <f t="shared" si="35"/>
        <v>24.95</v>
      </c>
      <c r="Z45" s="291">
        <f t="shared" si="34"/>
        <v>24.95</v>
      </c>
      <c r="AA45" s="300"/>
      <c r="AB45" s="191">
        <f t="shared" si="3"/>
        <v>24.95000000000001</v>
      </c>
      <c r="AC45" s="139">
        <f t="shared" si="17"/>
        <v>9.9126409843517127</v>
      </c>
      <c r="AD45" s="132">
        <f t="shared" si="33"/>
        <v>54.220432743800018</v>
      </c>
      <c r="AE45" s="168">
        <f t="shared" si="18"/>
        <v>0.65229914774625519</v>
      </c>
      <c r="AF45" s="192">
        <f t="shared" si="19"/>
        <v>1.7867755271303611</v>
      </c>
      <c r="AG45" s="192">
        <f t="shared" si="30"/>
        <v>4.2461086097452263</v>
      </c>
      <c r="AH45" s="192">
        <f t="shared" si="20"/>
        <v>0.55254953464303636</v>
      </c>
      <c r="AI45" s="168">
        <f t="shared" si="21"/>
        <v>2.7553870255754433</v>
      </c>
      <c r="AJ45" s="192">
        <f t="shared" si="22"/>
        <v>0.90839878883418324</v>
      </c>
      <c r="AK45" s="132">
        <f t="shared" si="23"/>
        <v>35.104117564327183</v>
      </c>
      <c r="AL45" s="192">
        <f t="shared" si="24"/>
        <v>0.49897789019794148</v>
      </c>
      <c r="AM45" s="192">
        <f t="shared" si="25"/>
        <v>0</v>
      </c>
      <c r="AN45" s="192">
        <f t="shared" si="31"/>
        <v>0</v>
      </c>
      <c r="AO45" s="192">
        <f t="shared" si="26"/>
        <v>0</v>
      </c>
      <c r="AS45" s="132">
        <f t="shared" si="9"/>
        <v>369088.10638415493</v>
      </c>
      <c r="AT45" s="132">
        <f t="shared" si="10"/>
        <v>343218.90702252602</v>
      </c>
      <c r="AU45" s="200" t="str">
        <f t="shared" si="11"/>
        <v>-</v>
      </c>
      <c r="AV45" s="132">
        <f t="shared" si="32"/>
        <v>-22</v>
      </c>
      <c r="AW45" s="132">
        <f t="shared" si="12"/>
        <v>-11.432514147447478</v>
      </c>
      <c r="AX45" s="132">
        <f t="shared" si="27"/>
        <v>-3553.4768982504092</v>
      </c>
      <c r="AY45" s="132">
        <f t="shared" si="13"/>
        <v>748233684.67653275</v>
      </c>
      <c r="AZ45" s="132">
        <f t="shared" si="28"/>
        <v>12546078.41895533</v>
      </c>
      <c r="BA45" s="167">
        <f t="shared" si="14"/>
        <v>0.41658873519183476</v>
      </c>
      <c r="BB45" s="167">
        <f t="shared" si="15"/>
        <v>0.64543685608418333</v>
      </c>
      <c r="BD45" s="211">
        <f t="shared" si="29"/>
        <v>42450</v>
      </c>
      <c r="BE45" s="210">
        <f>Operacional_10_dias!BE45</f>
        <v>0.7121553316468977</v>
      </c>
      <c r="BF45" s="209">
        <v>0.5</v>
      </c>
      <c r="BG45" s="209">
        <v>2</v>
      </c>
      <c r="BH45" s="210"/>
      <c r="BI45" s="209"/>
      <c r="BJ45" s="209"/>
      <c r="BL45" s="168"/>
    </row>
    <row r="46" spans="1:64" ht="13.5" thickBot="1" x14ac:dyDescent="0.25">
      <c r="A46" s="213">
        <f t="shared" si="1"/>
        <v>42451</v>
      </c>
      <c r="B46" s="190">
        <f>VLOOKUP(A46,P_Q_obs!$A$4:$H$304,8,FALSE)</f>
        <v>2079.9068913917499</v>
      </c>
      <c r="C46" s="168">
        <f t="shared" si="6"/>
        <v>4.3467424753388476E-8</v>
      </c>
      <c r="D46" s="198">
        <f t="shared" si="7"/>
        <v>2.0848842834408934E-4</v>
      </c>
      <c r="E46" s="132">
        <f t="shared" si="8"/>
        <v>2080.3405279106382</v>
      </c>
      <c r="F46" s="168">
        <f t="shared" si="16"/>
        <v>322.32107607714011</v>
      </c>
      <c r="G46" s="300"/>
      <c r="H46" s="127">
        <f>VLOOKUP(MONTH(A46),ETP_Parametros!$A$6:$D$17,4,FALSE)</f>
        <v>4.838709677419355</v>
      </c>
      <c r="I46" s="229">
        <f>VLOOKUP(A46,P_Q_obs!$A$4:$F$308,2,FALSE)*1</f>
        <v>18.13</v>
      </c>
      <c r="J46" s="229">
        <f t="shared" si="35"/>
        <v>18.13</v>
      </c>
      <c r="K46" s="229">
        <f t="shared" si="35"/>
        <v>18.13</v>
      </c>
      <c r="L46" s="229">
        <f t="shared" si="35"/>
        <v>18.13</v>
      </c>
      <c r="M46" s="229">
        <f t="shared" si="35"/>
        <v>18.13</v>
      </c>
      <c r="N46" s="229">
        <f t="shared" si="35"/>
        <v>18.13</v>
      </c>
      <c r="O46" s="229">
        <f t="shared" si="35"/>
        <v>18.13</v>
      </c>
      <c r="P46" s="229">
        <f t="shared" si="35"/>
        <v>18.13</v>
      </c>
      <c r="Q46" s="229">
        <f t="shared" si="35"/>
        <v>18.13</v>
      </c>
      <c r="R46" s="229">
        <f t="shared" si="35"/>
        <v>18.13</v>
      </c>
      <c r="S46" s="229">
        <f t="shared" si="35"/>
        <v>18.13</v>
      </c>
      <c r="T46" s="229">
        <f t="shared" si="35"/>
        <v>18.13</v>
      </c>
      <c r="U46" s="229">
        <f t="shared" si="35"/>
        <v>18.13</v>
      </c>
      <c r="V46" s="229">
        <f t="shared" si="35"/>
        <v>18.13</v>
      </c>
      <c r="W46" s="229">
        <f t="shared" si="35"/>
        <v>18.13</v>
      </c>
      <c r="X46" s="229">
        <f t="shared" si="35"/>
        <v>18.13</v>
      </c>
      <c r="Y46" s="229">
        <f t="shared" si="35"/>
        <v>18.13</v>
      </c>
      <c r="Z46" s="291">
        <f t="shared" si="34"/>
        <v>18.13</v>
      </c>
      <c r="AA46" s="300"/>
      <c r="AB46" s="191">
        <f t="shared" si="3"/>
        <v>18.129999999999992</v>
      </c>
      <c r="AC46" s="139">
        <f t="shared" si="17"/>
        <v>20.714867868449449</v>
      </c>
      <c r="AD46" s="132">
        <f t="shared" si="33"/>
        <v>61.719885586194003</v>
      </c>
      <c r="AE46" s="168">
        <f t="shared" si="18"/>
        <v>0.69494400816053647</v>
      </c>
      <c r="AF46" s="192">
        <f t="shared" si="19"/>
        <v>8.2380395020134749</v>
      </c>
      <c r="AG46" s="192">
        <f t="shared" si="30"/>
        <v>4.2461086097452263</v>
      </c>
      <c r="AH46" s="192">
        <f t="shared" si="20"/>
        <v>0.73126691429675295</v>
      </c>
      <c r="AI46" s="168">
        <f t="shared" si="21"/>
        <v>8.2677171524603565</v>
      </c>
      <c r="AJ46" s="192">
        <f t="shared" si="22"/>
        <v>2.7257093751285622</v>
      </c>
      <c r="AK46" s="132">
        <f t="shared" si="23"/>
        <v>35.335643945065726</v>
      </c>
      <c r="AL46" s="192">
        <f t="shared" si="24"/>
        <v>0.49974053355821174</v>
      </c>
      <c r="AM46" s="192">
        <f t="shared" si="25"/>
        <v>0</v>
      </c>
      <c r="AN46" s="192">
        <f t="shared" si="31"/>
        <v>0</v>
      </c>
      <c r="AO46" s="192">
        <f t="shared" si="26"/>
        <v>0</v>
      </c>
      <c r="AS46" s="132">
        <f t="shared" si="9"/>
        <v>318889.03396551881</v>
      </c>
      <c r="AT46" s="132">
        <f t="shared" si="10"/>
        <v>3089107.8981951219</v>
      </c>
      <c r="AU46" s="200" t="str">
        <f t="shared" si="11"/>
        <v>-</v>
      </c>
      <c r="AV46" s="132">
        <f t="shared" si="32"/>
        <v>-23</v>
      </c>
      <c r="AW46" s="132">
        <f t="shared" si="12"/>
        <v>-10.940626833854651</v>
      </c>
      <c r="AX46" s="132">
        <f t="shared" si="27"/>
        <v>-2988.7742915931362</v>
      </c>
      <c r="AY46" s="132">
        <f t="shared" si="13"/>
        <v>779446166.3722111</v>
      </c>
      <c r="AZ46" s="132">
        <f t="shared" si="28"/>
        <v>8867493.3349736929</v>
      </c>
      <c r="BA46" s="167">
        <f t="shared" si="14"/>
        <v>0.71407740312913637</v>
      </c>
      <c r="BB46" s="167">
        <f t="shared" si="15"/>
        <v>0.8450310071998165</v>
      </c>
      <c r="BD46" s="211">
        <f t="shared" si="29"/>
        <v>42451</v>
      </c>
      <c r="BE46" s="210">
        <f>Operacional_10_dias!BE46</f>
        <v>1.2138769526047035</v>
      </c>
      <c r="BF46" s="209">
        <v>0.5</v>
      </c>
      <c r="BG46" s="209">
        <v>2</v>
      </c>
      <c r="BH46" s="210"/>
      <c r="BI46" s="209"/>
      <c r="BJ46" s="209"/>
      <c r="BL46" s="168"/>
    </row>
    <row r="47" spans="1:64" ht="13.5" thickBot="1" x14ac:dyDescent="0.25">
      <c r="A47" s="213">
        <f t="shared" si="1"/>
        <v>42452</v>
      </c>
      <c r="B47" s="190">
        <f>VLOOKUP(A47,P_Q_obs!$A$4:$H$304,8,FALSE)</f>
        <v>2114</v>
      </c>
      <c r="C47" s="168">
        <f t="shared" si="6"/>
        <v>4.1305152598087024E-4</v>
      </c>
      <c r="D47" s="198">
        <f t="shared" si="7"/>
        <v>2.0323669107247103E-2</v>
      </c>
      <c r="E47" s="132">
        <f t="shared" si="8"/>
        <v>2071.0357635072796</v>
      </c>
      <c r="F47" s="168">
        <f t="shared" si="16"/>
        <v>324.4469187804396</v>
      </c>
      <c r="G47" s="300"/>
      <c r="H47" s="127">
        <f>VLOOKUP(MONTH(A47),ETP_Parametros!$A$6:$D$17,4,FALSE)</f>
        <v>4.838709677419355</v>
      </c>
      <c r="I47" s="229">
        <f>VLOOKUP(A47,P_Q_obs!$A$4:$F$308,2,FALSE)*1</f>
        <v>0.83</v>
      </c>
      <c r="J47" s="229">
        <f t="shared" si="35"/>
        <v>0.83</v>
      </c>
      <c r="K47" s="229">
        <f t="shared" si="35"/>
        <v>0.83</v>
      </c>
      <c r="L47" s="229">
        <f t="shared" si="35"/>
        <v>0.83</v>
      </c>
      <c r="M47" s="229">
        <f t="shared" si="35"/>
        <v>0.83</v>
      </c>
      <c r="N47" s="229">
        <f t="shared" si="35"/>
        <v>0.83</v>
      </c>
      <c r="O47" s="229">
        <f t="shared" si="35"/>
        <v>0.83</v>
      </c>
      <c r="P47" s="229">
        <f t="shared" si="35"/>
        <v>0.83</v>
      </c>
      <c r="Q47" s="229">
        <f t="shared" si="35"/>
        <v>0.83</v>
      </c>
      <c r="R47" s="229">
        <f t="shared" si="35"/>
        <v>0.83</v>
      </c>
      <c r="S47" s="229">
        <f t="shared" si="35"/>
        <v>0.83</v>
      </c>
      <c r="T47" s="229">
        <f t="shared" si="35"/>
        <v>0.83</v>
      </c>
      <c r="U47" s="229">
        <f t="shared" si="35"/>
        <v>0.83</v>
      </c>
      <c r="V47" s="229">
        <f t="shared" si="35"/>
        <v>0.83</v>
      </c>
      <c r="W47" s="229">
        <f t="shared" si="35"/>
        <v>0.83</v>
      </c>
      <c r="X47" s="229">
        <f t="shared" si="35"/>
        <v>0.83</v>
      </c>
      <c r="Y47" s="229">
        <f t="shared" si="35"/>
        <v>0.83</v>
      </c>
      <c r="Z47" s="291">
        <f t="shared" si="34"/>
        <v>0.83</v>
      </c>
      <c r="AA47" s="300"/>
      <c r="AB47" s="191">
        <f t="shared" si="3"/>
        <v>0.83</v>
      </c>
      <c r="AC47" s="139">
        <f t="shared" si="17"/>
        <v>10.037475437603732</v>
      </c>
      <c r="AD47" s="132">
        <f t="shared" si="33"/>
        <v>63.658752726771958</v>
      </c>
      <c r="AE47" s="168">
        <f t="shared" si="18"/>
        <v>0.79106459506050264</v>
      </c>
      <c r="AF47" s="192">
        <f t="shared" si="19"/>
        <v>2.6542303370202398</v>
      </c>
      <c r="AG47" s="192">
        <f t="shared" si="30"/>
        <v>4.2461086097452263</v>
      </c>
      <c r="AH47" s="192">
        <f t="shared" si="20"/>
        <v>1.1982693502603114</v>
      </c>
      <c r="AI47" s="168">
        <f t="shared" si="21"/>
        <v>8.2139606218712391</v>
      </c>
      <c r="AJ47" s="192">
        <f t="shared" si="22"/>
        <v>2.7079868676093568</v>
      </c>
      <c r="AK47" s="132">
        <f t="shared" si="23"/>
        <v>36.030876763318894</v>
      </c>
      <c r="AL47" s="192">
        <f t="shared" si="24"/>
        <v>0.50303653200714182</v>
      </c>
      <c r="AM47" s="192">
        <f t="shared" si="25"/>
        <v>0</v>
      </c>
      <c r="AN47" s="192">
        <f t="shared" si="31"/>
        <v>0</v>
      </c>
      <c r="AO47" s="192">
        <f t="shared" si="26"/>
        <v>0</v>
      </c>
      <c r="AS47" s="132">
        <f t="shared" si="9"/>
        <v>358556.30862034939</v>
      </c>
      <c r="AT47" s="132">
        <f t="shared" si="10"/>
        <v>3202500.2305024229</v>
      </c>
      <c r="AU47" s="200" t="str">
        <f t="shared" si="11"/>
        <v>-</v>
      </c>
      <c r="AV47" s="132">
        <f t="shared" si="32"/>
        <v>-24</v>
      </c>
      <c r="AW47" s="132">
        <f t="shared" si="12"/>
        <v>-8.8147841305551538</v>
      </c>
      <c r="AX47" s="132">
        <f t="shared" si="27"/>
        <v>-2389.9785763276132</v>
      </c>
      <c r="AY47" s="132">
        <f t="shared" si="13"/>
        <v>813239754.61936593</v>
      </c>
      <c r="AZ47" s="132">
        <f t="shared" si="28"/>
        <v>5669941.0052702725</v>
      </c>
      <c r="BA47" s="167">
        <f t="shared" si="14"/>
        <v>0.71660395992800685</v>
      </c>
      <c r="BB47" s="167">
        <f t="shared" si="15"/>
        <v>0.84652463633848651</v>
      </c>
      <c r="BD47" s="211">
        <f t="shared" si="29"/>
        <v>42452</v>
      </c>
      <c r="BE47" s="210">
        <f>Operacional_10_dias!BE47</f>
        <v>1.3002196222233573</v>
      </c>
      <c r="BF47" s="209">
        <v>0.5</v>
      </c>
      <c r="BG47" s="209">
        <v>2</v>
      </c>
      <c r="BH47" s="210"/>
      <c r="BI47" s="209"/>
      <c r="BJ47" s="209"/>
      <c r="BL47" s="168"/>
    </row>
    <row r="48" spans="1:64" ht="13.5" thickBot="1" x14ac:dyDescent="0.25">
      <c r="A48" s="213">
        <f t="shared" si="1"/>
        <v>42453</v>
      </c>
      <c r="B48" s="190">
        <f>VLOOKUP(A48,P_Q_obs!$A$4:$H$304,8,FALSE)</f>
        <v>1609</v>
      </c>
      <c r="C48" s="168">
        <f t="shared" si="6"/>
        <v>5.0946550383645949E-4</v>
      </c>
      <c r="D48" s="198">
        <f t="shared" si="7"/>
        <v>2.2571342535092135E-2</v>
      </c>
      <c r="E48" s="132">
        <f t="shared" si="8"/>
        <v>1645.3172901389632</v>
      </c>
      <c r="F48" s="168">
        <f t="shared" si="16"/>
        <v>330.8304488518869</v>
      </c>
      <c r="G48" s="300"/>
      <c r="H48" s="127">
        <f>VLOOKUP(MONTH(A48),ETP_Parametros!$A$6:$D$17,4,FALSE)</f>
        <v>4.838709677419355</v>
      </c>
      <c r="I48" s="229">
        <f>VLOOKUP(A48,P_Q_obs!$A$4:$F$308,2,FALSE)*1</f>
        <v>0.12</v>
      </c>
      <c r="J48" s="229">
        <f t="shared" si="35"/>
        <v>0.12</v>
      </c>
      <c r="K48" s="229">
        <f t="shared" si="35"/>
        <v>0.12</v>
      </c>
      <c r="L48" s="229">
        <f t="shared" si="35"/>
        <v>0.12</v>
      </c>
      <c r="M48" s="229">
        <f t="shared" si="35"/>
        <v>0.12</v>
      </c>
      <c r="N48" s="229">
        <f t="shared" si="35"/>
        <v>0.12</v>
      </c>
      <c r="O48" s="229">
        <f t="shared" si="35"/>
        <v>0.12</v>
      </c>
      <c r="P48" s="229">
        <f t="shared" si="35"/>
        <v>0.12</v>
      </c>
      <c r="Q48" s="229">
        <f t="shared" si="35"/>
        <v>0.12</v>
      </c>
      <c r="R48" s="229">
        <f t="shared" si="35"/>
        <v>0.12</v>
      </c>
      <c r="S48" s="229">
        <f t="shared" si="35"/>
        <v>0.12</v>
      </c>
      <c r="T48" s="229">
        <f t="shared" si="35"/>
        <v>0.12</v>
      </c>
      <c r="U48" s="229">
        <f t="shared" si="35"/>
        <v>0.12</v>
      </c>
      <c r="V48" s="229">
        <f t="shared" si="35"/>
        <v>0.12</v>
      </c>
      <c r="W48" s="229">
        <f t="shared" si="35"/>
        <v>0.12</v>
      </c>
      <c r="X48" s="229">
        <f t="shared" si="35"/>
        <v>0.12</v>
      </c>
      <c r="Y48" s="229">
        <f t="shared" si="35"/>
        <v>0.12</v>
      </c>
      <c r="Z48" s="291">
        <f t="shared" si="34"/>
        <v>0.12</v>
      </c>
      <c r="AA48" s="300"/>
      <c r="AB48" s="191">
        <f t="shared" si="3"/>
        <v>0.12000000000000001</v>
      </c>
      <c r="AC48" s="139">
        <f t="shared" si="17"/>
        <v>2.2946317768124884</v>
      </c>
      <c r="AD48" s="132">
        <f t="shared" si="33"/>
        <v>60.728211065557218</v>
      </c>
      <c r="AE48" s="168">
        <f t="shared" si="18"/>
        <v>0.81591508100794419</v>
      </c>
      <c r="AF48" s="192">
        <f t="shared" si="19"/>
        <v>5.9225518335614255E-3</v>
      </c>
      <c r="AG48" s="192">
        <f t="shared" si="30"/>
        <v>3.885780902565422</v>
      </c>
      <c r="AH48" s="192">
        <f t="shared" si="20"/>
        <v>1.3334699836282446</v>
      </c>
      <c r="AI48" s="168">
        <f t="shared" si="21"/>
        <v>6.1818459363792542</v>
      </c>
      <c r="AJ48" s="192">
        <f t="shared" si="22"/>
        <v>2.0380372373255464</v>
      </c>
      <c r="AK48" s="132">
        <f t="shared" si="23"/>
        <v>36.851412913892489</v>
      </c>
      <c r="AL48" s="192">
        <f t="shared" si="24"/>
        <v>0.51293383305464291</v>
      </c>
      <c r="AM48" s="192">
        <f t="shared" si="25"/>
        <v>0</v>
      </c>
      <c r="AN48" s="192">
        <f t="shared" si="31"/>
        <v>0</v>
      </c>
      <c r="AO48" s="192">
        <f t="shared" si="26"/>
        <v>0</v>
      </c>
      <c r="AS48" s="132">
        <f t="shared" si="9"/>
        <v>8797.6362021710811</v>
      </c>
      <c r="AT48" s="132">
        <f t="shared" si="10"/>
        <v>1633717.4014821686</v>
      </c>
      <c r="AU48" s="200" t="str">
        <f t="shared" si="11"/>
        <v>-</v>
      </c>
      <c r="AV48" s="132">
        <f t="shared" si="32"/>
        <v>-25</v>
      </c>
      <c r="AW48" s="132">
        <f t="shared" si="12"/>
        <v>-2.4312540591078573</v>
      </c>
      <c r="AX48" s="132">
        <f t="shared" si="27"/>
        <v>-2296.1828610620901</v>
      </c>
      <c r="AY48" s="132">
        <f t="shared" si="13"/>
        <v>818598164.39339042</v>
      </c>
      <c r="AZ48" s="132">
        <f t="shared" si="28"/>
        <v>5261296.4346287642</v>
      </c>
      <c r="BA48" s="167">
        <f t="shared" si="14"/>
        <v>0.63105156300431298</v>
      </c>
      <c r="BB48" s="167">
        <f t="shared" si="15"/>
        <v>0.79438753955755936</v>
      </c>
      <c r="BD48" s="211">
        <f t="shared" si="29"/>
        <v>42453</v>
      </c>
      <c r="BE48" s="210">
        <f>Operacional_10_dias!BE48</f>
        <v>0.52412599208313893</v>
      </c>
      <c r="BF48" s="209">
        <v>0.5</v>
      </c>
      <c r="BG48" s="209">
        <v>2</v>
      </c>
      <c r="BH48" s="210"/>
      <c r="BI48" s="209"/>
      <c r="BJ48" s="209"/>
      <c r="BL48" s="168"/>
    </row>
    <row r="49" spans="1:65" ht="13.5" thickBot="1" x14ac:dyDescent="0.25">
      <c r="A49" s="213">
        <f t="shared" si="1"/>
        <v>42454</v>
      </c>
      <c r="B49" s="190">
        <f>VLOOKUP(A49,P_Q_obs!$A$4:$H$304,8,FALSE)</f>
        <v>1553</v>
      </c>
      <c r="C49" s="168">
        <f t="shared" si="6"/>
        <v>5.1087885363734239E-8</v>
      </c>
      <c r="D49" s="198">
        <f t="shared" si="7"/>
        <v>2.2602629352297542E-4</v>
      </c>
      <c r="E49" s="132">
        <f t="shared" si="8"/>
        <v>1553.3510188338412</v>
      </c>
      <c r="F49" s="168">
        <f t="shared" si="16"/>
        <v>338.36449651818793</v>
      </c>
      <c r="G49" s="300"/>
      <c r="H49" s="127">
        <f>VLOOKUP(MONTH(A49),ETP_Parametros!$A$6:$D$17,4,FALSE)</f>
        <v>4.838709677419355</v>
      </c>
      <c r="I49" s="229">
        <f>VLOOKUP(A49,P_Q_obs!$A$4:$F$308,2,FALSE)*1</f>
        <v>16.02</v>
      </c>
      <c r="J49" s="229">
        <f t="shared" si="35"/>
        <v>16.02</v>
      </c>
      <c r="K49" s="229">
        <f t="shared" si="35"/>
        <v>16.02</v>
      </c>
      <c r="L49" s="229">
        <f t="shared" si="35"/>
        <v>16.02</v>
      </c>
      <c r="M49" s="229">
        <f t="shared" si="35"/>
        <v>16.02</v>
      </c>
      <c r="N49" s="229">
        <f t="shared" si="35"/>
        <v>16.02</v>
      </c>
      <c r="O49" s="229">
        <f t="shared" si="35"/>
        <v>16.02</v>
      </c>
      <c r="P49" s="229">
        <f t="shared" si="35"/>
        <v>16.02</v>
      </c>
      <c r="Q49" s="229">
        <f t="shared" si="35"/>
        <v>16.02</v>
      </c>
      <c r="R49" s="229">
        <f t="shared" si="35"/>
        <v>16.02</v>
      </c>
      <c r="S49" s="229">
        <f t="shared" si="35"/>
        <v>16.02</v>
      </c>
      <c r="T49" s="229">
        <f t="shared" si="35"/>
        <v>16.02</v>
      </c>
      <c r="U49" s="229">
        <f t="shared" si="35"/>
        <v>16.02</v>
      </c>
      <c r="V49" s="229">
        <f t="shared" si="35"/>
        <v>16.02</v>
      </c>
      <c r="W49" s="229">
        <f t="shared" si="35"/>
        <v>16.02</v>
      </c>
      <c r="X49" s="229">
        <f t="shared" si="35"/>
        <v>16.02</v>
      </c>
      <c r="Y49" s="229">
        <f t="shared" si="35"/>
        <v>16.02</v>
      </c>
      <c r="Z49" s="291">
        <f t="shared" si="34"/>
        <v>16.02</v>
      </c>
      <c r="AA49" s="300"/>
      <c r="AB49" s="191">
        <f t="shared" si="3"/>
        <v>16.020000000000003</v>
      </c>
      <c r="AC49" s="139">
        <f t="shared" si="17"/>
        <v>7.7064400084301132</v>
      </c>
      <c r="AD49" s="132">
        <f t="shared" si="33"/>
        <v>61.6412955633675</v>
      </c>
      <c r="AE49" s="168">
        <f t="shared" si="18"/>
        <v>0.77835428953014318</v>
      </c>
      <c r="AF49" s="192">
        <f t="shared" si="19"/>
        <v>1.4158316952064365</v>
      </c>
      <c r="AG49" s="192">
        <f t="shared" si="30"/>
        <v>4.2461086097452263</v>
      </c>
      <c r="AH49" s="192">
        <f t="shared" si="20"/>
        <v>1.131415205668163</v>
      </c>
      <c r="AI49" s="168">
        <f t="shared" si="21"/>
        <v>5.7139099912010867</v>
      </c>
      <c r="AJ49" s="192">
        <f t="shared" si="22"/>
        <v>1.883767640384604</v>
      </c>
      <c r="AK49" s="132">
        <f t="shared" si="23"/>
        <v>37.458213173230902</v>
      </c>
      <c r="AL49" s="192">
        <f t="shared" si="24"/>
        <v>0.52461494632974626</v>
      </c>
      <c r="AM49" s="192">
        <f t="shared" si="25"/>
        <v>0</v>
      </c>
      <c r="AN49" s="192">
        <f t="shared" si="31"/>
        <v>0</v>
      </c>
      <c r="AO49" s="192">
        <f t="shared" si="26"/>
        <v>0</v>
      </c>
      <c r="AS49" s="132">
        <f t="shared" si="9"/>
        <v>1428.5160924324948</v>
      </c>
      <c r="AT49" s="132">
        <f t="shared" si="10"/>
        <v>1475339.4063185151</v>
      </c>
      <c r="AU49" s="200" t="str">
        <f t="shared" si="11"/>
        <v>-</v>
      </c>
      <c r="AV49" s="132">
        <f t="shared" si="32"/>
        <v>-26</v>
      </c>
      <c r="AW49" s="132">
        <f t="shared" si="12"/>
        <v>5.1027936071931776</v>
      </c>
      <c r="AX49" s="132">
        <f t="shared" si="27"/>
        <v>-2258.387145796567</v>
      </c>
      <c r="AY49" s="132">
        <f t="shared" si="13"/>
        <v>820762351.01067817</v>
      </c>
      <c r="AZ49" s="132">
        <f t="shared" si="28"/>
        <v>5123386.7057820382</v>
      </c>
      <c r="BA49" s="167">
        <f t="shared" si="14"/>
        <v>0.61171486063718772</v>
      </c>
      <c r="BB49" s="167">
        <f t="shared" si="15"/>
        <v>0.78212202413510112</v>
      </c>
      <c r="BD49" s="211">
        <f t="shared" si="29"/>
        <v>42454</v>
      </c>
      <c r="BE49" s="210">
        <f>Operacional_10_dias!BE49</f>
        <v>0.53899338279602382</v>
      </c>
      <c r="BF49" s="209">
        <v>0.5</v>
      </c>
      <c r="BG49" s="209">
        <v>2</v>
      </c>
      <c r="BH49" s="210"/>
      <c r="BI49" s="209"/>
      <c r="BJ49" s="209"/>
      <c r="BL49" s="168"/>
    </row>
    <row r="50" spans="1:65" ht="13.5" thickBot="1" x14ac:dyDescent="0.25">
      <c r="A50" s="213">
        <f t="shared" si="1"/>
        <v>42455</v>
      </c>
      <c r="B50" s="190">
        <f>VLOOKUP(A50,P_Q_obs!$A$4:$H$304,8,FALSE)</f>
        <v>2283</v>
      </c>
      <c r="C50" s="168">
        <f t="shared" si="6"/>
        <v>2.7338842962315241E-11</v>
      </c>
      <c r="D50" s="198">
        <f t="shared" si="7"/>
        <v>5.228655942239386E-6</v>
      </c>
      <c r="E50" s="132">
        <f t="shared" si="8"/>
        <v>2283.0119370215161</v>
      </c>
      <c r="F50" s="168">
        <f t="shared" si="16"/>
        <v>343.93605125661549</v>
      </c>
      <c r="G50" s="300"/>
      <c r="H50" s="127">
        <f>VLOOKUP(MONTH(A50),ETP_Parametros!$A$6:$D$17,4,FALSE)</f>
        <v>4.838709677419355</v>
      </c>
      <c r="I50" s="229">
        <f>VLOOKUP(A50,P_Q_obs!$A$4:$F$308,2,FALSE)*1</f>
        <v>37.82</v>
      </c>
      <c r="J50" s="229">
        <f t="shared" si="35"/>
        <v>37.82</v>
      </c>
      <c r="K50" s="229">
        <f t="shared" si="35"/>
        <v>37.82</v>
      </c>
      <c r="L50" s="229">
        <f t="shared" si="35"/>
        <v>37.82</v>
      </c>
      <c r="M50" s="229">
        <f t="shared" si="35"/>
        <v>37.82</v>
      </c>
      <c r="N50" s="229">
        <f t="shared" si="35"/>
        <v>37.82</v>
      </c>
      <c r="O50" s="229">
        <f t="shared" si="35"/>
        <v>37.82</v>
      </c>
      <c r="P50" s="229">
        <f t="shared" si="35"/>
        <v>37.82</v>
      </c>
      <c r="Q50" s="229">
        <f t="shared" si="35"/>
        <v>37.82</v>
      </c>
      <c r="R50" s="229">
        <f t="shared" si="35"/>
        <v>37.82</v>
      </c>
      <c r="S50" s="229">
        <f t="shared" si="35"/>
        <v>37.82</v>
      </c>
      <c r="T50" s="229">
        <f t="shared" si="35"/>
        <v>37.82</v>
      </c>
      <c r="U50" s="229">
        <f t="shared" si="35"/>
        <v>37.82</v>
      </c>
      <c r="V50" s="229">
        <f t="shared" si="35"/>
        <v>37.82</v>
      </c>
      <c r="W50" s="229">
        <f t="shared" si="35"/>
        <v>37.82</v>
      </c>
      <c r="X50" s="229">
        <f t="shared" si="35"/>
        <v>37.82</v>
      </c>
      <c r="Y50" s="229">
        <f t="shared" si="35"/>
        <v>37.82</v>
      </c>
      <c r="Z50" s="291">
        <f t="shared" si="34"/>
        <v>37.82</v>
      </c>
      <c r="AA50" s="300"/>
      <c r="AB50" s="191">
        <f t="shared" si="3"/>
        <v>37.819999999999979</v>
      </c>
      <c r="AC50" s="139">
        <f t="shared" si="17"/>
        <v>15.943710435198005</v>
      </c>
      <c r="AD50" s="132">
        <f t="shared" si="33"/>
        <v>65.734265843106471</v>
      </c>
      <c r="AE50" s="168">
        <f t="shared" si="18"/>
        <v>0.7900573056918887</v>
      </c>
      <c r="AF50" s="192">
        <f t="shared" si="19"/>
        <v>6.4117170940643948</v>
      </c>
      <c r="AG50" s="192">
        <f t="shared" si="30"/>
        <v>4.2461086097452263</v>
      </c>
      <c r="AH50" s="192">
        <f t="shared" si="20"/>
        <v>1.1929144516494101</v>
      </c>
      <c r="AI50" s="168">
        <f t="shared" si="21"/>
        <v>9.1191999860642561</v>
      </c>
      <c r="AJ50" s="192">
        <f t="shared" si="22"/>
        <v>3.0064270992012245</v>
      </c>
      <c r="AK50" s="132">
        <f t="shared" si="23"/>
        <v>38.117874299169301</v>
      </c>
      <c r="AL50" s="192">
        <f t="shared" si="24"/>
        <v>0.53325332571100703</v>
      </c>
      <c r="AM50" s="192">
        <f t="shared" si="25"/>
        <v>0</v>
      </c>
      <c r="AN50" s="192">
        <f t="shared" si="31"/>
        <v>0</v>
      </c>
      <c r="AO50" s="192">
        <f t="shared" si="26"/>
        <v>0</v>
      </c>
      <c r="AS50" s="132">
        <f t="shared" si="9"/>
        <v>589510.26038009615</v>
      </c>
      <c r="AT50" s="132">
        <f t="shared" si="10"/>
        <v>3759968.9973162874</v>
      </c>
      <c r="AU50" s="200" t="str">
        <f t="shared" si="11"/>
        <v>-</v>
      </c>
      <c r="AV50" s="132">
        <f t="shared" si="32"/>
        <v>-27</v>
      </c>
      <c r="AW50" s="132">
        <f t="shared" si="12"/>
        <v>10.674348345620729</v>
      </c>
      <c r="AX50" s="132">
        <f t="shared" si="27"/>
        <v>-1490.5914305310439</v>
      </c>
      <c r="AY50" s="132">
        <f t="shared" si="13"/>
        <v>865344943.78431201</v>
      </c>
      <c r="AZ50" s="132">
        <f t="shared" si="28"/>
        <v>2253798.9388261586</v>
      </c>
      <c r="BA50" s="167">
        <f t="shared" si="14"/>
        <v>0.7213938590297071</v>
      </c>
      <c r="BB50" s="167">
        <f t="shared" si="15"/>
        <v>0.84934907960726436</v>
      </c>
      <c r="BD50" s="211">
        <f t="shared" si="29"/>
        <v>42455</v>
      </c>
      <c r="BE50" s="210">
        <f>Operacional_10_dias!BE50</f>
        <v>0.7567634846951361</v>
      </c>
      <c r="BF50" s="209">
        <v>0.5</v>
      </c>
      <c r="BG50" s="209">
        <v>2</v>
      </c>
      <c r="BH50" s="210"/>
      <c r="BI50" s="209"/>
      <c r="BJ50" s="209"/>
      <c r="BL50" s="168"/>
    </row>
    <row r="51" spans="1:65" ht="13.5" thickBot="1" x14ac:dyDescent="0.25">
      <c r="A51" s="213">
        <f>A52-1</f>
        <v>42456</v>
      </c>
      <c r="B51" s="190">
        <f>VLOOKUP(A51,P_Q_obs!$A$4:$H$304,8,FALSE)</f>
        <v>2411</v>
      </c>
      <c r="C51" s="168">
        <f t="shared" si="6"/>
        <v>5.0771240325380717E-6</v>
      </c>
      <c r="D51" s="198">
        <f t="shared" si="7"/>
        <v>2.2532474414804229E-3</v>
      </c>
      <c r="E51" s="132">
        <f t="shared" si="8"/>
        <v>2416.4325795814093</v>
      </c>
      <c r="F51" s="168">
        <f t="shared" si="16"/>
        <v>349.99296704631161</v>
      </c>
      <c r="G51" s="300"/>
      <c r="H51" s="127">
        <f>VLOOKUP(MONTH(A51),ETP_Parametros!$A$6:$D$17,4,FALSE)</f>
        <v>4.838709677419355</v>
      </c>
      <c r="I51" s="229">
        <f>VLOOKUP(A51,P_Q_obs!$A$4:$F$308,2,FALSE)*1</f>
        <v>4.7</v>
      </c>
      <c r="J51" s="229">
        <f t="shared" si="35"/>
        <v>4.7</v>
      </c>
      <c r="K51" s="229">
        <f t="shared" si="35"/>
        <v>4.7</v>
      </c>
      <c r="L51" s="229">
        <f t="shared" si="35"/>
        <v>4.7</v>
      </c>
      <c r="M51" s="229">
        <f t="shared" si="35"/>
        <v>4.7</v>
      </c>
      <c r="N51" s="229">
        <f t="shared" si="35"/>
        <v>4.7</v>
      </c>
      <c r="O51" s="229">
        <f t="shared" si="35"/>
        <v>4.7</v>
      </c>
      <c r="P51" s="229">
        <f t="shared" si="35"/>
        <v>4.7</v>
      </c>
      <c r="Q51" s="229">
        <f t="shared" si="35"/>
        <v>4.7</v>
      </c>
      <c r="R51" s="229">
        <f t="shared" si="35"/>
        <v>4.7</v>
      </c>
      <c r="S51" s="229">
        <f t="shared" si="35"/>
        <v>4.7</v>
      </c>
      <c r="T51" s="229">
        <f t="shared" si="35"/>
        <v>4.7</v>
      </c>
      <c r="U51" s="229">
        <f t="shared" si="35"/>
        <v>4.7</v>
      </c>
      <c r="V51" s="229">
        <f t="shared" si="35"/>
        <v>4.7</v>
      </c>
      <c r="W51" s="229">
        <f t="shared" si="35"/>
        <v>4.7</v>
      </c>
      <c r="X51" s="229">
        <f t="shared" si="35"/>
        <v>4.7</v>
      </c>
      <c r="Y51" s="229">
        <f t="shared" si="35"/>
        <v>4.7</v>
      </c>
      <c r="Z51" s="291">
        <f t="shared" si="34"/>
        <v>4.7</v>
      </c>
      <c r="AA51" s="300"/>
      <c r="AB51" s="191">
        <f t="shared" si="3"/>
        <v>4.7</v>
      </c>
      <c r="AC51" s="139">
        <f t="shared" si="17"/>
        <v>10.996606365718334</v>
      </c>
      <c r="AD51" s="132">
        <f t="shared" si="33"/>
        <v>67.197107775549782</v>
      </c>
      <c r="AE51" s="168">
        <f t="shared" si="18"/>
        <v>0.84251696024543887</v>
      </c>
      <c r="AF51" s="192">
        <f t="shared" si="19"/>
        <v>3.8028709446136233</v>
      </c>
      <c r="AG51" s="192">
        <f t="shared" si="30"/>
        <v>4.2461086097452263</v>
      </c>
      <c r="AH51" s="192">
        <f t="shared" si="20"/>
        <v>1.4847848789161897</v>
      </c>
      <c r="AI51" s="168">
        <f t="shared" si="21"/>
        <v>9.7181736022668606</v>
      </c>
      <c r="AJ51" s="192">
        <f t="shared" si="22"/>
        <v>3.2038973284110188</v>
      </c>
      <c r="AK51" s="132">
        <f t="shared" si="23"/>
        <v>39.060014948232258</v>
      </c>
      <c r="AL51" s="192">
        <f t="shared" si="24"/>
        <v>0.54264422985323413</v>
      </c>
      <c r="AM51" s="192">
        <f t="shared" si="25"/>
        <v>0</v>
      </c>
      <c r="AN51" s="192">
        <f t="shared" si="31"/>
        <v>0</v>
      </c>
      <c r="AO51" s="192">
        <f t="shared" si="26"/>
        <v>0</v>
      </c>
      <c r="AS51" s="132">
        <f t="shared" si="9"/>
        <v>802449.96348807006</v>
      </c>
      <c r="AT51" s="132">
        <f t="shared" si="10"/>
        <v>4247749.9898845656</v>
      </c>
      <c r="AU51" s="200" t="str">
        <f t="shared" si="11"/>
        <v>-</v>
      </c>
      <c r="AV51" s="132">
        <f t="shared" si="32"/>
        <v>-28</v>
      </c>
      <c r="AW51" s="132">
        <f t="shared" si="12"/>
        <v>16.731264135316849</v>
      </c>
      <c r="AX51" s="132">
        <f t="shared" si="27"/>
        <v>-594.79571526552081</v>
      </c>
      <c r="AY51" s="132">
        <f t="shared" si="13"/>
        <v>918850183.75152969</v>
      </c>
      <c r="AZ51" s="132">
        <f t="shared" si="28"/>
        <v>373965.24653511262</v>
      </c>
      <c r="BA51" s="167">
        <f t="shared" si="14"/>
        <v>0.73074276940707894</v>
      </c>
      <c r="BB51" s="167">
        <f t="shared" si="15"/>
        <v>0.85483493693641166</v>
      </c>
      <c r="BD51" s="211">
        <f t="shared" si="29"/>
        <v>42456</v>
      </c>
      <c r="BE51" s="210">
        <f>Operacional_10_dias!BE51</f>
        <v>0.63743608263733775</v>
      </c>
      <c r="BF51" s="209">
        <v>0.5</v>
      </c>
      <c r="BG51" s="209">
        <v>2</v>
      </c>
      <c r="BH51" s="210"/>
      <c r="BI51" s="209"/>
      <c r="BJ51" s="209"/>
      <c r="BL51" s="168"/>
    </row>
    <row r="52" spans="1:65" ht="13.5" thickBot="1" x14ac:dyDescent="0.25">
      <c r="A52" s="213">
        <f>A53-1</f>
        <v>42457</v>
      </c>
      <c r="B52" s="190">
        <f>VLOOKUP(A52,P_Q_obs!$A$4:$H$304,8,FALSE)</f>
        <v>2110</v>
      </c>
      <c r="C52" s="168">
        <f t="shared" si="6"/>
        <v>8.8092563544050722E-5</v>
      </c>
      <c r="D52" s="198">
        <f t="shared" si="7"/>
        <v>9.3857638764274654E-3</v>
      </c>
      <c r="E52" s="132">
        <f t="shared" si="8"/>
        <v>2090.196038220738</v>
      </c>
      <c r="F52" s="168">
        <f t="shared" si="16"/>
        <v>358.64357013483868</v>
      </c>
      <c r="G52" s="300"/>
      <c r="H52" s="127">
        <f>VLOOKUP(MONTH(A52),ETP_Parametros!$A$6:$D$17,4,FALSE)</f>
        <v>4.838709677419355</v>
      </c>
      <c r="I52" s="229">
        <f>VLOOKUP(A52,P_Q_obs!$A$4:$F$308,2,FALSE)*1</f>
        <v>1.23</v>
      </c>
      <c r="J52" s="229">
        <f t="shared" si="35"/>
        <v>1.23</v>
      </c>
      <c r="K52" s="229">
        <f t="shared" si="35"/>
        <v>1.23</v>
      </c>
      <c r="L52" s="229">
        <f t="shared" si="35"/>
        <v>1.23</v>
      </c>
      <c r="M52" s="229">
        <f t="shared" si="35"/>
        <v>1.23</v>
      </c>
      <c r="N52" s="229">
        <f t="shared" si="35"/>
        <v>1.23</v>
      </c>
      <c r="O52" s="229">
        <f t="shared" si="35"/>
        <v>1.23</v>
      </c>
      <c r="P52" s="229">
        <f t="shared" si="35"/>
        <v>1.23</v>
      </c>
      <c r="Q52" s="229">
        <f t="shared" si="35"/>
        <v>1.23</v>
      </c>
      <c r="R52" s="229">
        <f t="shared" si="35"/>
        <v>1.23</v>
      </c>
      <c r="S52" s="229">
        <f t="shared" si="35"/>
        <v>1.23</v>
      </c>
      <c r="T52" s="229">
        <f t="shared" si="35"/>
        <v>1.23</v>
      </c>
      <c r="U52" s="229">
        <f t="shared" si="35"/>
        <v>1.23</v>
      </c>
      <c r="V52" s="229">
        <f t="shared" si="35"/>
        <v>1.23</v>
      </c>
      <c r="W52" s="229">
        <f t="shared" si="35"/>
        <v>1.23</v>
      </c>
      <c r="X52" s="229">
        <f t="shared" si="35"/>
        <v>1.23</v>
      </c>
      <c r="Y52" s="229">
        <f t="shared" si="35"/>
        <v>1.23</v>
      </c>
      <c r="Z52" s="291">
        <f t="shared" si="34"/>
        <v>1.23</v>
      </c>
      <c r="AA52" s="300"/>
      <c r="AB52" s="191">
        <f t="shared" si="3"/>
        <v>1.2300000000000002</v>
      </c>
      <c r="AC52" s="139">
        <f t="shared" si="17"/>
        <v>6.0648584285925313</v>
      </c>
      <c r="AD52" s="132">
        <f t="shared" si="33"/>
        <v>66.310586360050351</v>
      </c>
      <c r="AE52" s="168">
        <f t="shared" si="18"/>
        <v>0.86126622476424164</v>
      </c>
      <c r="AF52" s="192">
        <f t="shared" si="19"/>
        <v>1.1097468833197004</v>
      </c>
      <c r="AG52" s="192">
        <f t="shared" si="30"/>
        <v>4.2461086097452263</v>
      </c>
      <c r="AH52" s="192">
        <f t="shared" si="20"/>
        <v>1.5955243510270438</v>
      </c>
      <c r="AI52" s="168">
        <f t="shared" si="21"/>
        <v>8.1432466664963385</v>
      </c>
      <c r="AJ52" s="192">
        <f t="shared" si="22"/>
        <v>2.684673819090222</v>
      </c>
      <c r="AK52" s="132">
        <f t="shared" si="23"/>
        <v>40.099482800324331</v>
      </c>
      <c r="AL52" s="192">
        <f t="shared" si="24"/>
        <v>0.55605649893496867</v>
      </c>
      <c r="AM52" s="192">
        <f t="shared" si="25"/>
        <v>0</v>
      </c>
      <c r="AN52" s="192">
        <f t="shared" si="31"/>
        <v>0</v>
      </c>
      <c r="AO52" s="192">
        <f t="shared" si="26"/>
        <v>0</v>
      </c>
      <c r="AS52" s="132">
        <f t="shared" si="9"/>
        <v>353781.94289822521</v>
      </c>
      <c r="AT52" s="132">
        <f t="shared" si="10"/>
        <v>3067249.3444300438</v>
      </c>
      <c r="AU52" s="200" t="str">
        <f t="shared" si="11"/>
        <v>-</v>
      </c>
      <c r="AV52" s="132">
        <f t="shared" si="32"/>
        <v>-29</v>
      </c>
      <c r="AW52" s="132">
        <f t="shared" si="12"/>
        <v>25.381867223843926</v>
      </c>
      <c r="AX52" s="132">
        <f t="shared" si="27"/>
        <v>2.2737367544323206E-12</v>
      </c>
      <c r="AY52" s="132">
        <f t="shared" si="13"/>
        <v>955263505.52732146</v>
      </c>
      <c r="AZ52" s="132">
        <f t="shared" si="28"/>
        <v>644.23918376872712</v>
      </c>
      <c r="BA52" s="167">
        <f t="shared" si="14"/>
        <v>0.6889443957750373</v>
      </c>
      <c r="BB52" s="167">
        <f t="shared" si="15"/>
        <v>0.83002674401192478</v>
      </c>
      <c r="BD52" s="211">
        <f t="shared" si="29"/>
        <v>42457</v>
      </c>
      <c r="BE52" s="210">
        <f>Operacional_10_dias!BE52</f>
        <v>2.1940665850840806</v>
      </c>
      <c r="BF52" s="209">
        <v>0.5</v>
      </c>
      <c r="BG52" s="209">
        <v>2</v>
      </c>
      <c r="BH52" s="210"/>
      <c r="BI52" s="209"/>
      <c r="BJ52" s="209"/>
      <c r="BL52" s="168"/>
    </row>
    <row r="53" spans="1:65" ht="13.5" thickBot="1" x14ac:dyDescent="0.25">
      <c r="A53" s="214">
        <f>Botoes!B5</f>
        <v>42458</v>
      </c>
      <c r="B53" s="190"/>
      <c r="C53" s="168"/>
      <c r="D53" s="198"/>
      <c r="E53" s="132">
        <f t="shared" si="8"/>
        <v>1670.4192927883753</v>
      </c>
      <c r="F53" s="168">
        <f t="shared" si="16"/>
        <v>368.18781792913114</v>
      </c>
      <c r="G53" s="300"/>
      <c r="H53" s="127">
        <f>VLOOKUP(MONTH(A53),ETP_Parametros!$A$6:$D$17,4,FALSE)</f>
        <v>4.838709677419355</v>
      </c>
      <c r="I53" s="229">
        <f>VLOOKUP(A53,P_Q_obs!$A$4:$F$308,2,FALSE)*1</f>
        <v>0.25</v>
      </c>
      <c r="J53" s="229">
        <f t="shared" si="35"/>
        <v>0.25</v>
      </c>
      <c r="K53" s="229">
        <f t="shared" si="35"/>
        <v>0.25</v>
      </c>
      <c r="L53" s="229">
        <f t="shared" si="35"/>
        <v>0.25</v>
      </c>
      <c r="M53" s="229">
        <f t="shared" si="35"/>
        <v>0.25</v>
      </c>
      <c r="N53" s="229">
        <f t="shared" si="35"/>
        <v>0.25</v>
      </c>
      <c r="O53" s="229">
        <f t="shared" si="35"/>
        <v>0.25</v>
      </c>
      <c r="P53" s="229">
        <f t="shared" si="35"/>
        <v>0.25</v>
      </c>
      <c r="Q53" s="229">
        <f t="shared" si="35"/>
        <v>0.25</v>
      </c>
      <c r="R53" s="229">
        <f t="shared" si="35"/>
        <v>0.25</v>
      </c>
      <c r="S53" s="229">
        <f t="shared" si="35"/>
        <v>0.25</v>
      </c>
      <c r="T53" s="229">
        <f t="shared" si="35"/>
        <v>0.25</v>
      </c>
      <c r="U53" s="229">
        <f t="shared" si="35"/>
        <v>0.25</v>
      </c>
      <c r="V53" s="229">
        <f t="shared" si="35"/>
        <v>0.25</v>
      </c>
      <c r="W53" s="229">
        <f t="shared" si="35"/>
        <v>0.25</v>
      </c>
      <c r="X53" s="229">
        <f t="shared" si="35"/>
        <v>0.25</v>
      </c>
      <c r="Y53" s="229">
        <f t="shared" ref="Y53:Y63" si="36">X53</f>
        <v>0.25</v>
      </c>
      <c r="Z53" s="291">
        <f t="shared" si="34"/>
        <v>0.25</v>
      </c>
      <c r="AA53" s="300"/>
      <c r="AB53" s="191">
        <f t="shared" si="3"/>
        <v>0.25000000000000006</v>
      </c>
      <c r="AC53" s="139">
        <f t="shared" si="17"/>
        <v>1.4609258994134997</v>
      </c>
      <c r="AD53" s="132">
        <f t="shared" si="33"/>
        <v>62.415439937029113</v>
      </c>
      <c r="AE53" s="168">
        <f t="shared" si="18"/>
        <v>0.84990366798203343</v>
      </c>
      <c r="AF53" s="192">
        <f t="shared" si="19"/>
        <v>0</v>
      </c>
      <c r="AG53" s="192">
        <f t="shared" si="30"/>
        <v>3.8280629009245755</v>
      </c>
      <c r="AH53" s="192">
        <f t="shared" si="20"/>
        <v>1.5280094215101581</v>
      </c>
      <c r="AI53" s="168">
        <f t="shared" si="21"/>
        <v>6.1242106792042543</v>
      </c>
      <c r="AJ53" s="192">
        <f t="shared" si="22"/>
        <v>2.0190359872920842</v>
      </c>
      <c r="AK53" s="132">
        <f t="shared" si="23"/>
        <v>41.056637908424641</v>
      </c>
      <c r="AL53" s="192">
        <f t="shared" si="24"/>
        <v>0.57085431340984338</v>
      </c>
      <c r="AM53" s="192">
        <f t="shared" si="25"/>
        <v>0</v>
      </c>
      <c r="AN53" s="192">
        <f t="shared" si="31"/>
        <v>0</v>
      </c>
      <c r="AO53" s="192">
        <f t="shared" si="26"/>
        <v>0</v>
      </c>
      <c r="AS53" s="132"/>
      <c r="AT53" s="132"/>
      <c r="AU53" s="200"/>
      <c r="AV53" s="132"/>
      <c r="AW53" s="132"/>
      <c r="AX53" s="132"/>
      <c r="AY53" s="132"/>
      <c r="AZ53" s="132"/>
      <c r="BA53" s="167"/>
      <c r="BB53" s="167"/>
      <c r="BD53" s="211">
        <f t="shared" si="29"/>
        <v>42458</v>
      </c>
      <c r="BE53" s="210">
        <v>1</v>
      </c>
      <c r="BF53" s="209">
        <v>0.5</v>
      </c>
      <c r="BG53" s="209">
        <v>2</v>
      </c>
      <c r="BH53" s="210"/>
      <c r="BI53" s="209"/>
      <c r="BJ53" s="209"/>
      <c r="BL53" s="168"/>
    </row>
    <row r="54" spans="1:65" ht="13.5" thickBot="1" x14ac:dyDescent="0.25">
      <c r="A54" s="215">
        <f>A53+1</f>
        <v>42459</v>
      </c>
      <c r="B54" s="190"/>
      <c r="C54" s="168"/>
      <c r="D54" s="198"/>
      <c r="E54" s="132">
        <f t="shared" si="8"/>
        <v>1356.3325791958575</v>
      </c>
      <c r="F54" s="168">
        <f t="shared" si="16"/>
        <v>376.9762816713199</v>
      </c>
      <c r="G54" s="300"/>
      <c r="H54" s="127">
        <f>VLOOKUP(MONTH(A54),ETP_Parametros!$A$6:$D$17,4,FALSE)</f>
        <v>4.838709677419355</v>
      </c>
      <c r="I54" s="230">
        <f>VLOOKUP(A54,P_Q_obs!$A$4:$F$308,5,FALSE)*1</f>
        <v>0.02</v>
      </c>
      <c r="J54" s="230">
        <f t="shared" ref="J54:X63" si="37">I54</f>
        <v>0.02</v>
      </c>
      <c r="K54" s="230">
        <f t="shared" si="37"/>
        <v>0.02</v>
      </c>
      <c r="L54" s="230">
        <f t="shared" si="37"/>
        <v>0.02</v>
      </c>
      <c r="M54" s="230">
        <f t="shared" si="37"/>
        <v>0.02</v>
      </c>
      <c r="N54" s="230">
        <f t="shared" si="37"/>
        <v>0.02</v>
      </c>
      <c r="O54" s="230">
        <f t="shared" si="37"/>
        <v>0.02</v>
      </c>
      <c r="P54" s="230">
        <f t="shared" si="37"/>
        <v>0.02</v>
      </c>
      <c r="Q54" s="230">
        <f t="shared" si="37"/>
        <v>0.02</v>
      </c>
      <c r="R54" s="230">
        <f t="shared" si="37"/>
        <v>0.02</v>
      </c>
      <c r="S54" s="230">
        <f t="shared" si="37"/>
        <v>0.02</v>
      </c>
      <c r="T54" s="230">
        <f t="shared" si="37"/>
        <v>0.02</v>
      </c>
      <c r="U54" s="230">
        <f t="shared" si="37"/>
        <v>0.02</v>
      </c>
      <c r="V54" s="230">
        <f t="shared" si="37"/>
        <v>0.02</v>
      </c>
      <c r="W54" s="230">
        <f t="shared" si="37"/>
        <v>0.02</v>
      </c>
      <c r="X54" s="230">
        <f t="shared" si="37"/>
        <v>0.02</v>
      </c>
      <c r="Y54" s="230">
        <f t="shared" si="36"/>
        <v>0.02</v>
      </c>
      <c r="Z54" s="292">
        <f t="shared" si="34"/>
        <v>0.02</v>
      </c>
      <c r="AA54" s="300"/>
      <c r="AB54" s="191">
        <f t="shared" si="3"/>
        <v>0.02</v>
      </c>
      <c r="AC54" s="139">
        <f t="shared" si="17"/>
        <v>0.29333321099292681</v>
      </c>
      <c r="AD54" s="132">
        <f t="shared" si="33"/>
        <v>58.007212516829931</v>
      </c>
      <c r="AE54" s="168">
        <f t="shared" si="18"/>
        <v>0.79997952443310383</v>
      </c>
      <c r="AF54" s="192">
        <f t="shared" si="19"/>
        <v>0</v>
      </c>
      <c r="AG54" s="192">
        <f t="shared" si="30"/>
        <v>3.4554725946776639</v>
      </c>
      <c r="AH54" s="192">
        <f t="shared" si="20"/>
        <v>1.24608803651444</v>
      </c>
      <c r="AI54" s="168">
        <f t="shared" si="21"/>
        <v>4.6057743280195282</v>
      </c>
      <c r="AJ54" s="192">
        <f t="shared" si="22"/>
        <v>1.5184363511847265</v>
      </c>
      <c r="AK54" s="132">
        <f t="shared" si="23"/>
        <v>41.718245617328954</v>
      </c>
      <c r="AL54" s="192">
        <f t="shared" si="24"/>
        <v>0.58448032761012891</v>
      </c>
      <c r="AM54" s="192">
        <f t="shared" si="25"/>
        <v>0</v>
      </c>
      <c r="AN54" s="192">
        <f t="shared" si="31"/>
        <v>0</v>
      </c>
      <c r="AO54" s="192">
        <f t="shared" si="26"/>
        <v>0</v>
      </c>
      <c r="AS54" s="132"/>
      <c r="AT54" s="132"/>
      <c r="AU54" s="200"/>
      <c r="AV54" s="132"/>
      <c r="AW54" s="132"/>
      <c r="AX54" s="132"/>
      <c r="AY54" s="132"/>
      <c r="AZ54" s="132"/>
      <c r="BA54" s="167"/>
      <c r="BB54" s="167"/>
      <c r="BD54" s="211">
        <f t="shared" si="29"/>
        <v>42459</v>
      </c>
      <c r="BE54" s="210">
        <v>1</v>
      </c>
      <c r="BF54" s="209">
        <v>0.5</v>
      </c>
      <c r="BG54" s="209">
        <v>2</v>
      </c>
      <c r="BH54" s="210"/>
      <c r="BI54" s="209"/>
      <c r="BJ54" s="209"/>
      <c r="BK54" s="168">
        <f>I54</f>
        <v>0.02</v>
      </c>
      <c r="BL54" s="168">
        <f t="shared" ref="BL54:BL63" si="38">AC54</f>
        <v>0.29333321099292681</v>
      </c>
      <c r="BM54" s="168"/>
    </row>
    <row r="55" spans="1:65" ht="13.5" thickBot="1" x14ac:dyDescent="0.25">
      <c r="A55" s="215">
        <f t="shared" ref="A55:A68" si="39">A54+1</f>
        <v>42460</v>
      </c>
      <c r="B55" s="190"/>
      <c r="C55" s="168"/>
      <c r="D55" s="198"/>
      <c r="E55" s="132">
        <f t="shared" si="8"/>
        <v>1119.5858389298428</v>
      </c>
      <c r="F55" s="168">
        <f t="shared" si="16"/>
        <v>383.0510707123546</v>
      </c>
      <c r="G55" s="300"/>
      <c r="H55" s="127">
        <f>VLOOKUP(MONTH(A55),ETP_Parametros!$A$6:$D$17,4,FALSE)</f>
        <v>4.838709677419355</v>
      </c>
      <c r="I55" s="230">
        <f>VLOOKUP(A55,P_Q_obs!$A$4:$F$308,5,FALSE)*1</f>
        <v>0.36</v>
      </c>
      <c r="J55" s="230">
        <f t="shared" si="37"/>
        <v>0.36</v>
      </c>
      <c r="K55" s="230">
        <f t="shared" si="37"/>
        <v>0.36</v>
      </c>
      <c r="L55" s="230">
        <f t="shared" si="37"/>
        <v>0.36</v>
      </c>
      <c r="M55" s="230">
        <f t="shared" si="37"/>
        <v>0.36</v>
      </c>
      <c r="N55" s="230">
        <f t="shared" si="37"/>
        <v>0.36</v>
      </c>
      <c r="O55" s="230">
        <f t="shared" si="37"/>
        <v>0.36</v>
      </c>
      <c r="P55" s="230">
        <f t="shared" si="37"/>
        <v>0.36</v>
      </c>
      <c r="Q55" s="230">
        <f t="shared" si="37"/>
        <v>0.36</v>
      </c>
      <c r="R55" s="230">
        <f t="shared" si="37"/>
        <v>0.36</v>
      </c>
      <c r="S55" s="230">
        <f t="shared" si="37"/>
        <v>0.36</v>
      </c>
      <c r="T55" s="230">
        <f t="shared" si="37"/>
        <v>0.36</v>
      </c>
      <c r="U55" s="230">
        <f t="shared" si="37"/>
        <v>0.36</v>
      </c>
      <c r="V55" s="230">
        <f t="shared" si="37"/>
        <v>0.36</v>
      </c>
      <c r="W55" s="230">
        <f t="shared" si="37"/>
        <v>0.36</v>
      </c>
      <c r="X55" s="230">
        <f t="shared" si="37"/>
        <v>0.36</v>
      </c>
      <c r="Y55" s="230">
        <f t="shared" si="36"/>
        <v>0.36</v>
      </c>
      <c r="Z55" s="292">
        <f t="shared" si="34"/>
        <v>0.36</v>
      </c>
      <c r="AA55" s="300"/>
      <c r="AB55" s="191">
        <f t="shared" si="3"/>
        <v>0.36</v>
      </c>
      <c r="AC55" s="139">
        <f t="shared" si="17"/>
        <v>0.59956022239506246</v>
      </c>
      <c r="AD55" s="132">
        <f t="shared" si="33"/>
        <v>54.340116652438901</v>
      </c>
      <c r="AE55" s="168">
        <f t="shared" si="18"/>
        <v>0.74347921491414859</v>
      </c>
      <c r="AF55" s="192">
        <f t="shared" si="19"/>
        <v>0</v>
      </c>
      <c r="AG55" s="192">
        <f t="shared" si="30"/>
        <v>3.3106931545686171</v>
      </c>
      <c r="AH55" s="192">
        <f t="shared" si="20"/>
        <v>0.95596293221747186</v>
      </c>
      <c r="AI55" s="168">
        <f t="shared" si="21"/>
        <v>3.4638189755091924</v>
      </c>
      <c r="AJ55" s="192">
        <f t="shared" si="22"/>
        <v>1.1419553525103359</v>
      </c>
      <c r="AK55" s="132">
        <f t="shared" si="23"/>
        <v>42.080309606332357</v>
      </c>
      <c r="AL55" s="192">
        <f t="shared" si="24"/>
        <v>0.59389894321407322</v>
      </c>
      <c r="AM55" s="192">
        <f t="shared" si="25"/>
        <v>0</v>
      </c>
      <c r="AN55" s="192">
        <f t="shared" si="31"/>
        <v>0</v>
      </c>
      <c r="AO55" s="192">
        <f t="shared" si="26"/>
        <v>0</v>
      </c>
      <c r="AS55" s="132"/>
      <c r="AT55" s="132"/>
      <c r="AU55" s="200"/>
      <c r="AV55" s="132"/>
      <c r="AW55" s="132"/>
      <c r="AX55" s="132"/>
      <c r="AY55" s="132"/>
      <c r="AZ55" s="132"/>
      <c r="BA55" s="167"/>
      <c r="BB55" s="167"/>
      <c r="BD55" s="211">
        <f t="shared" si="29"/>
        <v>42460</v>
      </c>
      <c r="BE55" s="210">
        <v>1</v>
      </c>
      <c r="BF55" s="209">
        <v>0.5</v>
      </c>
      <c r="BG55" s="209">
        <v>2</v>
      </c>
      <c r="BH55" s="210"/>
      <c r="BI55" s="209"/>
      <c r="BJ55" s="209"/>
      <c r="BK55" s="168">
        <f t="shared" ref="BK55:BK63" si="40">I55</f>
        <v>0.36</v>
      </c>
      <c r="BL55" s="168">
        <f t="shared" si="38"/>
        <v>0.59956022239506246</v>
      </c>
      <c r="BM55" s="168"/>
    </row>
    <row r="56" spans="1:65" ht="13.5" thickBot="1" x14ac:dyDescent="0.25">
      <c r="A56" s="215">
        <f t="shared" si="39"/>
        <v>42461</v>
      </c>
      <c r="B56" s="190"/>
      <c r="C56" s="168"/>
      <c r="D56" s="198"/>
      <c r="E56" s="132">
        <f t="shared" si="8"/>
        <v>940.29388265492844</v>
      </c>
      <c r="F56" s="168">
        <f t="shared" si="16"/>
        <v>386.37549139692271</v>
      </c>
      <c r="G56" s="300"/>
      <c r="H56" s="127">
        <f>VLOOKUP(MONTH(A56),ETP_Parametros!$A$6:$D$17,4,FALSE)</f>
        <v>3.6</v>
      </c>
      <c r="I56" s="230">
        <f>VLOOKUP(A56,P_Q_obs!$A$4:$F$308,5,FALSE)*1</f>
        <v>2.0299999999999998</v>
      </c>
      <c r="J56" s="230">
        <f t="shared" si="37"/>
        <v>2.0299999999999998</v>
      </c>
      <c r="K56" s="230">
        <f t="shared" si="37"/>
        <v>2.0299999999999998</v>
      </c>
      <c r="L56" s="230">
        <f t="shared" si="37"/>
        <v>2.0299999999999998</v>
      </c>
      <c r="M56" s="230">
        <f t="shared" si="37"/>
        <v>2.0299999999999998</v>
      </c>
      <c r="N56" s="230">
        <f t="shared" si="37"/>
        <v>2.0299999999999998</v>
      </c>
      <c r="O56" s="230">
        <f t="shared" si="37"/>
        <v>2.0299999999999998</v>
      </c>
      <c r="P56" s="230">
        <f t="shared" si="37"/>
        <v>2.0299999999999998</v>
      </c>
      <c r="Q56" s="230">
        <f t="shared" si="37"/>
        <v>2.0299999999999998</v>
      </c>
      <c r="R56" s="230">
        <f t="shared" si="37"/>
        <v>2.0299999999999998</v>
      </c>
      <c r="S56" s="230">
        <f t="shared" si="37"/>
        <v>2.0299999999999998</v>
      </c>
      <c r="T56" s="230">
        <f t="shared" si="37"/>
        <v>2.0299999999999998</v>
      </c>
      <c r="U56" s="230">
        <f t="shared" si="37"/>
        <v>2.0299999999999998</v>
      </c>
      <c r="V56" s="230">
        <f t="shared" si="37"/>
        <v>2.0299999999999998</v>
      </c>
      <c r="W56" s="230">
        <f t="shared" si="37"/>
        <v>2.0299999999999998</v>
      </c>
      <c r="X56" s="230">
        <f t="shared" si="37"/>
        <v>2.0299999999999998</v>
      </c>
      <c r="Y56" s="230">
        <f t="shared" si="36"/>
        <v>2.0299999999999998</v>
      </c>
      <c r="Z56" s="292">
        <f t="shared" si="34"/>
        <v>2.0299999999999998</v>
      </c>
      <c r="AA56" s="300"/>
      <c r="AB56" s="191">
        <f t="shared" si="3"/>
        <v>2.0299999999999985</v>
      </c>
      <c r="AC56" s="139">
        <f t="shared" si="17"/>
        <v>1.178770818335189</v>
      </c>
      <c r="AD56" s="132">
        <f t="shared" si="33"/>
        <v>52.222835915747453</v>
      </c>
      <c r="AE56" s="168">
        <f t="shared" si="18"/>
        <v>0.69647799841057434</v>
      </c>
      <c r="AF56" s="192">
        <f t="shared" si="19"/>
        <v>0</v>
      </c>
      <c r="AG56" s="192">
        <f t="shared" si="30"/>
        <v>2.5580298700049524</v>
      </c>
      <c r="AH56" s="192">
        <f t="shared" si="20"/>
        <v>0.73802168502168886</v>
      </c>
      <c r="AI56" s="168">
        <f t="shared" si="21"/>
        <v>2.6049999501944074</v>
      </c>
      <c r="AJ56" s="192">
        <f t="shared" si="22"/>
        <v>0.85881902531478505</v>
      </c>
      <c r="AK56" s="132">
        <f t="shared" si="23"/>
        <v>42.2192780225622</v>
      </c>
      <c r="AL56" s="192">
        <f t="shared" si="24"/>
        <v>0.59905326879184084</v>
      </c>
      <c r="AM56" s="192">
        <f t="shared" si="25"/>
        <v>0</v>
      </c>
      <c r="AN56" s="192">
        <f t="shared" si="31"/>
        <v>0</v>
      </c>
      <c r="AO56" s="192">
        <f t="shared" si="26"/>
        <v>0</v>
      </c>
      <c r="AS56" s="132"/>
      <c r="AT56" s="132"/>
      <c r="AU56" s="200"/>
      <c r="AV56" s="132"/>
      <c r="AW56" s="132"/>
      <c r="AX56" s="132"/>
      <c r="AY56" s="132"/>
      <c r="AZ56" s="132"/>
      <c r="BA56" s="167"/>
      <c r="BB56" s="167"/>
      <c r="BD56" s="211">
        <f t="shared" si="29"/>
        <v>42461</v>
      </c>
      <c r="BE56" s="210">
        <v>1</v>
      </c>
      <c r="BF56" s="209">
        <v>0.5</v>
      </c>
      <c r="BG56" s="209">
        <v>2</v>
      </c>
      <c r="BH56" s="210"/>
      <c r="BI56" s="209"/>
      <c r="BJ56" s="209"/>
      <c r="BK56" s="168">
        <f t="shared" si="40"/>
        <v>2.0299999999999998</v>
      </c>
      <c r="BL56" s="168">
        <f t="shared" si="38"/>
        <v>1.178770818335189</v>
      </c>
      <c r="BM56" s="168"/>
    </row>
    <row r="57" spans="1:65" ht="13.5" thickBot="1" x14ac:dyDescent="0.25">
      <c r="A57" s="215">
        <f t="shared" si="39"/>
        <v>42462</v>
      </c>
      <c r="B57" s="190"/>
      <c r="C57" s="168"/>
      <c r="D57" s="198"/>
      <c r="E57" s="132">
        <f t="shared" si="8"/>
        <v>804.23138541649678</v>
      </c>
      <c r="F57" s="168">
        <f t="shared" si="16"/>
        <v>387.65147987257257</v>
      </c>
      <c r="G57" s="300"/>
      <c r="H57" s="127">
        <f>VLOOKUP(MONTH(A57),ETP_Parametros!$A$6:$D$17,4,FALSE)</f>
        <v>3.6</v>
      </c>
      <c r="I57" s="230">
        <f>VLOOKUP(A57,P_Q_obs!$A$4:$F$308,5,FALSE)*1</f>
        <v>1.4</v>
      </c>
      <c r="J57" s="230">
        <f t="shared" si="37"/>
        <v>1.4</v>
      </c>
      <c r="K57" s="230">
        <f t="shared" si="37"/>
        <v>1.4</v>
      </c>
      <c r="L57" s="230">
        <f t="shared" si="37"/>
        <v>1.4</v>
      </c>
      <c r="M57" s="230">
        <f t="shared" si="37"/>
        <v>1.4</v>
      </c>
      <c r="N57" s="230">
        <f t="shared" si="37"/>
        <v>1.4</v>
      </c>
      <c r="O57" s="230">
        <f t="shared" si="37"/>
        <v>1.4</v>
      </c>
      <c r="P57" s="230">
        <f t="shared" si="37"/>
        <v>1.4</v>
      </c>
      <c r="Q57" s="230">
        <f t="shared" si="37"/>
        <v>1.4</v>
      </c>
      <c r="R57" s="230">
        <f t="shared" si="37"/>
        <v>1.4</v>
      </c>
      <c r="S57" s="230">
        <f t="shared" si="37"/>
        <v>1.4</v>
      </c>
      <c r="T57" s="230">
        <f t="shared" si="37"/>
        <v>1.4</v>
      </c>
      <c r="U57" s="230">
        <f t="shared" si="37"/>
        <v>1.4</v>
      </c>
      <c r="V57" s="230">
        <f t="shared" si="37"/>
        <v>1.4</v>
      </c>
      <c r="W57" s="230">
        <f t="shared" si="37"/>
        <v>1.4</v>
      </c>
      <c r="X57" s="230">
        <f t="shared" si="37"/>
        <v>1.4</v>
      </c>
      <c r="Y57" s="230">
        <f t="shared" si="36"/>
        <v>1.4</v>
      </c>
      <c r="Z57" s="292">
        <f t="shared" si="34"/>
        <v>1.4</v>
      </c>
      <c r="AA57" s="300"/>
      <c r="AB57" s="191">
        <f t="shared" si="3"/>
        <v>1.3999999999999995</v>
      </c>
      <c r="AC57" s="139">
        <f t="shared" si="17"/>
        <v>1.5718208408635403</v>
      </c>
      <c r="AD57" s="132">
        <f t="shared" si="33"/>
        <v>50.538533259988526</v>
      </c>
      <c r="AE57" s="168">
        <f t="shared" si="18"/>
        <v>0.66934078302703059</v>
      </c>
      <c r="AF57" s="192">
        <f t="shared" si="19"/>
        <v>0</v>
      </c>
      <c r="AG57" s="192">
        <f t="shared" si="30"/>
        <v>2.634254732740259</v>
      </c>
      <c r="AH57" s="192">
        <f t="shared" si="20"/>
        <v>0.62186876388220735</v>
      </c>
      <c r="AI57" s="168">
        <f t="shared" si="21"/>
        <v>1.9591164516659818</v>
      </c>
      <c r="AJ57" s="192">
        <f t="shared" si="22"/>
        <v>0.64588349852842575</v>
      </c>
      <c r="AK57" s="132">
        <f t="shared" si="23"/>
        <v>42.240115169945994</v>
      </c>
      <c r="AL57" s="192">
        <f t="shared" si="24"/>
        <v>0.60103161649840775</v>
      </c>
      <c r="AM57" s="192">
        <f t="shared" si="25"/>
        <v>0</v>
      </c>
      <c r="AN57" s="192">
        <f t="shared" si="31"/>
        <v>0</v>
      </c>
      <c r="AO57" s="192">
        <f t="shared" si="26"/>
        <v>0</v>
      </c>
      <c r="AS57" s="132"/>
      <c r="AT57" s="132"/>
      <c r="AU57" s="200"/>
      <c r="AV57" s="132"/>
      <c r="AW57" s="132"/>
      <c r="AX57" s="132"/>
      <c r="AY57" s="132"/>
      <c r="AZ57" s="132"/>
      <c r="BA57" s="167"/>
      <c r="BB57" s="167"/>
      <c r="BD57" s="211">
        <f t="shared" si="29"/>
        <v>42462</v>
      </c>
      <c r="BE57" s="210">
        <v>1</v>
      </c>
      <c r="BF57" s="209">
        <v>0.5</v>
      </c>
      <c r="BG57" s="209">
        <v>2</v>
      </c>
      <c r="BH57" s="210"/>
      <c r="BI57" s="209"/>
      <c r="BJ57" s="209"/>
      <c r="BK57" s="168">
        <f t="shared" si="40"/>
        <v>1.4</v>
      </c>
      <c r="BL57" s="168">
        <f t="shared" si="38"/>
        <v>1.5718208408635403</v>
      </c>
      <c r="BM57" s="168"/>
    </row>
    <row r="58" spans="1:65" ht="13.5" thickBot="1" x14ac:dyDescent="0.25">
      <c r="A58" s="215">
        <f t="shared" si="39"/>
        <v>42463</v>
      </c>
      <c r="B58" s="190"/>
      <c r="C58" s="168"/>
      <c r="D58" s="198"/>
      <c r="E58" s="132">
        <f t="shared" si="8"/>
        <v>857.64759320018152</v>
      </c>
      <c r="F58" s="168">
        <f t="shared" si="16"/>
        <v>387.8428036326647</v>
      </c>
      <c r="G58" s="300"/>
      <c r="H58" s="127">
        <f>VLOOKUP(MONTH(A58),ETP_Parametros!$A$6:$D$17,4,FALSE)</f>
        <v>3.6</v>
      </c>
      <c r="I58" s="230">
        <f>VLOOKUP(A58,P_Q_obs!$A$4:$F$308,5,FALSE)*1</f>
        <v>1.1599999999999999</v>
      </c>
      <c r="J58" s="230">
        <f t="shared" si="37"/>
        <v>1.1599999999999999</v>
      </c>
      <c r="K58" s="230">
        <f t="shared" si="37"/>
        <v>1.1599999999999999</v>
      </c>
      <c r="L58" s="230">
        <f t="shared" si="37"/>
        <v>1.1599999999999999</v>
      </c>
      <c r="M58" s="230">
        <f t="shared" si="37"/>
        <v>1.1599999999999999</v>
      </c>
      <c r="N58" s="230">
        <f t="shared" si="37"/>
        <v>1.1599999999999999</v>
      </c>
      <c r="O58" s="230">
        <f t="shared" si="37"/>
        <v>1.1599999999999999</v>
      </c>
      <c r="P58" s="230">
        <f t="shared" si="37"/>
        <v>1.1599999999999999</v>
      </c>
      <c r="Q58" s="230">
        <f t="shared" si="37"/>
        <v>1.1599999999999999</v>
      </c>
      <c r="R58" s="230">
        <f t="shared" si="37"/>
        <v>1.1599999999999999</v>
      </c>
      <c r="S58" s="230">
        <f t="shared" si="37"/>
        <v>1.1599999999999999</v>
      </c>
      <c r="T58" s="230">
        <f t="shared" si="37"/>
        <v>1.1599999999999999</v>
      </c>
      <c r="U58" s="230">
        <f t="shared" si="37"/>
        <v>1.1599999999999999</v>
      </c>
      <c r="V58" s="230">
        <f t="shared" si="37"/>
        <v>1.1599999999999999</v>
      </c>
      <c r="W58" s="230">
        <f t="shared" si="37"/>
        <v>1.1599999999999999</v>
      </c>
      <c r="X58" s="230">
        <f t="shared" si="37"/>
        <v>1.1599999999999999</v>
      </c>
      <c r="Y58" s="230">
        <f t="shared" si="36"/>
        <v>1.1599999999999999</v>
      </c>
      <c r="Z58" s="292">
        <f t="shared" si="34"/>
        <v>1.1599999999999999</v>
      </c>
      <c r="AA58" s="300"/>
      <c r="AB58" s="191">
        <f t="shared" si="3"/>
        <v>1.1599999999999999</v>
      </c>
      <c r="AC58" s="139">
        <f t="shared" si="17"/>
        <v>7.6987006572748253</v>
      </c>
      <c r="AD58" s="132">
        <f t="shared" si="33"/>
        <v>53.564884474519893</v>
      </c>
      <c r="AE58" s="168">
        <f t="shared" si="18"/>
        <v>0.64775305346981149</v>
      </c>
      <c r="AF58" s="192">
        <f t="shared" si="19"/>
        <v>0.97871477143758567</v>
      </c>
      <c r="AG58" s="192">
        <f t="shared" si="30"/>
        <v>3.1591048056504483</v>
      </c>
      <c r="AH58" s="192">
        <f t="shared" si="20"/>
        <v>0.53452986565542426</v>
      </c>
      <c r="AI58" s="168">
        <f t="shared" si="21"/>
        <v>2.2094255629335668</v>
      </c>
      <c r="AJ58" s="192">
        <f t="shared" si="22"/>
        <v>0.72840566017000075</v>
      </c>
      <c r="AK58" s="132">
        <f t="shared" si="23"/>
        <v>42.173316782472497</v>
      </c>
      <c r="AL58" s="192">
        <f t="shared" si="24"/>
        <v>0.60132825312892069</v>
      </c>
      <c r="AM58" s="192">
        <f t="shared" si="25"/>
        <v>0</v>
      </c>
      <c r="AN58" s="192">
        <f t="shared" si="31"/>
        <v>0</v>
      </c>
      <c r="AO58" s="192">
        <f t="shared" si="26"/>
        <v>0</v>
      </c>
      <c r="AS58" s="132"/>
      <c r="AT58" s="132"/>
      <c r="AU58" s="200"/>
      <c r="AV58" s="132"/>
      <c r="AW58" s="132"/>
      <c r="AX58" s="132"/>
      <c r="AY58" s="132"/>
      <c r="AZ58" s="132"/>
      <c r="BA58" s="167"/>
      <c r="BB58" s="167"/>
      <c r="BD58" s="211">
        <f t="shared" si="29"/>
        <v>42463</v>
      </c>
      <c r="BE58" s="210">
        <v>1</v>
      </c>
      <c r="BF58" s="209">
        <v>0.5</v>
      </c>
      <c r="BG58" s="209">
        <v>2</v>
      </c>
      <c r="BH58" s="210"/>
      <c r="BI58" s="209"/>
      <c r="BJ58" s="209"/>
      <c r="BK58" s="168">
        <f t="shared" si="40"/>
        <v>1.1599999999999999</v>
      </c>
      <c r="BL58" s="168">
        <f t="shared" si="38"/>
        <v>7.6987006572748253</v>
      </c>
      <c r="BM58" s="168"/>
    </row>
    <row r="59" spans="1:65" ht="13.5" thickBot="1" x14ac:dyDescent="0.25">
      <c r="A59" s="215">
        <f t="shared" si="39"/>
        <v>42464</v>
      </c>
      <c r="B59" s="190"/>
      <c r="C59" s="168"/>
      <c r="D59" s="198"/>
      <c r="E59" s="132">
        <f t="shared" si="8"/>
        <v>1375.8435509219739</v>
      </c>
      <c r="F59" s="168">
        <f t="shared" si="16"/>
        <v>387.22947022266737</v>
      </c>
      <c r="G59" s="300"/>
      <c r="H59" s="127">
        <f>VLOOKUP(MONTH(A59),ETP_Parametros!$A$6:$D$17,4,FALSE)</f>
        <v>3.6</v>
      </c>
      <c r="I59" s="230">
        <f>VLOOKUP(A59,P_Q_obs!$A$4:$F$308,5,FALSE)*1</f>
        <v>31.37</v>
      </c>
      <c r="J59" s="230">
        <f t="shared" si="37"/>
        <v>31.37</v>
      </c>
      <c r="K59" s="230">
        <f t="shared" si="37"/>
        <v>31.37</v>
      </c>
      <c r="L59" s="230">
        <f t="shared" si="37"/>
        <v>31.37</v>
      </c>
      <c r="M59" s="230">
        <f t="shared" si="37"/>
        <v>31.37</v>
      </c>
      <c r="N59" s="230">
        <f t="shared" si="37"/>
        <v>31.37</v>
      </c>
      <c r="O59" s="230">
        <f t="shared" si="37"/>
        <v>31.37</v>
      </c>
      <c r="P59" s="230">
        <f t="shared" si="37"/>
        <v>31.37</v>
      </c>
      <c r="Q59" s="230">
        <f t="shared" si="37"/>
        <v>31.37</v>
      </c>
      <c r="R59" s="230">
        <f t="shared" si="37"/>
        <v>31.37</v>
      </c>
      <c r="S59" s="230">
        <f t="shared" si="37"/>
        <v>31.37</v>
      </c>
      <c r="T59" s="230">
        <f t="shared" si="37"/>
        <v>31.37</v>
      </c>
      <c r="U59" s="230">
        <f t="shared" si="37"/>
        <v>31.37</v>
      </c>
      <c r="V59" s="230">
        <f t="shared" si="37"/>
        <v>31.37</v>
      </c>
      <c r="W59" s="230">
        <f t="shared" si="37"/>
        <v>31.37</v>
      </c>
      <c r="X59" s="230">
        <f t="shared" si="37"/>
        <v>31.37</v>
      </c>
      <c r="Y59" s="230">
        <f t="shared" si="36"/>
        <v>31.37</v>
      </c>
      <c r="Z59" s="292">
        <f t="shared" si="34"/>
        <v>31.37</v>
      </c>
      <c r="AA59" s="300"/>
      <c r="AB59" s="191">
        <f t="shared" si="3"/>
        <v>31.370000000000008</v>
      </c>
      <c r="AC59" s="139">
        <f t="shared" si="17"/>
        <v>14.041335333507957</v>
      </c>
      <c r="AD59" s="132">
        <f t="shared" si="33"/>
        <v>59.779767673652074</v>
      </c>
      <c r="AE59" s="168">
        <f t="shared" si="18"/>
        <v>0.68654183726771323</v>
      </c>
      <c r="AF59" s="192">
        <f t="shared" si="19"/>
        <v>3.9726768301729569</v>
      </c>
      <c r="AG59" s="192">
        <f t="shared" si="30"/>
        <v>3.1591048056504483</v>
      </c>
      <c r="AH59" s="192">
        <f t="shared" si="20"/>
        <v>0.69467049855236207</v>
      </c>
      <c r="AI59" s="168">
        <f t="shared" si="21"/>
        <v>4.649312374579802</v>
      </c>
      <c r="AJ59" s="192">
        <f t="shared" si="22"/>
        <v>1.5327900185267216</v>
      </c>
      <c r="AK59" s="132">
        <f t="shared" si="23"/>
        <v>42.267609966535424</v>
      </c>
      <c r="AL59" s="192">
        <f t="shared" si="24"/>
        <v>0.60037731448943876</v>
      </c>
      <c r="AM59" s="192">
        <f t="shared" si="25"/>
        <v>0</v>
      </c>
      <c r="AN59" s="192">
        <f t="shared" si="31"/>
        <v>0</v>
      </c>
      <c r="AO59" s="192">
        <f t="shared" si="26"/>
        <v>0</v>
      </c>
      <c r="AS59" s="132"/>
      <c r="AT59" s="132"/>
      <c r="AU59" s="200"/>
      <c r="AV59" s="132"/>
      <c r="AW59" s="132"/>
      <c r="AX59" s="132"/>
      <c r="AY59" s="132"/>
      <c r="AZ59" s="132"/>
      <c r="BA59" s="167"/>
      <c r="BB59" s="167"/>
      <c r="BD59" s="211">
        <f t="shared" si="29"/>
        <v>42464</v>
      </c>
      <c r="BE59" s="210">
        <v>1</v>
      </c>
      <c r="BF59" s="209">
        <v>0.5</v>
      </c>
      <c r="BG59" s="209">
        <v>2</v>
      </c>
      <c r="BH59" s="210"/>
      <c r="BI59" s="209"/>
      <c r="BJ59" s="209"/>
      <c r="BK59" s="168">
        <f t="shared" si="40"/>
        <v>31.37</v>
      </c>
      <c r="BL59" s="168">
        <f t="shared" si="38"/>
        <v>14.041335333507957</v>
      </c>
      <c r="BM59" s="168"/>
    </row>
    <row r="60" spans="1:65" ht="13.5" thickBot="1" x14ac:dyDescent="0.25">
      <c r="A60" s="215">
        <f t="shared" si="39"/>
        <v>42465</v>
      </c>
      <c r="B60" s="190"/>
      <c r="C60" s="168"/>
      <c r="D60" s="198"/>
      <c r="E60" s="132">
        <f t="shared" si="8"/>
        <v>2449.9894700483337</v>
      </c>
      <c r="F60" s="168">
        <f t="shared" si="16"/>
        <v>388.09525699250162</v>
      </c>
      <c r="G60" s="300"/>
      <c r="H60" s="127">
        <f>VLOOKUP(MONTH(A60),ETP_Parametros!$A$6:$D$17,4,FALSE)</f>
        <v>3.6</v>
      </c>
      <c r="I60" s="230">
        <f>VLOOKUP(A60,P_Q_obs!$A$4:$F$308,5,FALSE)*1</f>
        <v>10.64</v>
      </c>
      <c r="J60" s="230">
        <f t="shared" si="37"/>
        <v>10.64</v>
      </c>
      <c r="K60" s="230">
        <f t="shared" si="37"/>
        <v>10.64</v>
      </c>
      <c r="L60" s="230">
        <f t="shared" si="37"/>
        <v>10.64</v>
      </c>
      <c r="M60" s="230">
        <f t="shared" si="37"/>
        <v>10.64</v>
      </c>
      <c r="N60" s="230">
        <f t="shared" si="37"/>
        <v>10.64</v>
      </c>
      <c r="O60" s="230">
        <f t="shared" si="37"/>
        <v>10.64</v>
      </c>
      <c r="P60" s="230">
        <f t="shared" si="37"/>
        <v>10.64</v>
      </c>
      <c r="Q60" s="230">
        <f t="shared" si="37"/>
        <v>10.64</v>
      </c>
      <c r="R60" s="230">
        <f t="shared" si="37"/>
        <v>10.64</v>
      </c>
      <c r="S60" s="230">
        <f t="shared" si="37"/>
        <v>10.64</v>
      </c>
      <c r="T60" s="230">
        <f t="shared" si="37"/>
        <v>10.64</v>
      </c>
      <c r="U60" s="230">
        <f t="shared" si="37"/>
        <v>10.64</v>
      </c>
      <c r="V60" s="230">
        <f t="shared" si="37"/>
        <v>10.64</v>
      </c>
      <c r="W60" s="230">
        <f t="shared" si="37"/>
        <v>10.64</v>
      </c>
      <c r="X60" s="230">
        <f t="shared" si="37"/>
        <v>10.64</v>
      </c>
      <c r="Y60" s="230">
        <f t="shared" si="36"/>
        <v>10.64</v>
      </c>
      <c r="Z60" s="292">
        <f t="shared" si="34"/>
        <v>10.64</v>
      </c>
      <c r="AA60" s="300"/>
      <c r="AB60" s="191">
        <f t="shared" si="3"/>
        <v>10.64</v>
      </c>
      <c r="AC60" s="139">
        <f t="shared" si="17"/>
        <v>19.059769100266276</v>
      </c>
      <c r="AD60" s="132">
        <f t="shared" si="33"/>
        <v>66.367167217547248</v>
      </c>
      <c r="AE60" s="168">
        <f t="shared" si="18"/>
        <v>0.76619807795215089</v>
      </c>
      <c r="AF60" s="192">
        <f t="shared" si="19"/>
        <v>8.2443348005123624</v>
      </c>
      <c r="AG60" s="192">
        <f t="shared" si="30"/>
        <v>3.1591048056504483</v>
      </c>
      <c r="AH60" s="192">
        <f t="shared" si="20"/>
        <v>1.0689299502082954</v>
      </c>
      <c r="AI60" s="168">
        <f t="shared" si="21"/>
        <v>9.6967972305775056</v>
      </c>
      <c r="AJ60" s="192">
        <f t="shared" si="22"/>
        <v>3.1968499445146592</v>
      </c>
      <c r="AK60" s="132">
        <f t="shared" si="23"/>
        <v>42.734820249009587</v>
      </c>
      <c r="AL60" s="192">
        <f t="shared" si="24"/>
        <v>0.60171966773413033</v>
      </c>
      <c r="AM60" s="192">
        <f t="shared" si="25"/>
        <v>0</v>
      </c>
      <c r="AN60" s="192">
        <f t="shared" si="31"/>
        <v>0</v>
      </c>
      <c r="AO60" s="192">
        <f t="shared" si="26"/>
        <v>0</v>
      </c>
      <c r="AS60" s="132"/>
      <c r="AT60" s="132"/>
      <c r="AU60" s="200"/>
      <c r="AV60" s="132"/>
      <c r="AW60" s="132"/>
      <c r="AX60" s="132"/>
      <c r="AY60" s="132"/>
      <c r="AZ60" s="132"/>
      <c r="BA60" s="167"/>
      <c r="BB60" s="167"/>
      <c r="BD60" s="211">
        <f t="shared" si="29"/>
        <v>42465</v>
      </c>
      <c r="BE60" s="210">
        <v>1</v>
      </c>
      <c r="BF60" s="209">
        <v>0.5</v>
      </c>
      <c r="BG60" s="209">
        <v>2</v>
      </c>
      <c r="BH60" s="210"/>
      <c r="BI60" s="209"/>
      <c r="BJ60" s="209"/>
      <c r="BK60" s="168">
        <f t="shared" si="40"/>
        <v>10.64</v>
      </c>
      <c r="BL60" s="168">
        <f t="shared" si="38"/>
        <v>19.059769100266276</v>
      </c>
      <c r="BM60" s="168"/>
    </row>
    <row r="61" spans="1:65" ht="13.5" thickBot="1" x14ac:dyDescent="0.25">
      <c r="A61" s="215">
        <f t="shared" si="39"/>
        <v>42466</v>
      </c>
      <c r="B61" s="190"/>
      <c r="C61" s="168"/>
      <c r="D61" s="198"/>
      <c r="E61" s="132">
        <f t="shared" si="8"/>
        <v>2780.2104182988674</v>
      </c>
      <c r="F61" s="168">
        <f t="shared" si="16"/>
        <v>392.38511617285059</v>
      </c>
      <c r="G61" s="300"/>
      <c r="H61" s="127">
        <f>VLOOKUP(MONTH(A61),ETP_Parametros!$A$6:$D$17,4,FALSE)</f>
        <v>3.6</v>
      </c>
      <c r="I61" s="230">
        <f>VLOOKUP(A61,P_Q_obs!$A$4:$F$308,5,FALSE)*1</f>
        <v>11.79</v>
      </c>
      <c r="J61" s="230">
        <f t="shared" si="37"/>
        <v>11.79</v>
      </c>
      <c r="K61" s="230">
        <f t="shared" si="37"/>
        <v>11.79</v>
      </c>
      <c r="L61" s="230">
        <f t="shared" si="37"/>
        <v>11.79</v>
      </c>
      <c r="M61" s="230">
        <f t="shared" si="37"/>
        <v>11.79</v>
      </c>
      <c r="N61" s="230">
        <f t="shared" si="37"/>
        <v>11.79</v>
      </c>
      <c r="O61" s="230">
        <f t="shared" si="37"/>
        <v>11.79</v>
      </c>
      <c r="P61" s="230">
        <f t="shared" si="37"/>
        <v>11.79</v>
      </c>
      <c r="Q61" s="230">
        <f t="shared" si="37"/>
        <v>11.79</v>
      </c>
      <c r="R61" s="230">
        <f t="shared" si="37"/>
        <v>11.79</v>
      </c>
      <c r="S61" s="230">
        <f t="shared" si="37"/>
        <v>11.79</v>
      </c>
      <c r="T61" s="230">
        <f t="shared" si="37"/>
        <v>11.79</v>
      </c>
      <c r="U61" s="230">
        <f t="shared" si="37"/>
        <v>11.79</v>
      </c>
      <c r="V61" s="230">
        <f t="shared" si="37"/>
        <v>11.79</v>
      </c>
      <c r="W61" s="230">
        <f t="shared" si="37"/>
        <v>11.79</v>
      </c>
      <c r="X61" s="230">
        <f t="shared" si="37"/>
        <v>11.79</v>
      </c>
      <c r="Y61" s="230">
        <f t="shared" si="36"/>
        <v>11.79</v>
      </c>
      <c r="Z61" s="292">
        <f t="shared" si="34"/>
        <v>11.79</v>
      </c>
      <c r="AA61" s="300"/>
      <c r="AB61" s="191">
        <f t="shared" si="3"/>
        <v>11.789999999999997</v>
      </c>
      <c r="AC61" s="139">
        <f t="shared" si="17"/>
        <v>12.855252900017149</v>
      </c>
      <c r="AD61" s="132">
        <f t="shared" si="33"/>
        <v>69.296038500892294</v>
      </c>
      <c r="AE61" s="168">
        <f t="shared" si="18"/>
        <v>0.85062886558567208</v>
      </c>
      <c r="AF61" s="192">
        <f t="shared" si="19"/>
        <v>5.2349954707277959</v>
      </c>
      <c r="AG61" s="192">
        <f t="shared" si="30"/>
        <v>3.1591048056504483</v>
      </c>
      <c r="AH61" s="192">
        <f t="shared" si="20"/>
        <v>1.5322813402938662</v>
      </c>
      <c r="AI61" s="168">
        <f t="shared" si="21"/>
        <v>11.229605102990551</v>
      </c>
      <c r="AJ61" s="192">
        <f t="shared" si="22"/>
        <v>3.7021875983147519</v>
      </c>
      <c r="AK61" s="132">
        <f t="shared" si="23"/>
        <v>43.658730738401999</v>
      </c>
      <c r="AL61" s="192">
        <f t="shared" si="24"/>
        <v>0.6083708509014516</v>
      </c>
      <c r="AM61" s="192">
        <f t="shared" si="25"/>
        <v>0</v>
      </c>
      <c r="AN61" s="192">
        <f t="shared" si="31"/>
        <v>0</v>
      </c>
      <c r="AO61" s="192">
        <f t="shared" si="26"/>
        <v>0</v>
      </c>
      <c r="AS61" s="132"/>
      <c r="AT61" s="132"/>
      <c r="AU61" s="200"/>
      <c r="AV61" s="132"/>
      <c r="AW61" s="132"/>
      <c r="AX61" s="132"/>
      <c r="AY61" s="132"/>
      <c r="AZ61" s="132"/>
      <c r="BA61" s="167"/>
      <c r="BB61" s="167"/>
      <c r="BD61" s="211">
        <f t="shared" si="29"/>
        <v>42466</v>
      </c>
      <c r="BE61" s="210">
        <v>1</v>
      </c>
      <c r="BF61" s="209">
        <v>0.5</v>
      </c>
      <c r="BG61" s="209">
        <v>2</v>
      </c>
      <c r="BH61" s="210"/>
      <c r="BI61" s="209"/>
      <c r="BJ61" s="209"/>
      <c r="BK61" s="168">
        <f t="shared" si="40"/>
        <v>11.79</v>
      </c>
      <c r="BL61" s="168">
        <f t="shared" si="38"/>
        <v>12.855252900017149</v>
      </c>
      <c r="BM61" s="168"/>
    </row>
    <row r="62" spans="1:65" ht="13.5" thickBot="1" x14ac:dyDescent="0.25">
      <c r="A62" s="215">
        <f t="shared" si="39"/>
        <v>42467</v>
      </c>
      <c r="B62" s="190"/>
      <c r="C62" s="168"/>
      <c r="D62" s="198"/>
      <c r="E62" s="132">
        <f t="shared" si="8"/>
        <v>3969.2032686488378</v>
      </c>
      <c r="F62" s="168">
        <f t="shared" si="16"/>
        <v>400.86833249624107</v>
      </c>
      <c r="G62" s="300"/>
      <c r="H62" s="127">
        <f>VLOOKUP(MONTH(A62),ETP_Parametros!$A$6:$D$17,4,FALSE)</f>
        <v>3.6</v>
      </c>
      <c r="I62" s="230">
        <f>VLOOKUP(A62,P_Q_obs!$A$4:$F$308,5,FALSE)*1</f>
        <v>20.09</v>
      </c>
      <c r="J62" s="230">
        <f t="shared" si="37"/>
        <v>20.09</v>
      </c>
      <c r="K62" s="230">
        <f t="shared" si="37"/>
        <v>20.09</v>
      </c>
      <c r="L62" s="230">
        <f t="shared" si="37"/>
        <v>20.09</v>
      </c>
      <c r="M62" s="230">
        <f t="shared" si="37"/>
        <v>20.09</v>
      </c>
      <c r="N62" s="230">
        <f t="shared" si="37"/>
        <v>20.09</v>
      </c>
      <c r="O62" s="230">
        <f t="shared" si="37"/>
        <v>20.09</v>
      </c>
      <c r="P62" s="230">
        <f t="shared" si="37"/>
        <v>20.09</v>
      </c>
      <c r="Q62" s="230">
        <f t="shared" si="37"/>
        <v>20.09</v>
      </c>
      <c r="R62" s="230">
        <f t="shared" si="37"/>
        <v>20.09</v>
      </c>
      <c r="S62" s="230">
        <f t="shared" si="37"/>
        <v>20.09</v>
      </c>
      <c r="T62" s="230">
        <f t="shared" si="37"/>
        <v>20.09</v>
      </c>
      <c r="U62" s="230">
        <f t="shared" si="37"/>
        <v>20.09</v>
      </c>
      <c r="V62" s="230">
        <f t="shared" si="37"/>
        <v>20.09</v>
      </c>
      <c r="W62" s="230">
        <f t="shared" si="37"/>
        <v>20.09</v>
      </c>
      <c r="X62" s="230">
        <f t="shared" si="37"/>
        <v>20.09</v>
      </c>
      <c r="Y62" s="230">
        <f t="shared" si="36"/>
        <v>20.09</v>
      </c>
      <c r="Z62" s="292">
        <f t="shared" si="34"/>
        <v>20.09</v>
      </c>
      <c r="AA62" s="300"/>
      <c r="AB62" s="191">
        <f t="shared" si="3"/>
        <v>20.09</v>
      </c>
      <c r="AC62" s="139">
        <f t="shared" si="17"/>
        <v>18.830553884262144</v>
      </c>
      <c r="AD62" s="132">
        <f t="shared" si="33"/>
        <v>72.122890872995384</v>
      </c>
      <c r="AE62" s="168">
        <f t="shared" si="18"/>
        <v>0.88816824780808423</v>
      </c>
      <c r="AF62" s="192">
        <f t="shared" si="19"/>
        <v>11.084270835930267</v>
      </c>
      <c r="AG62" s="192">
        <f t="shared" si="30"/>
        <v>3.1591048056504483</v>
      </c>
      <c r="AH62" s="192">
        <f t="shared" si="20"/>
        <v>1.760325870578336</v>
      </c>
      <c r="AI62" s="168">
        <f t="shared" si="21"/>
        <v>16.781375158610292</v>
      </c>
      <c r="AJ62" s="192">
        <f t="shared" si="22"/>
        <v>5.5325007803105253</v>
      </c>
      <c r="AK62" s="132">
        <f t="shared" si="23"/>
        <v>44.797533012675643</v>
      </c>
      <c r="AL62" s="192">
        <f t="shared" si="24"/>
        <v>0.62152359630469145</v>
      </c>
      <c r="AM62" s="192">
        <f t="shared" si="25"/>
        <v>0</v>
      </c>
      <c r="AN62" s="192">
        <f t="shared" si="31"/>
        <v>0</v>
      </c>
      <c r="AO62" s="192">
        <f t="shared" si="26"/>
        <v>0</v>
      </c>
      <c r="AS62" s="132"/>
      <c r="AT62" s="132"/>
      <c r="AU62" s="200"/>
      <c r="AV62" s="132"/>
      <c r="AW62" s="132"/>
      <c r="AX62" s="132"/>
      <c r="AY62" s="132"/>
      <c r="AZ62" s="132"/>
      <c r="BA62" s="167"/>
      <c r="BB62" s="167"/>
      <c r="BD62" s="211">
        <f t="shared" si="29"/>
        <v>42467</v>
      </c>
      <c r="BE62" s="210">
        <v>1</v>
      </c>
      <c r="BF62" s="209">
        <v>0.5</v>
      </c>
      <c r="BG62" s="209">
        <v>2</v>
      </c>
      <c r="BH62" s="210"/>
      <c r="BI62" s="209"/>
      <c r="BJ62" s="209"/>
      <c r="BK62" s="168">
        <f t="shared" si="40"/>
        <v>20.09</v>
      </c>
      <c r="BL62" s="168">
        <f t="shared" si="38"/>
        <v>18.830553884262144</v>
      </c>
      <c r="BM62" s="168"/>
    </row>
    <row r="63" spans="1:65" ht="13.5" thickBot="1" x14ac:dyDescent="0.25">
      <c r="A63" s="215">
        <f t="shared" si="39"/>
        <v>42468</v>
      </c>
      <c r="B63" s="190"/>
      <c r="C63" s="168"/>
      <c r="D63" s="198"/>
      <c r="E63" s="132">
        <f t="shared" si="8"/>
        <v>5134.4447450760745</v>
      </c>
      <c r="F63" s="168">
        <f t="shared" si="16"/>
        <v>411.32465500058402</v>
      </c>
      <c r="G63" s="300"/>
      <c r="H63" s="127">
        <f>VLOOKUP(MONTH(A63),ETP_Parametros!$A$6:$D$17,4,FALSE)</f>
        <v>3.6</v>
      </c>
      <c r="I63" s="230">
        <f>VLOOKUP(A63,P_Q_obs!$A$4:$F$308,5,FALSE)*1</f>
        <v>28.69</v>
      </c>
      <c r="J63" s="230">
        <f t="shared" si="37"/>
        <v>28.69</v>
      </c>
      <c r="K63" s="230">
        <f t="shared" si="37"/>
        <v>28.69</v>
      </c>
      <c r="L63" s="230">
        <f t="shared" si="37"/>
        <v>28.69</v>
      </c>
      <c r="M63" s="230">
        <f t="shared" si="37"/>
        <v>28.69</v>
      </c>
      <c r="N63" s="230">
        <f t="shared" si="37"/>
        <v>28.69</v>
      </c>
      <c r="O63" s="230">
        <f t="shared" si="37"/>
        <v>28.69</v>
      </c>
      <c r="P63" s="230">
        <f t="shared" si="37"/>
        <v>28.69</v>
      </c>
      <c r="Q63" s="230">
        <f t="shared" si="37"/>
        <v>28.69</v>
      </c>
      <c r="R63" s="230">
        <f t="shared" si="37"/>
        <v>28.69</v>
      </c>
      <c r="S63" s="230">
        <f t="shared" si="37"/>
        <v>28.69</v>
      </c>
      <c r="T63" s="230">
        <f t="shared" si="37"/>
        <v>28.69</v>
      </c>
      <c r="U63" s="230">
        <f t="shared" si="37"/>
        <v>28.69</v>
      </c>
      <c r="V63" s="230">
        <f t="shared" si="37"/>
        <v>28.69</v>
      </c>
      <c r="W63" s="230">
        <f t="shared" si="37"/>
        <v>28.69</v>
      </c>
      <c r="X63" s="230">
        <f t="shared" si="37"/>
        <v>28.69</v>
      </c>
      <c r="Y63" s="230">
        <f t="shared" si="36"/>
        <v>28.69</v>
      </c>
      <c r="Z63" s="292">
        <f t="shared" si="34"/>
        <v>28.69</v>
      </c>
      <c r="AA63" s="300"/>
      <c r="AB63" s="191">
        <f t="shared" si="3"/>
        <v>28.689999999999994</v>
      </c>
      <c r="AC63" s="139">
        <f t="shared" si="17"/>
        <v>19.142127591329871</v>
      </c>
      <c r="AD63" s="132">
        <f t="shared" si="33"/>
        <v>73.358904879065676</v>
      </c>
      <c r="AE63" s="168">
        <f t="shared" si="18"/>
        <v>0.92440005228721911</v>
      </c>
      <c r="AF63" s="192">
        <f t="shared" si="19"/>
        <v>12.753721075433939</v>
      </c>
      <c r="AG63" s="192">
        <f t="shared" si="30"/>
        <v>3.1591048056504483</v>
      </c>
      <c r="AH63" s="192">
        <f t="shared" si="20"/>
        <v>1.9932877041751944</v>
      </c>
      <c r="AI63" s="168">
        <f t="shared" si="21"/>
        <v>22.212166618020788</v>
      </c>
      <c r="AJ63" s="192">
        <f t="shared" si="22"/>
        <v>7.3229296160234432</v>
      </c>
      <c r="AK63" s="132">
        <f t="shared" si="23"/>
        <v>46.153085186002571</v>
      </c>
      <c r="AL63" s="192">
        <f t="shared" si="24"/>
        <v>0.63773553084826584</v>
      </c>
      <c r="AM63" s="192">
        <f t="shared" si="25"/>
        <v>0</v>
      </c>
      <c r="AN63" s="192">
        <f t="shared" si="31"/>
        <v>0</v>
      </c>
      <c r="AO63" s="192">
        <f t="shared" si="26"/>
        <v>0</v>
      </c>
      <c r="AS63" s="132"/>
      <c r="AT63" s="132"/>
      <c r="AU63" s="200"/>
      <c r="AV63" s="132"/>
      <c r="AW63" s="132"/>
      <c r="AX63" s="132"/>
      <c r="AY63" s="132"/>
      <c r="AZ63" s="132"/>
      <c r="BA63" s="167"/>
      <c r="BB63" s="167"/>
      <c r="BD63" s="211">
        <f t="shared" si="29"/>
        <v>42468</v>
      </c>
      <c r="BE63" s="210">
        <v>1</v>
      </c>
      <c r="BF63" s="209">
        <v>0.5</v>
      </c>
      <c r="BG63" s="209">
        <v>2</v>
      </c>
      <c r="BH63" s="210"/>
      <c r="BI63" s="209"/>
      <c r="BJ63" s="209"/>
      <c r="BK63" s="168">
        <f t="shared" si="40"/>
        <v>28.69</v>
      </c>
      <c r="BL63" s="168">
        <f t="shared" si="38"/>
        <v>19.142127591329871</v>
      </c>
      <c r="BM63" s="168"/>
    </row>
    <row r="64" spans="1:65" ht="13.5" thickBot="1" x14ac:dyDescent="0.25">
      <c r="A64" s="215">
        <f>A63+1</f>
        <v>42469</v>
      </c>
      <c r="B64" s="190"/>
      <c r="C64" s="168"/>
      <c r="D64" s="198"/>
      <c r="E64" s="132">
        <f>(AJ64+AL64+AO64)*Y$9/86.4</f>
        <v>5288.6224137951003</v>
      </c>
      <c r="F64" s="168">
        <f>(AL64*$Y$9)/86.4</f>
        <v>423.77114462918092</v>
      </c>
      <c r="G64" s="300"/>
      <c r="H64" s="127">
        <f>VLOOKUP(MONTH(A64),ETP_Parametros!$A$6:$D$17,4,FALSE)</f>
        <v>3.6</v>
      </c>
      <c r="I64" s="230">
        <f>VLOOKUP(A64,P_Q_obs!$A$4:$F$308,5,FALSE)*1</f>
        <v>2.25</v>
      </c>
      <c r="J64" s="230">
        <f t="shared" ref="J64:Z64" si="41">I64</f>
        <v>2.25</v>
      </c>
      <c r="K64" s="230">
        <f t="shared" si="41"/>
        <v>2.25</v>
      </c>
      <c r="L64" s="230">
        <f t="shared" si="41"/>
        <v>2.25</v>
      </c>
      <c r="M64" s="230">
        <f t="shared" si="41"/>
        <v>2.25</v>
      </c>
      <c r="N64" s="230">
        <f t="shared" si="41"/>
        <v>2.25</v>
      </c>
      <c r="O64" s="230">
        <f t="shared" si="41"/>
        <v>2.25</v>
      </c>
      <c r="P64" s="230">
        <f t="shared" si="41"/>
        <v>2.25</v>
      </c>
      <c r="Q64" s="230">
        <f t="shared" si="41"/>
        <v>2.25</v>
      </c>
      <c r="R64" s="230">
        <f t="shared" si="41"/>
        <v>2.25</v>
      </c>
      <c r="S64" s="230">
        <f t="shared" si="41"/>
        <v>2.25</v>
      </c>
      <c r="T64" s="230">
        <f t="shared" si="41"/>
        <v>2.25</v>
      </c>
      <c r="U64" s="230">
        <f t="shared" si="41"/>
        <v>2.25</v>
      </c>
      <c r="V64" s="230">
        <f t="shared" si="41"/>
        <v>2.25</v>
      </c>
      <c r="W64" s="230">
        <f t="shared" si="41"/>
        <v>2.25</v>
      </c>
      <c r="X64" s="230">
        <f t="shared" si="41"/>
        <v>2.25</v>
      </c>
      <c r="Y64" s="230">
        <f t="shared" si="41"/>
        <v>2.25</v>
      </c>
      <c r="Z64" s="292">
        <f t="shared" si="41"/>
        <v>2.25</v>
      </c>
      <c r="AA64" s="300"/>
      <c r="AB64" s="191">
        <f>SUMPRODUCT($I$17:$Z$17,I64:Z64)</f>
        <v>2.25</v>
      </c>
      <c r="AC64" s="139">
        <f>(AB61*$J$5+AB62*$J$6+AB63*$J$7+AB64*$J$8+AB65*$J$9)*BE64</f>
        <v>13.529055011430771</v>
      </c>
      <c r="AD64" s="132">
        <f>AD63+AC64-AF64-AG64-AH64</f>
        <v>73.420520282918346</v>
      </c>
      <c r="AE64" s="168">
        <f>AD63/$O$5</f>
        <v>0.94024206025458024</v>
      </c>
      <c r="AF64" s="192">
        <f>IF(AC64&gt;O$8,(AC64-O$8)^2/(AC64-O$8+O$5-AD63),0)</f>
        <v>8.2092174795474655</v>
      </c>
      <c r="AG64" s="192">
        <f t="shared" si="30"/>
        <v>3.1591048056504483</v>
      </c>
      <c r="AH64" s="192">
        <f>IF(AD63&gt;(P$9*O$5),(P$7*AE64*(AD63-(P$9*O$5))),0)</f>
        <v>2.0991173223802009</v>
      </c>
      <c r="AI64" s="168">
        <f>AI63+AF64-AJ64</f>
        <v>22.87870833300709</v>
      </c>
      <c r="AJ64" s="192">
        <f>(AI63+AF64)*(1-P$6)</f>
        <v>7.5426757645611655</v>
      </c>
      <c r="AK64" s="132">
        <f>AK63-AL64+AH64</f>
        <v>47.595169401826382</v>
      </c>
      <c r="AL64" s="192">
        <f>AK63*(1-P$10)</f>
        <v>0.65703310655638714</v>
      </c>
      <c r="AM64" s="192">
        <f t="shared" si="25"/>
        <v>0</v>
      </c>
      <c r="AN64" s="192">
        <f>AN63+AM64-AO64</f>
        <v>0</v>
      </c>
      <c r="AO64" s="192">
        <f t="shared" si="26"/>
        <v>0</v>
      </c>
      <c r="AS64" s="132"/>
      <c r="AT64" s="132"/>
      <c r="AU64" s="200"/>
      <c r="AV64" s="132"/>
      <c r="AW64" s="132"/>
      <c r="AX64" s="132"/>
      <c r="AY64" s="132"/>
      <c r="AZ64" s="132"/>
      <c r="BA64" s="167"/>
      <c r="BB64" s="167"/>
      <c r="BD64" s="211">
        <f>A64</f>
        <v>42469</v>
      </c>
      <c r="BE64" s="210">
        <v>1</v>
      </c>
      <c r="BF64" s="209">
        <v>0.5</v>
      </c>
      <c r="BG64" s="209">
        <v>2</v>
      </c>
      <c r="BK64" s="168">
        <f>I64</f>
        <v>2.25</v>
      </c>
      <c r="BL64" s="168">
        <f>AC64</f>
        <v>13.529055011430771</v>
      </c>
    </row>
    <row r="65" spans="1:64" ht="13.5" thickBot="1" x14ac:dyDescent="0.25">
      <c r="A65" s="215">
        <f t="shared" si="39"/>
        <v>42470</v>
      </c>
      <c r="B65" s="190"/>
      <c r="C65" s="168"/>
      <c r="D65" s="198"/>
      <c r="E65" s="132">
        <f>(AJ65+AL65+AO65)*Y$9/86.4</f>
        <v>4729.3549104522181</v>
      </c>
      <c r="F65" s="168">
        <f>(AL65*$Y$9)/86.4</f>
        <v>437.01215931603156</v>
      </c>
      <c r="G65" s="300"/>
      <c r="H65" s="127">
        <f>VLOOKUP(MONTH(A65),ETP_Parametros!$A$6:$D$17,4,FALSE)</f>
        <v>3.6</v>
      </c>
      <c r="I65" s="230">
        <f>VLOOKUP(A65,P_Q_obs!$A$4:$F$308,5,FALSE)*1</f>
        <v>3.95</v>
      </c>
      <c r="J65" s="230">
        <f t="shared" ref="J65:Z65" si="42">I65</f>
        <v>3.95</v>
      </c>
      <c r="K65" s="230">
        <f t="shared" si="42"/>
        <v>3.95</v>
      </c>
      <c r="L65" s="230">
        <f t="shared" si="42"/>
        <v>3.95</v>
      </c>
      <c r="M65" s="230">
        <f t="shared" si="42"/>
        <v>3.95</v>
      </c>
      <c r="N65" s="230">
        <f t="shared" si="42"/>
        <v>3.95</v>
      </c>
      <c r="O65" s="230">
        <f t="shared" si="42"/>
        <v>3.95</v>
      </c>
      <c r="P65" s="230">
        <f t="shared" si="42"/>
        <v>3.95</v>
      </c>
      <c r="Q65" s="230">
        <f t="shared" si="42"/>
        <v>3.95</v>
      </c>
      <c r="R65" s="230">
        <f t="shared" si="42"/>
        <v>3.95</v>
      </c>
      <c r="S65" s="230">
        <f t="shared" si="42"/>
        <v>3.95</v>
      </c>
      <c r="T65" s="230">
        <f t="shared" si="42"/>
        <v>3.95</v>
      </c>
      <c r="U65" s="230">
        <f t="shared" si="42"/>
        <v>3.95</v>
      </c>
      <c r="V65" s="230">
        <f t="shared" si="42"/>
        <v>3.95</v>
      </c>
      <c r="W65" s="230">
        <f t="shared" si="42"/>
        <v>3.95</v>
      </c>
      <c r="X65" s="230">
        <f t="shared" si="42"/>
        <v>3.95</v>
      </c>
      <c r="Y65" s="230">
        <f t="shared" si="42"/>
        <v>3.95</v>
      </c>
      <c r="Z65" s="292">
        <f t="shared" si="42"/>
        <v>3.95</v>
      </c>
      <c r="AA65" s="300"/>
      <c r="AB65" s="191">
        <f>SUMPRODUCT($I$17:$Z$17,I65:Z65)</f>
        <v>3.9500000000000015</v>
      </c>
      <c r="AC65" s="139">
        <f>(AB62*$J$5+AB63*$J$6+AB64*$J$7+AB65*$J$8+AB66*$J$9)*BE65</f>
        <v>8.6883869064681782</v>
      </c>
      <c r="AD65" s="132">
        <f>AD64+AC65-AF65-AG65-AH65</f>
        <v>72.882739136251175</v>
      </c>
      <c r="AE65" s="168">
        <f>AD64/$O$5</f>
        <v>0.94103178570587154</v>
      </c>
      <c r="AF65" s="192">
        <f>IF(AC65&gt;O$8,(AC65-O$8)^2/(AC65-O$8+O$5-AD64),0)</f>
        <v>3.9626071124113578</v>
      </c>
      <c r="AG65" s="192">
        <f t="shared" si="30"/>
        <v>3.1591048056504483</v>
      </c>
      <c r="AH65" s="192">
        <f>IF(AD64&gt;(P$9*O$5),(P$7*AE65*(AD64-(P$9*O$5))),0)</f>
        <v>2.1044561350735513</v>
      </c>
      <c r="AI65" s="168">
        <f>AI64+AF65-AJ65</f>
        <v>20.186281642558626</v>
      </c>
      <c r="AJ65" s="192">
        <f>(AI64+AF65)*(1-P$6)</f>
        <v>6.6550338028598235</v>
      </c>
      <c r="AK65" s="132">
        <f>AK64-AL65+AH65</f>
        <v>49.022062988629727</v>
      </c>
      <c r="AL65" s="192">
        <f>AK64*(1-P$10)</f>
        <v>0.67756254827019935</v>
      </c>
      <c r="AM65" s="192">
        <f t="shared" si="25"/>
        <v>0</v>
      </c>
      <c r="AN65" s="192">
        <f>AN64+AM65-AO65</f>
        <v>0</v>
      </c>
      <c r="AO65" s="192">
        <f t="shared" si="26"/>
        <v>0</v>
      </c>
      <c r="AS65" s="132"/>
      <c r="AT65" s="132"/>
      <c r="AU65" s="200"/>
      <c r="AV65" s="132"/>
      <c r="AW65" s="132"/>
      <c r="AX65" s="132"/>
      <c r="AY65" s="132"/>
      <c r="AZ65" s="132"/>
      <c r="BA65" s="167"/>
      <c r="BB65" s="167"/>
      <c r="BD65" s="211">
        <f>A65</f>
        <v>42470</v>
      </c>
      <c r="BE65" s="210">
        <v>1</v>
      </c>
      <c r="BF65" s="209">
        <v>0.5</v>
      </c>
      <c r="BG65" s="209">
        <v>2</v>
      </c>
      <c r="BK65" s="168">
        <f>I65</f>
        <v>3.95</v>
      </c>
      <c r="BL65" s="168">
        <f>AC65</f>
        <v>8.6883869064681782</v>
      </c>
    </row>
    <row r="66" spans="1:64" ht="13.5" thickBot="1" x14ac:dyDescent="0.25">
      <c r="A66" s="215">
        <f t="shared" si="39"/>
        <v>42471</v>
      </c>
      <c r="B66" s="190"/>
      <c r="C66" s="168"/>
      <c r="D66" s="198"/>
      <c r="E66" s="132">
        <f>(AJ66+AL66+AO66)*Y$9/86.4</f>
        <v>4939.2779699013099</v>
      </c>
      <c r="F66" s="168">
        <f>(AL66*$Y$9)/86.4</f>
        <v>450.11369578118382</v>
      </c>
      <c r="G66" s="300"/>
      <c r="H66" s="127">
        <f>VLOOKUP(MONTH(A66),ETP_Parametros!$A$6:$D$17,4,FALSE)</f>
        <v>3.6</v>
      </c>
      <c r="I66" s="230">
        <f>VLOOKUP(A66,P_Q_obs!$A$4:$F$308,5,FALSE)*1</f>
        <v>27.59</v>
      </c>
      <c r="J66" s="230">
        <f t="shared" ref="J66:Z66" si="43">I66</f>
        <v>27.59</v>
      </c>
      <c r="K66" s="230">
        <f t="shared" si="43"/>
        <v>27.59</v>
      </c>
      <c r="L66" s="230">
        <f t="shared" si="43"/>
        <v>27.59</v>
      </c>
      <c r="M66" s="230">
        <f t="shared" si="43"/>
        <v>27.59</v>
      </c>
      <c r="N66" s="230">
        <f t="shared" si="43"/>
        <v>27.59</v>
      </c>
      <c r="O66" s="230">
        <f t="shared" si="43"/>
        <v>27.59</v>
      </c>
      <c r="P66" s="230">
        <f t="shared" si="43"/>
        <v>27.59</v>
      </c>
      <c r="Q66" s="230">
        <f t="shared" si="43"/>
        <v>27.59</v>
      </c>
      <c r="R66" s="230">
        <f t="shared" si="43"/>
        <v>27.59</v>
      </c>
      <c r="S66" s="230">
        <f t="shared" si="43"/>
        <v>27.59</v>
      </c>
      <c r="T66" s="230">
        <f t="shared" si="43"/>
        <v>27.59</v>
      </c>
      <c r="U66" s="230">
        <f t="shared" si="43"/>
        <v>27.59</v>
      </c>
      <c r="V66" s="230">
        <f t="shared" si="43"/>
        <v>27.59</v>
      </c>
      <c r="W66" s="230">
        <f t="shared" si="43"/>
        <v>27.59</v>
      </c>
      <c r="X66" s="230">
        <f t="shared" si="43"/>
        <v>27.59</v>
      </c>
      <c r="Y66" s="230">
        <f t="shared" si="43"/>
        <v>27.59</v>
      </c>
      <c r="Z66" s="292">
        <f t="shared" si="43"/>
        <v>27.59</v>
      </c>
      <c r="AA66" s="300"/>
      <c r="AB66" s="191">
        <f>SUMPRODUCT($I$17:$Z$17,I66:Z66)</f>
        <v>27.59</v>
      </c>
      <c r="AC66" s="139">
        <f>(AB63*$J$5+AB64*$J$6+AB65*$J$7+AB66*$J$8+AB67*$J$9)*BE66</f>
        <v>13.430783589535418</v>
      </c>
      <c r="AD66" s="132">
        <f>AD65+AC66-AF66-AG66-AH66</f>
        <v>73.210538478744823</v>
      </c>
      <c r="AE66" s="168">
        <f>AD65/$O$5</f>
        <v>0.93413903759107919</v>
      </c>
      <c r="AF66" s="192">
        <f>IF(AC66&gt;O$8,(AC66-O$8)^2/(AC66-O$8+O$5-AD65),0)</f>
        <v>7.885818223200256</v>
      </c>
      <c r="AG66" s="192">
        <f t="shared" si="30"/>
        <v>3.1591048056504483</v>
      </c>
      <c r="AH66" s="192">
        <f>IF(AD65&gt;(P$9*O$5),(P$7*AE66*(AD65-(P$9*O$5))),0)</f>
        <v>2.0580612181910642</v>
      </c>
      <c r="AI66" s="168">
        <f>AI65+AF66-AJ66</f>
        <v>21.111905463074699</v>
      </c>
      <c r="AJ66" s="192">
        <f>(AI65+AF66)*(1-P$6)</f>
        <v>6.960194402684186</v>
      </c>
      <c r="AK66" s="132">
        <f>AK65-AL66+AH66</f>
        <v>50.382248469902756</v>
      </c>
      <c r="AL66" s="192">
        <f>AK65*(1-P$10)</f>
        <v>0.69787573691803262</v>
      </c>
      <c r="AM66" s="192">
        <f t="shared" si="25"/>
        <v>0</v>
      </c>
      <c r="AN66" s="192">
        <f>AN65+AM66-AO66</f>
        <v>0</v>
      </c>
      <c r="AO66" s="192">
        <f t="shared" si="26"/>
        <v>0</v>
      </c>
      <c r="AS66" s="132"/>
      <c r="AT66" s="132"/>
      <c r="AU66" s="200"/>
      <c r="AV66" s="132"/>
      <c r="AW66" s="132"/>
      <c r="AX66" s="132"/>
      <c r="AY66" s="132"/>
      <c r="AZ66" s="132"/>
      <c r="BA66" s="167"/>
      <c r="BB66" s="167"/>
      <c r="BD66" s="211">
        <f>A66</f>
        <v>42471</v>
      </c>
      <c r="BE66" s="210">
        <v>1</v>
      </c>
      <c r="BF66" s="209">
        <v>0.5</v>
      </c>
      <c r="BG66" s="209">
        <v>2</v>
      </c>
      <c r="BK66" s="168">
        <f>I66</f>
        <v>27.59</v>
      </c>
      <c r="BL66" s="168">
        <f>AC66</f>
        <v>13.430783589535418</v>
      </c>
    </row>
    <row r="67" spans="1:64" ht="13.5" thickBot="1" x14ac:dyDescent="0.25">
      <c r="A67" s="215">
        <f t="shared" si="39"/>
        <v>42472</v>
      </c>
      <c r="B67" s="190"/>
      <c r="C67" s="168"/>
      <c r="D67" s="198"/>
      <c r="E67" s="132">
        <f>(AJ67+AL67+AO67)*Y$9/86.4</f>
        <v>5356.7462985579859</v>
      </c>
      <c r="F67" s="168">
        <f>(AL67*$Y$9)/86.4</f>
        <v>462.60272779245832</v>
      </c>
      <c r="G67" s="300"/>
      <c r="H67" s="127">
        <f>VLOOKUP(MONTH(A67),ETP_Parametros!$A$6:$D$17,4,FALSE)</f>
        <v>3.6</v>
      </c>
      <c r="I67" s="230">
        <f>VLOOKUP(A67,P_Q_obs!$A$4:$F$308,5,FALSE)*1</f>
        <v>5.98</v>
      </c>
      <c r="J67" s="230">
        <f t="shared" ref="J67:Z67" si="44">I67</f>
        <v>5.98</v>
      </c>
      <c r="K67" s="230">
        <f t="shared" si="44"/>
        <v>5.98</v>
      </c>
      <c r="L67" s="230">
        <f t="shared" si="44"/>
        <v>5.98</v>
      </c>
      <c r="M67" s="230">
        <f t="shared" si="44"/>
        <v>5.98</v>
      </c>
      <c r="N67" s="230">
        <f t="shared" si="44"/>
        <v>5.98</v>
      </c>
      <c r="O67" s="230">
        <f t="shared" si="44"/>
        <v>5.98</v>
      </c>
      <c r="P67" s="230">
        <f t="shared" si="44"/>
        <v>5.98</v>
      </c>
      <c r="Q67" s="230">
        <f t="shared" si="44"/>
        <v>5.98</v>
      </c>
      <c r="R67" s="230">
        <f t="shared" si="44"/>
        <v>5.98</v>
      </c>
      <c r="S67" s="230">
        <f t="shared" si="44"/>
        <v>5.98</v>
      </c>
      <c r="T67" s="230">
        <f t="shared" si="44"/>
        <v>5.98</v>
      </c>
      <c r="U67" s="230">
        <f t="shared" si="44"/>
        <v>5.98</v>
      </c>
      <c r="V67" s="230">
        <f t="shared" si="44"/>
        <v>5.98</v>
      </c>
      <c r="W67" s="230">
        <f t="shared" si="44"/>
        <v>5.98</v>
      </c>
      <c r="X67" s="230">
        <f t="shared" si="44"/>
        <v>5.98</v>
      </c>
      <c r="Y67" s="230">
        <f t="shared" si="44"/>
        <v>5.98</v>
      </c>
      <c r="Z67" s="292">
        <f t="shared" si="44"/>
        <v>5.98</v>
      </c>
      <c r="AA67" s="300"/>
      <c r="AB67" s="191">
        <f>SUMPRODUCT($I$17:$Z$17,I67:Z67)</f>
        <v>5.9800000000000022</v>
      </c>
      <c r="AC67" s="139">
        <f>(AB64*$J$5+AB65*$J$6+AB66*$J$7+AB67*$J$8+AB68*$J$9)*BE67</f>
        <v>15.004320292649924</v>
      </c>
      <c r="AD67" s="132">
        <f>AD66+AC67-AF67-AG67-AH67</f>
        <v>73.47681533458929</v>
      </c>
      <c r="AE67" s="168">
        <f>AD66/$O$5</f>
        <v>0.93834044612688572</v>
      </c>
      <c r="AF67" s="192">
        <f>IF(AC67&gt;O$8,(AC67-O$8)^2/(AC67-O$8+O$5-AD66),0)</f>
        <v>9.4926522422277717</v>
      </c>
      <c r="AG67" s="192">
        <f t="shared" si="30"/>
        <v>3.1591048056504483</v>
      </c>
      <c r="AH67" s="192">
        <f>IF(AD66&gt;(P$9*O$5),(P$7*AE67*(AD66-(P$9*O$5))),0)</f>
        <v>2.0862863889272414</v>
      </c>
      <c r="AI67" s="168">
        <f>AI66+AF67-AJ67</f>
        <v>23.016465889738072</v>
      </c>
      <c r="AJ67" s="192">
        <f>(AI66+AF67)*(1-P$6)</f>
        <v>7.5880918155643986</v>
      </c>
      <c r="AK67" s="132">
        <f>AK66-AL67+AH67</f>
        <v>51.751295586654201</v>
      </c>
      <c r="AL67" s="192">
        <f>AK66*(1-P$10)</f>
        <v>0.71723927217579586</v>
      </c>
      <c r="AM67" s="192">
        <f t="shared" si="25"/>
        <v>0</v>
      </c>
      <c r="AN67" s="192">
        <f>AN66+AM67-AO67</f>
        <v>0</v>
      </c>
      <c r="AO67" s="192">
        <f t="shared" si="26"/>
        <v>0</v>
      </c>
      <c r="AS67" s="132"/>
      <c r="AT67" s="132"/>
      <c r="AU67" s="200"/>
      <c r="AV67" s="132"/>
      <c r="AW67" s="132"/>
      <c r="AX67" s="132"/>
      <c r="AY67" s="132"/>
      <c r="AZ67" s="132"/>
      <c r="BA67" s="167"/>
      <c r="BB67" s="167"/>
      <c r="BD67" s="211">
        <f>A67</f>
        <v>42472</v>
      </c>
      <c r="BE67" s="210">
        <v>1</v>
      </c>
      <c r="BF67" s="209">
        <v>0.5</v>
      </c>
      <c r="BG67" s="209">
        <v>2</v>
      </c>
      <c r="BK67" s="168">
        <f>I67</f>
        <v>5.98</v>
      </c>
      <c r="BL67" s="168">
        <f>AC67</f>
        <v>15.004320292649924</v>
      </c>
    </row>
    <row r="68" spans="1:64" x14ac:dyDescent="0.2">
      <c r="A68" s="215">
        <f t="shared" si="39"/>
        <v>42473</v>
      </c>
      <c r="B68" s="190"/>
      <c r="C68" s="168"/>
      <c r="D68" s="198"/>
      <c r="E68" s="132"/>
      <c r="F68" s="168"/>
      <c r="G68" s="300"/>
      <c r="H68" s="127">
        <f>VLOOKUP(MONTH(A68),ETP_Parametros!$A$6:$D$17,4,FALSE)</f>
        <v>3.6</v>
      </c>
      <c r="I68" s="230">
        <f>VLOOKUP(A68,P_Q_obs!$A$4:$F$308,5,FALSE)*1</f>
        <v>7.7</v>
      </c>
      <c r="J68" s="230">
        <f t="shared" ref="J68:Z68" si="45">I68</f>
        <v>7.7</v>
      </c>
      <c r="K68" s="230">
        <f t="shared" si="45"/>
        <v>7.7</v>
      </c>
      <c r="L68" s="230">
        <f t="shared" si="45"/>
        <v>7.7</v>
      </c>
      <c r="M68" s="230">
        <f t="shared" si="45"/>
        <v>7.7</v>
      </c>
      <c r="N68" s="230">
        <f t="shared" si="45"/>
        <v>7.7</v>
      </c>
      <c r="O68" s="230">
        <f t="shared" si="45"/>
        <v>7.7</v>
      </c>
      <c r="P68" s="230">
        <f t="shared" si="45"/>
        <v>7.7</v>
      </c>
      <c r="Q68" s="230">
        <f t="shared" si="45"/>
        <v>7.7</v>
      </c>
      <c r="R68" s="230">
        <f t="shared" si="45"/>
        <v>7.7</v>
      </c>
      <c r="S68" s="230">
        <f t="shared" si="45"/>
        <v>7.7</v>
      </c>
      <c r="T68" s="230">
        <f t="shared" si="45"/>
        <v>7.7</v>
      </c>
      <c r="U68" s="230">
        <f t="shared" si="45"/>
        <v>7.7</v>
      </c>
      <c r="V68" s="230">
        <f t="shared" si="45"/>
        <v>7.7</v>
      </c>
      <c r="W68" s="230">
        <f t="shared" si="45"/>
        <v>7.7</v>
      </c>
      <c r="X68" s="230">
        <f t="shared" si="45"/>
        <v>7.7</v>
      </c>
      <c r="Y68" s="230">
        <f t="shared" si="45"/>
        <v>7.7</v>
      </c>
      <c r="Z68" s="292">
        <f t="shared" si="45"/>
        <v>7.7</v>
      </c>
      <c r="AA68" s="300"/>
      <c r="AB68" s="191">
        <f>SUMPRODUCT($I$17:$Z$17,I68:Z68)</f>
        <v>7.7000000000000011</v>
      </c>
      <c r="AC68" s="139">
        <f>(AB65*$J$5+AB66*$J$6+AB67*$J$7+AB68*$J$8)*BE68</f>
        <v>5.2714336749238822</v>
      </c>
      <c r="AD68" s="132">
        <f>AD67+AC68-AF68-AG68-AH68</f>
        <v>72.110511958901213</v>
      </c>
      <c r="AE68" s="168">
        <f>AD67/$O$5</f>
        <v>0.94175332013243473</v>
      </c>
      <c r="AF68" s="192">
        <f>IF(AC68&gt;O$8,(AC68-O$8)^2/(AC68-O$8+O$5-AD67),0)</f>
        <v>1.3692930450906302</v>
      </c>
      <c r="AG68" s="192">
        <f t="shared" si="30"/>
        <v>3.1591048056504483</v>
      </c>
      <c r="AH68" s="192">
        <f>IF(AD67&gt;(P$9*O$5),(P$7*AE68*(AD67-(P$9*O$5))),0)</f>
        <v>2.1093391998708833</v>
      </c>
      <c r="AI68" s="168">
        <f>AI67+AF68-AJ68</f>
        <v>18.339555634931305</v>
      </c>
      <c r="AJ68" s="192">
        <f>(AI67+AF68)*(1-P$6)</f>
        <v>6.046203299897396</v>
      </c>
      <c r="AK68" s="132">
        <f>AK67-AL68+AH68</f>
        <v>53.12390582527398</v>
      </c>
      <c r="AL68" s="192">
        <f>AK67*(1-P$10)</f>
        <v>0.7367289612511011</v>
      </c>
      <c r="AM68" s="192">
        <f t="shared" si="25"/>
        <v>0</v>
      </c>
      <c r="AN68" s="192">
        <f>AN67+AM68-AO68</f>
        <v>0</v>
      </c>
      <c r="AO68" s="192">
        <f t="shared" si="26"/>
        <v>0</v>
      </c>
      <c r="AS68" s="132"/>
      <c r="AT68" s="132"/>
      <c r="AU68" s="200"/>
      <c r="AV68" s="132"/>
      <c r="AW68" s="132"/>
      <c r="AX68" s="132"/>
      <c r="AY68" s="132"/>
      <c r="AZ68" s="132"/>
      <c r="BA68" s="167"/>
      <c r="BB68" s="167"/>
      <c r="BD68" s="211">
        <f>A68</f>
        <v>42473</v>
      </c>
      <c r="BE68" s="210">
        <v>1</v>
      </c>
      <c r="BF68" s="209">
        <v>0.5</v>
      </c>
      <c r="BG68" s="209">
        <v>2</v>
      </c>
      <c r="BK68" s="168">
        <f>I68</f>
        <v>7.7</v>
      </c>
      <c r="BL68" s="168">
        <f>AC68</f>
        <v>5.2714336749238822</v>
      </c>
    </row>
    <row r="69" spans="1:64" x14ac:dyDescent="0.2">
      <c r="AG69" s="192">
        <f t="shared" si="30"/>
        <v>0</v>
      </c>
      <c r="AH69" s="167">
        <f>AI20</f>
        <v>5</v>
      </c>
      <c r="AL69" s="204"/>
    </row>
  </sheetData>
  <mergeCells count="18">
    <mergeCell ref="BH23:BJ23"/>
    <mergeCell ref="AD14:AD15"/>
    <mergeCell ref="AE14:AE15"/>
    <mergeCell ref="AF14:AF15"/>
    <mergeCell ref="AI14:AI15"/>
    <mergeCell ref="AK14:AK15"/>
    <mergeCell ref="AL14:AL15"/>
    <mergeCell ref="F14:F15"/>
    <mergeCell ref="AN14:AN15"/>
    <mergeCell ref="I15:Z15"/>
    <mergeCell ref="I16:Z16"/>
    <mergeCell ref="BE23:BG23"/>
    <mergeCell ref="BK22:BL22"/>
    <mergeCell ref="X3:Z3"/>
    <mergeCell ref="N4:R4"/>
    <mergeCell ref="Y9:Z9"/>
    <mergeCell ref="X11:Z11"/>
    <mergeCell ref="BD22:BJ22"/>
  </mergeCells>
  <pageMargins left="0.53" right="0.51" top="0.984251969" bottom="0.984251969" header="0.49212598499999999" footer="0.49212598499999999"/>
  <pageSetup paperSize="9" scale="90" orientation="landscape" horizontalDpi="180" verticalDpi="180" r:id="rId1"/>
  <headerFooter alignWithMargins="0"/>
  <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5"/>
  <dimension ref="A1:BM325"/>
  <sheetViews>
    <sheetView topLeftCell="A34" zoomScale="70" zoomScaleNormal="70" zoomScaleSheetLayoutView="75" zoomScalePageLayoutView="115" workbookViewId="0">
      <pane xSplit="1" topLeftCell="B1" activePane="topRight" state="frozen"/>
      <selection activeCell="N21" sqref="N21"/>
      <selection pane="topRight" activeCell="E53" sqref="E53:E325"/>
    </sheetView>
  </sheetViews>
  <sheetFormatPr defaultRowHeight="12.75" x14ac:dyDescent="0.2"/>
  <cols>
    <col min="1" max="1" width="13.42578125" style="125" customWidth="1"/>
    <col min="2" max="2" width="10.85546875" style="125" bestFit="1" customWidth="1"/>
    <col min="3" max="3" width="10.28515625" style="125" bestFit="1" customWidth="1"/>
    <col min="4" max="4" width="9.5703125" style="125" customWidth="1"/>
    <col min="5" max="6" width="11.5703125" style="125" bestFit="1" customWidth="1"/>
    <col min="7" max="7" width="2.140625" style="297" customWidth="1"/>
    <col min="8" max="8" width="10.5703125" style="125" customWidth="1"/>
    <col min="9" max="9" width="7.42578125" style="125" customWidth="1"/>
    <col min="10" max="25" width="6.140625" style="125" customWidth="1"/>
    <col min="26" max="26" width="7.140625" style="125" customWidth="1"/>
    <col min="27" max="27" width="2.140625" style="297" customWidth="1"/>
    <col min="28" max="28" width="10" style="125" customWidth="1"/>
    <col min="29" max="29" width="10.7109375" style="125" bestFit="1" customWidth="1"/>
    <col min="30" max="30" width="12.85546875" style="125" customWidth="1"/>
    <col min="31" max="31" width="9" style="125" customWidth="1"/>
    <col min="32" max="32" width="12" style="125" customWidth="1"/>
    <col min="33" max="33" width="6.85546875" style="125" customWidth="1"/>
    <col min="34" max="34" width="6.85546875" style="125" bestFit="1" customWidth="1"/>
    <col min="35" max="35" width="12.42578125" style="125" customWidth="1"/>
    <col min="36" max="36" width="5.42578125" style="125" customWidth="1"/>
    <col min="37" max="37" width="12.42578125" style="125" customWidth="1"/>
    <col min="38" max="38" width="13.140625" style="125" customWidth="1"/>
    <col min="39" max="39" width="5.42578125" style="125" customWidth="1"/>
    <col min="40" max="40" width="13.7109375" style="125" customWidth="1"/>
    <col min="41" max="41" width="7" style="125" customWidth="1"/>
    <col min="42" max="44" width="33.7109375" style="125" customWidth="1"/>
    <col min="45" max="46" width="12" style="125" bestFit="1" customWidth="1"/>
    <col min="47" max="48" width="9.140625" style="125"/>
    <col min="49" max="50" width="12.5703125" style="125" bestFit="1" customWidth="1"/>
    <col min="51" max="51" width="25.5703125" style="125" bestFit="1" customWidth="1"/>
    <col min="52" max="52" width="17.28515625" style="125" bestFit="1" customWidth="1"/>
    <col min="53" max="55" width="9.140625" style="125"/>
    <col min="56" max="56" width="13" style="209" customWidth="1"/>
    <col min="57" max="60" width="9.140625" style="209"/>
    <col min="61" max="16384" width="9.140625" style="125"/>
  </cols>
  <sheetData>
    <row r="1" spans="2:57" x14ac:dyDescent="0.2">
      <c r="B1" s="205"/>
      <c r="C1" s="206"/>
      <c r="G1" s="301"/>
      <c r="I1" s="135">
        <v>0.13333333333333333</v>
      </c>
      <c r="J1" s="135">
        <v>0.13333333333333333</v>
      </c>
      <c r="K1" s="135">
        <v>0.13333333333333333</v>
      </c>
      <c r="L1" s="135">
        <v>0.13333333333333333</v>
      </c>
      <c r="M1" s="135">
        <v>0.13333333333333333</v>
      </c>
      <c r="N1" s="135">
        <v>0.13333333333333333</v>
      </c>
      <c r="O1" s="135">
        <v>0.13333333333333333</v>
      </c>
      <c r="P1" s="135">
        <v>0.13333333333333333</v>
      </c>
      <c r="Q1" s="135">
        <v>0.13333333333333333</v>
      </c>
      <c r="R1" s="135">
        <v>0.13333333333333333</v>
      </c>
      <c r="S1" s="135">
        <v>0.13333333333333333</v>
      </c>
      <c r="T1" s="135">
        <v>0.13333333333333333</v>
      </c>
      <c r="U1" s="135">
        <v>0.13333333333333333</v>
      </c>
      <c r="V1" s="135">
        <v>0.13333333333333333</v>
      </c>
      <c r="W1" s="135">
        <v>0.13333333333333333</v>
      </c>
      <c r="X1" s="135">
        <v>0.13333333333333333</v>
      </c>
      <c r="Y1" s="135">
        <v>0.13333333333333333</v>
      </c>
      <c r="Z1" s="135">
        <v>0.13333333333333333</v>
      </c>
      <c r="AA1" s="296"/>
      <c r="AB1" s="280"/>
      <c r="AC1" s="145"/>
      <c r="AD1" s="146"/>
      <c r="AE1" s="146"/>
      <c r="AF1" s="146"/>
      <c r="AG1" s="146"/>
      <c r="AH1" s="146"/>
    </row>
    <row r="2" spans="2:57" x14ac:dyDescent="0.2">
      <c r="B2" s="147" t="s">
        <v>35</v>
      </c>
      <c r="C2" s="148">
        <f>AT20+BB22</f>
        <v>-5.0525426742561184</v>
      </c>
      <c r="D2" s="149"/>
      <c r="E2" s="150"/>
      <c r="I2" s="135">
        <v>8.3333333333333332E-3</v>
      </c>
      <c r="J2" s="135">
        <v>8.3333333333333332E-3</v>
      </c>
      <c r="K2" s="135">
        <v>8.3333333333333332E-3</v>
      </c>
      <c r="L2" s="135">
        <v>8.3333333333333332E-3</v>
      </c>
      <c r="M2" s="135">
        <v>8.3333333333333332E-3</v>
      </c>
      <c r="N2" s="135">
        <v>8.3333333333333332E-3</v>
      </c>
      <c r="O2" s="135">
        <v>8.3333333333333332E-3</v>
      </c>
      <c r="P2" s="135">
        <v>8.3333333333333332E-3</v>
      </c>
      <c r="Q2" s="135">
        <v>8.3333333333333332E-3</v>
      </c>
      <c r="R2" s="135">
        <v>8.3333333333333332E-3</v>
      </c>
      <c r="S2" s="135">
        <v>8.3333333333333332E-3</v>
      </c>
      <c r="T2" s="135">
        <v>8.3333333333333332E-3</v>
      </c>
      <c r="U2" s="135">
        <v>8.3333333333333332E-3</v>
      </c>
      <c r="V2" s="135">
        <v>8.3333333333333332E-3</v>
      </c>
      <c r="W2" s="135">
        <v>8.3333333333333332E-3</v>
      </c>
      <c r="X2" s="135">
        <v>8.3333333333333332E-3</v>
      </c>
      <c r="Y2" s="135">
        <v>8.3333333333333332E-3</v>
      </c>
      <c r="Z2" s="135">
        <v>8.3333333333333332E-3</v>
      </c>
      <c r="AC2" s="146"/>
      <c r="AD2" s="146"/>
      <c r="AE2" s="146"/>
      <c r="AF2" s="146"/>
      <c r="AG2" s="146"/>
      <c r="AH2" s="146"/>
      <c r="AM2" s="136"/>
      <c r="AN2" s="136"/>
      <c r="AO2" s="136"/>
    </row>
    <row r="3" spans="2:57" x14ac:dyDescent="0.2">
      <c r="B3" s="152" t="s">
        <v>36</v>
      </c>
      <c r="C3" s="153">
        <f>AZ20</f>
        <v>0.99747981650422979</v>
      </c>
      <c r="D3" s="151"/>
      <c r="I3" s="280" t="s">
        <v>69</v>
      </c>
      <c r="M3" s="154"/>
      <c r="S3" s="150"/>
      <c r="T3" s="150"/>
      <c r="U3" s="150"/>
      <c r="V3" s="150"/>
      <c r="X3" s="387" t="s">
        <v>26</v>
      </c>
      <c r="Y3" s="388"/>
      <c r="Z3" s="389"/>
      <c r="AC3" s="146"/>
      <c r="AD3" s="146"/>
      <c r="AE3" s="146"/>
      <c r="AF3" s="146"/>
      <c r="AG3" s="157"/>
      <c r="AH3" s="157"/>
      <c r="AM3" s="136"/>
      <c r="AN3" s="136"/>
      <c r="AO3" s="136"/>
    </row>
    <row r="4" spans="2:57" x14ac:dyDescent="0.2">
      <c r="B4" s="152" t="s">
        <v>41</v>
      </c>
      <c r="C4" s="158">
        <f>AV22</f>
        <v>-15</v>
      </c>
      <c r="D4" s="159"/>
      <c r="I4" s="125" t="s">
        <v>49</v>
      </c>
      <c r="J4" s="125" t="s">
        <v>51</v>
      </c>
      <c r="M4" s="154"/>
      <c r="N4" s="387" t="s">
        <v>34</v>
      </c>
      <c r="O4" s="388"/>
      <c r="P4" s="388"/>
      <c r="Q4" s="388"/>
      <c r="R4" s="389"/>
      <c r="S4" s="154"/>
      <c r="T4" s="154"/>
      <c r="U4" s="154"/>
      <c r="V4" s="154"/>
      <c r="X4" s="155" t="s">
        <v>23</v>
      </c>
      <c r="Y4" s="232">
        <f>Operacional_10_dias!Y4</f>
        <v>61.347914490414695</v>
      </c>
      <c r="Z4" s="156">
        <f>Y4/100</f>
        <v>0.6134791449041469</v>
      </c>
      <c r="AC4" s="146"/>
      <c r="AD4" s="146"/>
      <c r="AE4" s="146"/>
      <c r="AF4" s="146"/>
      <c r="AG4" s="157"/>
      <c r="AH4" s="157"/>
      <c r="AM4" s="136"/>
      <c r="AN4" s="136"/>
      <c r="AO4" s="136"/>
    </row>
    <row r="5" spans="2:57" x14ac:dyDescent="0.2">
      <c r="B5" s="160" t="s">
        <v>45</v>
      </c>
      <c r="C5" s="161">
        <f>BA22</f>
        <v>17.630966598891774</v>
      </c>
      <c r="D5" s="159"/>
      <c r="H5" s="162"/>
      <c r="I5" s="125">
        <v>3</v>
      </c>
      <c r="J5" s="122">
        <f>Operacional_10_dias!J5</f>
        <v>2.2987808881364698E-2</v>
      </c>
      <c r="K5" s="135">
        <v>0</v>
      </c>
      <c r="L5" s="135">
        <v>1</v>
      </c>
      <c r="N5" s="155" t="s">
        <v>93</v>
      </c>
      <c r="O5" s="268">
        <f>Operacional_10_dias!O5</f>
        <v>78.021296834139704</v>
      </c>
      <c r="P5" s="156"/>
      <c r="Q5" s="269">
        <v>25</v>
      </c>
      <c r="R5" s="270">
        <v>2000</v>
      </c>
      <c r="S5" s="154"/>
      <c r="T5" s="154"/>
      <c r="U5" s="154"/>
      <c r="V5" s="154"/>
      <c r="X5" s="163" t="s">
        <v>24</v>
      </c>
      <c r="Y5" s="273">
        <f>Operacional_10_dias!Y5</f>
        <v>249.84495960979811</v>
      </c>
      <c r="Z5" s="189"/>
      <c r="AC5" s="146"/>
      <c r="AD5" s="146"/>
      <c r="AE5" s="146"/>
      <c r="AF5" s="146"/>
      <c r="AG5" s="157"/>
      <c r="AH5" s="157"/>
      <c r="AM5" s="136"/>
      <c r="AN5" s="136"/>
      <c r="AO5" s="136"/>
    </row>
    <row r="6" spans="2:57" x14ac:dyDescent="0.2">
      <c r="I6" s="125">
        <v>2</v>
      </c>
      <c r="J6" s="122">
        <f>Operacional_10_dias!J6</f>
        <v>0</v>
      </c>
      <c r="K6" s="135">
        <v>0</v>
      </c>
      <c r="L6" s="135">
        <v>1</v>
      </c>
      <c r="N6" s="164" t="s">
        <v>50</v>
      </c>
      <c r="O6" s="143">
        <f>Operacional_10_dias!O6</f>
        <v>2.4326154</v>
      </c>
      <c r="P6" s="140">
        <f>0.5^(1/O6)</f>
        <v>0.75206007259991525</v>
      </c>
      <c r="Q6" s="142">
        <v>0.2</v>
      </c>
      <c r="R6" s="261">
        <v>10</v>
      </c>
      <c r="S6" s="154"/>
      <c r="T6" s="154"/>
      <c r="U6" s="154"/>
      <c r="V6" s="154"/>
      <c r="X6" s="136"/>
      <c r="Z6" s="136"/>
      <c r="AC6" s="146"/>
      <c r="AD6" s="146"/>
      <c r="AE6" s="146"/>
      <c r="AF6" s="146"/>
      <c r="AG6" s="146"/>
      <c r="AH6" s="146"/>
    </row>
    <row r="7" spans="2:57" x14ac:dyDescent="0.2">
      <c r="B7" s="146"/>
      <c r="C7" s="137"/>
      <c r="D7" s="137"/>
      <c r="E7" s="136"/>
      <c r="F7" s="136"/>
      <c r="I7" s="125">
        <v>1</v>
      </c>
      <c r="J7" s="122">
        <f>Operacional_10_dias!J7</f>
        <v>0.40454725138639203</v>
      </c>
      <c r="K7" s="135">
        <v>0</v>
      </c>
      <c r="L7" s="135">
        <v>1</v>
      </c>
      <c r="N7" s="164" t="s">
        <v>94</v>
      </c>
      <c r="O7" s="143">
        <f>Operacional_10_dias!O7</f>
        <v>6.1669564867628806</v>
      </c>
      <c r="P7" s="140">
        <f>O7/100</f>
        <v>6.1669564867628805E-2</v>
      </c>
      <c r="Q7" s="142">
        <v>0</v>
      </c>
      <c r="R7" s="261">
        <v>20</v>
      </c>
      <c r="S7" s="154"/>
      <c r="T7" s="154"/>
      <c r="U7" s="154"/>
      <c r="V7" s="154"/>
      <c r="AC7" s="146"/>
      <c r="AD7" s="146"/>
      <c r="AE7" s="146"/>
      <c r="AF7" s="146"/>
      <c r="AG7" s="146"/>
      <c r="AH7" s="146"/>
      <c r="AM7" s="136"/>
      <c r="AN7" s="136"/>
      <c r="AO7" s="136"/>
    </row>
    <row r="8" spans="2:57" x14ac:dyDescent="0.2">
      <c r="B8" s="136"/>
      <c r="C8" s="140"/>
      <c r="D8" s="140"/>
      <c r="E8" s="136"/>
      <c r="F8" s="136"/>
      <c r="I8" s="125">
        <v>0</v>
      </c>
      <c r="J8" s="122">
        <f>Operacional_10_dias!J8</f>
        <v>0.35862847617556698</v>
      </c>
      <c r="K8" s="135">
        <v>0</v>
      </c>
      <c r="L8" s="135">
        <v>1</v>
      </c>
      <c r="N8" s="164" t="s">
        <v>95</v>
      </c>
      <c r="O8" s="123">
        <f>Operacional_10_dias!O8</f>
        <v>2</v>
      </c>
      <c r="P8" s="140"/>
      <c r="Q8" s="142">
        <v>2</v>
      </c>
      <c r="R8" s="261">
        <v>2.1</v>
      </c>
      <c r="S8" s="154"/>
      <c r="T8" s="154"/>
      <c r="U8" s="154"/>
      <c r="V8" s="154"/>
      <c r="X8" s="155" t="s">
        <v>27</v>
      </c>
      <c r="Y8" s="156"/>
      <c r="Z8" s="278"/>
      <c r="AC8" s="146"/>
      <c r="AD8" s="146"/>
      <c r="AE8" s="146"/>
      <c r="AF8" s="146"/>
      <c r="AG8" s="157"/>
      <c r="AH8" s="157"/>
      <c r="AM8" s="136"/>
      <c r="AN8" s="136"/>
      <c r="AO8" s="136"/>
    </row>
    <row r="9" spans="2:57" x14ac:dyDescent="0.2">
      <c r="B9" s="136"/>
      <c r="C9" s="140"/>
      <c r="D9" s="140"/>
      <c r="E9" s="136"/>
      <c r="F9" s="136"/>
      <c r="I9" s="125">
        <v>-1</v>
      </c>
      <c r="J9" s="122">
        <f>Operacional_10_dias!J9</f>
        <v>0.21383646355667599</v>
      </c>
      <c r="K9" s="135">
        <v>0</v>
      </c>
      <c r="L9" s="135">
        <v>1</v>
      </c>
      <c r="N9" s="164" t="s">
        <v>96</v>
      </c>
      <c r="O9" s="138">
        <f>Operacional_10_dias!O9</f>
        <v>47.624739322009098</v>
      </c>
      <c r="P9" s="140">
        <f>O9/100</f>
        <v>0.47624739322009096</v>
      </c>
      <c r="Q9" s="142">
        <v>20</v>
      </c>
      <c r="R9" s="261">
        <v>50</v>
      </c>
      <c r="S9" s="154"/>
      <c r="T9" s="154"/>
      <c r="U9" s="154"/>
      <c r="V9" s="154"/>
      <c r="X9" s="277" t="s">
        <v>8</v>
      </c>
      <c r="Y9" s="391">
        <f>Operacional_10_dias!Y9</f>
        <v>55726</v>
      </c>
      <c r="Z9" s="392"/>
      <c r="AC9" s="146"/>
      <c r="AD9" s="146"/>
      <c r="AE9" s="146"/>
      <c r="AF9" s="146"/>
      <c r="AG9" s="157"/>
      <c r="AH9" s="157"/>
      <c r="AI9" s="154"/>
      <c r="AM9" s="136"/>
      <c r="AN9" s="136"/>
      <c r="AO9" s="136"/>
    </row>
    <row r="10" spans="2:57" x14ac:dyDescent="0.2">
      <c r="B10" s="136"/>
      <c r="C10" s="140"/>
      <c r="D10" s="140"/>
      <c r="E10" s="136"/>
      <c r="F10" s="136"/>
      <c r="M10" s="154"/>
      <c r="N10" s="163" t="s">
        <v>97</v>
      </c>
      <c r="O10" s="271">
        <f>Operacional_10_dias!O10</f>
        <v>48.342505227826699</v>
      </c>
      <c r="P10" s="272">
        <f>0.5^(1/O10)</f>
        <v>0.98576404797407446</v>
      </c>
      <c r="Q10" s="266">
        <v>30</v>
      </c>
      <c r="R10" s="267">
        <v>180</v>
      </c>
      <c r="S10" s="154"/>
      <c r="T10" s="154"/>
      <c r="U10" s="154"/>
      <c r="V10" s="154"/>
      <c r="X10" s="146"/>
      <c r="Y10" s="146"/>
      <c r="Z10" s="136"/>
      <c r="AC10" s="146"/>
      <c r="AD10" s="146"/>
      <c r="AE10" s="146"/>
      <c r="AF10" s="146"/>
      <c r="AG10" s="157"/>
      <c r="AH10" s="157"/>
      <c r="AI10" s="154"/>
      <c r="AM10" s="136"/>
      <c r="AN10" s="136"/>
      <c r="AO10" s="136"/>
    </row>
    <row r="11" spans="2:57" x14ac:dyDescent="0.2">
      <c r="B11" s="136"/>
      <c r="C11" s="140"/>
      <c r="D11" s="140"/>
      <c r="E11" s="145"/>
      <c r="F11" s="276"/>
      <c r="I11" s="166" t="s">
        <v>46</v>
      </c>
      <c r="J11" s="172">
        <f>SUM(J5:J9)</f>
        <v>0.99999999999999967</v>
      </c>
      <c r="N11" s="340" t="s">
        <v>83</v>
      </c>
      <c r="O11" s="138">
        <f>Operacional_10_dias!O11</f>
        <v>0.87752911268068001</v>
      </c>
      <c r="P11" s="341"/>
      <c r="Q11" s="342">
        <v>0.8</v>
      </c>
      <c r="R11" s="343">
        <v>1.2</v>
      </c>
      <c r="X11" s="393"/>
      <c r="Y11" s="393"/>
      <c r="Z11" s="393"/>
      <c r="AB11" s="274"/>
      <c r="AC11" s="274"/>
      <c r="AD11" s="274"/>
      <c r="AE11" s="274"/>
      <c r="AF11" s="274"/>
      <c r="AG11" s="274"/>
      <c r="AH11" s="274"/>
      <c r="AI11" s="274"/>
      <c r="AJ11" s="274"/>
      <c r="AK11" s="274"/>
      <c r="AL11" s="274"/>
      <c r="AM11" s="274"/>
      <c r="AN11" s="274"/>
      <c r="AO11" s="274"/>
    </row>
    <row r="12" spans="2:57" x14ac:dyDescent="0.2">
      <c r="C12" s="168"/>
      <c r="D12" s="168"/>
      <c r="N12" s="262" t="s">
        <v>104</v>
      </c>
      <c r="O12" s="141">
        <f>Operacional_10_dias!O12</f>
        <v>358</v>
      </c>
      <c r="P12" s="137"/>
      <c r="Q12" s="142">
        <v>200</v>
      </c>
      <c r="R12" s="261">
        <v>500</v>
      </c>
    </row>
    <row r="13" spans="2:57" ht="18" customHeight="1" x14ac:dyDescent="0.25">
      <c r="B13" s="252" t="s">
        <v>1</v>
      </c>
      <c r="C13" s="253" t="s">
        <v>5</v>
      </c>
      <c r="D13" s="254" t="s">
        <v>5</v>
      </c>
      <c r="E13" s="255" t="s">
        <v>1</v>
      </c>
      <c r="F13" s="256" t="s">
        <v>21</v>
      </c>
      <c r="H13" s="125" t="s">
        <v>2</v>
      </c>
      <c r="J13" s="280"/>
      <c r="K13" s="280"/>
      <c r="L13" s="280"/>
      <c r="M13" s="280"/>
      <c r="N13" s="262" t="s">
        <v>107</v>
      </c>
      <c r="O13" s="141">
        <f>Operacional_10_dias!O13</f>
        <v>54.400000000000006</v>
      </c>
      <c r="P13" s="137"/>
      <c r="Q13" s="142">
        <v>0.1</v>
      </c>
      <c r="R13" s="261">
        <v>100</v>
      </c>
      <c r="S13" s="280"/>
      <c r="T13" s="280"/>
      <c r="U13" s="280"/>
      <c r="V13" s="280"/>
      <c r="W13" s="280"/>
      <c r="X13" s="280"/>
      <c r="Y13" s="280"/>
      <c r="Z13" s="280"/>
      <c r="AB13" s="294" t="s">
        <v>0</v>
      </c>
      <c r="AC13" s="283" t="s">
        <v>0</v>
      </c>
      <c r="AD13" s="282" t="s">
        <v>12</v>
      </c>
      <c r="AE13" s="284" t="s">
        <v>13</v>
      </c>
      <c r="AF13" s="285" t="s">
        <v>17</v>
      </c>
      <c r="AG13" s="283" t="s">
        <v>18</v>
      </c>
      <c r="AH13" s="286" t="s">
        <v>19</v>
      </c>
      <c r="AI13" s="287" t="s">
        <v>103</v>
      </c>
      <c r="AJ13" s="169" t="s">
        <v>98</v>
      </c>
      <c r="AK13" s="287" t="s">
        <v>110</v>
      </c>
      <c r="AL13" s="285" t="s">
        <v>21</v>
      </c>
      <c r="AM13" s="170" t="s">
        <v>105</v>
      </c>
      <c r="AN13" s="288" t="s">
        <v>106</v>
      </c>
      <c r="AO13" s="171" t="s">
        <v>108</v>
      </c>
      <c r="BD13" s="212"/>
      <c r="BE13" s="210"/>
    </row>
    <row r="14" spans="2:57" ht="18" customHeight="1" x14ac:dyDescent="0.25">
      <c r="B14" s="252" t="s">
        <v>25</v>
      </c>
      <c r="C14" s="253" t="s">
        <v>139</v>
      </c>
      <c r="D14" s="254" t="s">
        <v>140</v>
      </c>
      <c r="E14" s="255" t="s">
        <v>22</v>
      </c>
      <c r="F14" s="390" t="s">
        <v>88</v>
      </c>
      <c r="H14" s="125" t="s">
        <v>3</v>
      </c>
      <c r="I14" s="339"/>
      <c r="J14" s="339"/>
      <c r="K14" s="339"/>
      <c r="L14" s="339"/>
      <c r="M14" s="339"/>
      <c r="N14" s="263" t="s">
        <v>109</v>
      </c>
      <c r="O14" s="264">
        <f>Operacional_10_dias!O14</f>
        <v>163.89999999999998</v>
      </c>
      <c r="P14" s="265"/>
      <c r="Q14" s="266">
        <v>0.1</v>
      </c>
      <c r="R14" s="267">
        <v>200</v>
      </c>
      <c r="S14" s="339"/>
      <c r="T14" s="339"/>
      <c r="U14" s="339"/>
      <c r="V14" s="339"/>
      <c r="W14" s="339"/>
      <c r="X14" s="339"/>
      <c r="Y14" s="339"/>
      <c r="Z14" s="339"/>
      <c r="AB14" s="295" t="s">
        <v>4</v>
      </c>
      <c r="AC14" s="283" t="s">
        <v>53</v>
      </c>
      <c r="AD14" s="396" t="s">
        <v>143</v>
      </c>
      <c r="AE14" s="397" t="s">
        <v>86</v>
      </c>
      <c r="AF14" s="398" t="s">
        <v>87</v>
      </c>
      <c r="AG14" s="289"/>
      <c r="AH14" s="289"/>
      <c r="AI14" s="396" t="s">
        <v>144</v>
      </c>
      <c r="AK14" s="396" t="s">
        <v>145</v>
      </c>
      <c r="AL14" s="399" t="s">
        <v>88</v>
      </c>
      <c r="AN14" s="400" t="s">
        <v>146</v>
      </c>
      <c r="BD14" s="212"/>
      <c r="BE14" s="210"/>
    </row>
    <row r="15" spans="2:57" ht="18" x14ac:dyDescent="0.25">
      <c r="B15" s="252" t="s">
        <v>141</v>
      </c>
      <c r="C15" s="253" t="s">
        <v>43</v>
      </c>
      <c r="D15" s="254" t="s">
        <v>43</v>
      </c>
      <c r="E15" s="255" t="s">
        <v>141</v>
      </c>
      <c r="F15" s="390"/>
      <c r="H15" s="280" t="s">
        <v>99</v>
      </c>
      <c r="I15" s="393"/>
      <c r="J15" s="393"/>
      <c r="K15" s="393"/>
      <c r="L15" s="393"/>
      <c r="M15" s="393"/>
      <c r="N15" s="393"/>
      <c r="O15" s="393"/>
      <c r="P15" s="393"/>
      <c r="Q15" s="393"/>
      <c r="R15" s="393"/>
      <c r="S15" s="393"/>
      <c r="T15" s="393"/>
      <c r="U15" s="393"/>
      <c r="V15" s="393"/>
      <c r="W15" s="393"/>
      <c r="X15" s="393"/>
      <c r="Y15" s="393"/>
      <c r="Z15" s="393"/>
      <c r="AB15" s="295" t="s">
        <v>10</v>
      </c>
      <c r="AC15" s="290"/>
      <c r="AD15" s="396"/>
      <c r="AE15" s="397"/>
      <c r="AF15" s="398"/>
      <c r="AG15" s="289"/>
      <c r="AH15" s="289"/>
      <c r="AI15" s="396"/>
      <c r="AK15" s="396"/>
      <c r="AL15" s="399"/>
      <c r="AN15" s="400"/>
      <c r="BD15" s="212"/>
      <c r="BE15" s="210"/>
    </row>
    <row r="16" spans="2:57" ht="18" customHeight="1" x14ac:dyDescent="0.25">
      <c r="B16" s="257"/>
      <c r="C16" s="174"/>
      <c r="D16" s="175"/>
      <c r="E16" s="258" t="s">
        <v>84</v>
      </c>
      <c r="F16" s="279" t="s">
        <v>141</v>
      </c>
      <c r="G16" s="298"/>
      <c r="I16" s="394" t="s">
        <v>142</v>
      </c>
      <c r="J16" s="394"/>
      <c r="K16" s="394"/>
      <c r="L16" s="394"/>
      <c r="M16" s="394"/>
      <c r="N16" s="394"/>
      <c r="O16" s="394"/>
      <c r="P16" s="394"/>
      <c r="Q16" s="394"/>
      <c r="R16" s="394"/>
      <c r="S16" s="394"/>
      <c r="T16" s="394"/>
      <c r="U16" s="394"/>
      <c r="V16" s="394"/>
      <c r="W16" s="394"/>
      <c r="X16" s="394"/>
      <c r="Y16" s="394"/>
      <c r="Z16" s="394"/>
      <c r="AA16" s="298"/>
      <c r="BA16" s="125" t="s">
        <v>5</v>
      </c>
      <c r="BD16" s="212"/>
      <c r="BE16" s="210"/>
    </row>
    <row r="17" spans="1:65" x14ac:dyDescent="0.2">
      <c r="B17" s="173">
        <f>STDEV(B24:B68)</f>
        <v>538.82346535137606</v>
      </c>
      <c r="C17" s="174">
        <f>ABS(F17-B17)/B17</f>
        <v>0.8859191200698221</v>
      </c>
      <c r="D17" s="175"/>
      <c r="E17" s="133">
        <f>STDEV(E24:E68)</f>
        <v>510.95494355395175</v>
      </c>
      <c r="F17" s="133">
        <f>STDEV(F24:F68)</f>
        <v>61.469455054312718</v>
      </c>
      <c r="I17" s="281">
        <f>Operacional_10_dias!I17</f>
        <v>5.5555555555555552E-2</v>
      </c>
      <c r="J17" s="281">
        <f>Operacional_10_dias!J17</f>
        <v>5.5555555555555552E-2</v>
      </c>
      <c r="K17" s="281">
        <f>Operacional_10_dias!K17</f>
        <v>5.5555555555555552E-2</v>
      </c>
      <c r="L17" s="281">
        <f>Operacional_10_dias!L17</f>
        <v>5.5555555555555552E-2</v>
      </c>
      <c r="M17" s="281">
        <f>Operacional_10_dias!M17</f>
        <v>5.5555555555555552E-2</v>
      </c>
      <c r="N17" s="281">
        <f>Operacional_10_dias!N17</f>
        <v>5.5555555555555552E-2</v>
      </c>
      <c r="O17" s="281">
        <f>Operacional_10_dias!O17</f>
        <v>5.5555555555555552E-2</v>
      </c>
      <c r="P17" s="281">
        <f>Operacional_10_dias!P17</f>
        <v>5.5555555555555552E-2</v>
      </c>
      <c r="Q17" s="281">
        <f>Operacional_10_dias!Q17</f>
        <v>5.5555555555555552E-2</v>
      </c>
      <c r="R17" s="281">
        <f>Operacional_10_dias!R17</f>
        <v>5.5555555555555552E-2</v>
      </c>
      <c r="S17" s="281">
        <f>Operacional_10_dias!S17</f>
        <v>5.5555555555555552E-2</v>
      </c>
      <c r="T17" s="281">
        <f>Operacional_10_dias!T17</f>
        <v>5.5555555555555552E-2</v>
      </c>
      <c r="U17" s="281">
        <f>Operacional_10_dias!U17</f>
        <v>5.5555555555555552E-2</v>
      </c>
      <c r="V17" s="281">
        <f>Operacional_10_dias!V17</f>
        <v>5.5555555555555552E-2</v>
      </c>
      <c r="W17" s="281">
        <f>Operacional_10_dias!W17</f>
        <v>5.5555555555555552E-2</v>
      </c>
      <c r="X17" s="281">
        <f>Operacional_10_dias!X17</f>
        <v>5.5555555555555552E-2</v>
      </c>
      <c r="Y17" s="281">
        <f>Operacional_10_dias!Y17</f>
        <v>5.5555555555555552E-2</v>
      </c>
      <c r="Z17" s="281">
        <f>Operacional_10_dias!Z17</f>
        <v>5.5555555555555552E-2</v>
      </c>
      <c r="AB17" s="207">
        <f>SUM(I17:Z17)</f>
        <v>1.0000000000000002</v>
      </c>
      <c r="AC17" s="176"/>
      <c r="BA17" s="125" t="s">
        <v>44</v>
      </c>
      <c r="BD17" s="210"/>
      <c r="BE17" s="210"/>
    </row>
    <row r="18" spans="1:65" x14ac:dyDescent="0.2">
      <c r="B18" s="177"/>
      <c r="C18" s="178"/>
      <c r="D18" s="179"/>
      <c r="E18" s="180" t="s">
        <v>4</v>
      </c>
      <c r="F18" s="180" t="s">
        <v>4</v>
      </c>
      <c r="I18" s="134">
        <v>2352002</v>
      </c>
      <c r="J18" s="134">
        <v>2353044</v>
      </c>
      <c r="K18" s="134">
        <v>2352000</v>
      </c>
      <c r="L18" s="134">
        <v>2550000</v>
      </c>
      <c r="M18" s="134">
        <v>2451003</v>
      </c>
      <c r="N18" s="134">
        <v>2353001</v>
      </c>
      <c r="O18" s="134">
        <v>2353002</v>
      </c>
      <c r="P18" s="134">
        <v>2453013</v>
      </c>
      <c r="Q18" s="134">
        <v>2451015</v>
      </c>
      <c r="R18" s="134">
        <v>2451002</v>
      </c>
      <c r="S18" s="134">
        <v>2552006</v>
      </c>
      <c r="T18" s="134">
        <v>2452000</v>
      </c>
      <c r="U18" s="134">
        <v>2553009</v>
      </c>
      <c r="V18" s="134">
        <v>2453000</v>
      </c>
      <c r="W18" s="134">
        <v>2353004</v>
      </c>
      <c r="X18" s="134">
        <v>2451010</v>
      </c>
      <c r="Y18" s="134">
        <v>2451013</v>
      </c>
      <c r="Z18" s="134">
        <v>2452009</v>
      </c>
      <c r="AB18" s="207"/>
      <c r="AC18" s="181"/>
      <c r="BA18" s="125" t="s">
        <v>6</v>
      </c>
      <c r="BD18" s="210"/>
      <c r="BE18" s="210"/>
    </row>
    <row r="19" spans="1:65" x14ac:dyDescent="0.2">
      <c r="A19" s="182" t="s">
        <v>100</v>
      </c>
      <c r="B19" s="183">
        <f>AVERAGE(B24:B68)</f>
        <v>1515.2042847344769</v>
      </c>
      <c r="C19" s="174">
        <f>ABS(F19-B19)/B19</f>
        <v>0.77848326519503919</v>
      </c>
      <c r="D19" s="175">
        <f>AVERAGE(D24:D68)</f>
        <v>5.1341138269311429E-2</v>
      </c>
      <c r="E19" s="184">
        <f>AVERAGE(E24:E68)</f>
        <v>1478.1428568377066</v>
      </c>
      <c r="F19" s="184">
        <f>AVERAGE(F24:F68)</f>
        <v>335.64310571686735</v>
      </c>
      <c r="G19" s="299"/>
      <c r="H19" s="185">
        <f t="shared" ref="H19:Z19" si="0">SUM(H21:H68)</f>
        <v>219.73805309734513</v>
      </c>
      <c r="I19" s="185">
        <f t="shared" si="0"/>
        <v>326.39000000000004</v>
      </c>
      <c r="J19" s="185">
        <f t="shared" si="0"/>
        <v>326.39000000000004</v>
      </c>
      <c r="K19" s="185">
        <f t="shared" si="0"/>
        <v>326.39000000000004</v>
      </c>
      <c r="L19" s="185">
        <f t="shared" si="0"/>
        <v>326.39000000000004</v>
      </c>
      <c r="M19" s="185">
        <f t="shared" si="0"/>
        <v>326.39000000000004</v>
      </c>
      <c r="N19" s="185">
        <f t="shared" si="0"/>
        <v>326.39000000000004</v>
      </c>
      <c r="O19" s="185">
        <f t="shared" si="0"/>
        <v>326.39000000000004</v>
      </c>
      <c r="P19" s="185">
        <f t="shared" si="0"/>
        <v>326.39000000000004</v>
      </c>
      <c r="Q19" s="185">
        <f t="shared" si="0"/>
        <v>326.39000000000004</v>
      </c>
      <c r="R19" s="185">
        <f t="shared" si="0"/>
        <v>326.39000000000004</v>
      </c>
      <c r="S19" s="185">
        <f t="shared" si="0"/>
        <v>326.39000000000004</v>
      </c>
      <c r="T19" s="185">
        <f t="shared" si="0"/>
        <v>326.39000000000004</v>
      </c>
      <c r="U19" s="185">
        <f t="shared" si="0"/>
        <v>326.39000000000004</v>
      </c>
      <c r="V19" s="185">
        <f t="shared" si="0"/>
        <v>326.39000000000004</v>
      </c>
      <c r="W19" s="185">
        <f t="shared" si="0"/>
        <v>326.39000000000004</v>
      </c>
      <c r="X19" s="185">
        <f t="shared" si="0"/>
        <v>326.39000000000004</v>
      </c>
      <c r="Y19" s="185">
        <f t="shared" si="0"/>
        <v>326.39000000000004</v>
      </c>
      <c r="Z19" s="185">
        <f t="shared" si="0"/>
        <v>326.39000000000004</v>
      </c>
      <c r="AA19" s="299"/>
      <c r="AB19" s="185">
        <f>SUM(AB21:AB68)</f>
        <v>326.39000000000004</v>
      </c>
      <c r="AC19" s="185"/>
      <c r="AD19" s="185">
        <f>AVERAGE(AD24:AD68)</f>
        <v>59.243643010470741</v>
      </c>
      <c r="AE19" s="181">
        <f>AVERAGE(AE24:AE68)</f>
        <v>0.75321773612907461</v>
      </c>
      <c r="AF19" s="185">
        <f>SUM(AF24:AF68)</f>
        <v>80.064910478616852</v>
      </c>
      <c r="AG19" s="185">
        <f>SUM(AG24:AG68)</f>
        <v>167.56835276313117</v>
      </c>
      <c r="AH19" s="185">
        <f>SUM(AH24:AH68)</f>
        <v>46.919163952308288</v>
      </c>
      <c r="AI19" s="185">
        <f>AVERAGE(AI24:AI68)</f>
        <v>5.3730149454103255</v>
      </c>
      <c r="AJ19" s="185">
        <f>SUM(AJ24:AJ68)</f>
        <v>79.71214571937378</v>
      </c>
      <c r="AK19" s="185">
        <f>AVERAGE(AK24:AK68)</f>
        <v>37.077277654606192</v>
      </c>
      <c r="AL19" s="185">
        <f>SUM(AL24:AL68)</f>
        <v>23.417801296112778</v>
      </c>
      <c r="AM19" s="185"/>
      <c r="AN19" s="185"/>
      <c r="AO19" s="185"/>
      <c r="AS19" s="168"/>
      <c r="AT19" s="186" t="s">
        <v>35</v>
      </c>
      <c r="AV19" s="151"/>
      <c r="AW19" s="151"/>
      <c r="AX19" s="151"/>
      <c r="AY19" s="168"/>
      <c r="AZ19" s="186" t="s">
        <v>36</v>
      </c>
      <c r="BA19" s="156"/>
      <c r="BB19" s="156"/>
      <c r="BD19" s="210"/>
      <c r="BE19" s="210"/>
    </row>
    <row r="20" spans="1:65" ht="13.5" thickBot="1" x14ac:dyDescent="0.25">
      <c r="A20" s="182"/>
      <c r="B20" s="185"/>
      <c r="C20" s="181"/>
      <c r="D20" s="181"/>
      <c r="E20" s="185"/>
      <c r="F20" s="185"/>
      <c r="G20" s="299"/>
      <c r="H20" s="185"/>
      <c r="I20" s="185"/>
      <c r="J20" s="185"/>
      <c r="K20" s="185"/>
      <c r="L20" s="185"/>
      <c r="M20" s="185"/>
      <c r="N20" s="185"/>
      <c r="O20" s="185"/>
      <c r="P20" s="185"/>
      <c r="Q20" s="185"/>
      <c r="R20" s="185"/>
      <c r="S20" s="185"/>
      <c r="T20" s="185"/>
      <c r="U20" s="185"/>
      <c r="V20" s="185"/>
      <c r="W20" s="185"/>
      <c r="X20" s="185"/>
      <c r="Y20" s="185"/>
      <c r="Z20" s="185"/>
      <c r="AA20" s="299"/>
      <c r="AB20" s="185"/>
      <c r="AC20" s="185"/>
      <c r="AD20" s="132">
        <f>Z4*O5</f>
        <v>47.864438466120653</v>
      </c>
      <c r="AE20" s="185"/>
      <c r="AF20" s="185"/>
      <c r="AG20" s="185"/>
      <c r="AH20" s="185"/>
      <c r="AI20" s="204">
        <f>Operacional_10_dias!AI20</f>
        <v>5</v>
      </c>
      <c r="AJ20" s="185"/>
      <c r="AK20" s="132">
        <f>Y5/(1-P10)/Y9*86.4</f>
        <v>27.210714675381308</v>
      </c>
      <c r="AL20" s="185"/>
      <c r="AM20" s="185"/>
      <c r="AN20" s="187">
        <v>0</v>
      </c>
      <c r="AO20" s="185"/>
      <c r="AS20" s="132"/>
      <c r="AT20" s="188">
        <f>(AS22-AT22)/AS22</f>
        <v>-5.2787375536383507</v>
      </c>
      <c r="AV20" s="151"/>
      <c r="AW20" s="151" t="s">
        <v>42</v>
      </c>
      <c r="AX20" s="151"/>
      <c r="AY20" s="132"/>
      <c r="AZ20" s="188">
        <f>(AY22-AZ22)/AY22</f>
        <v>0.99747981650422979</v>
      </c>
      <c r="BA20" s="189"/>
      <c r="BB20" s="189"/>
      <c r="BD20" s="210"/>
      <c r="BE20" s="210"/>
    </row>
    <row r="21" spans="1:65" ht="13.5" thickBot="1" x14ac:dyDescent="0.25">
      <c r="A21" s="213">
        <f t="shared" ref="A21:A50" si="1">A22-1</f>
        <v>42426</v>
      </c>
      <c r="B21" s="190">
        <f>VLOOKUP(A21,P_Q_obs!$A$4:$H$304,8,FALSE)</f>
        <v>777.36546287369697</v>
      </c>
      <c r="C21" s="168"/>
      <c r="D21" s="168"/>
      <c r="E21" s="132"/>
      <c r="F21" s="132"/>
      <c r="G21" s="300"/>
      <c r="H21" s="127">
        <f>VLOOKUP(MONTH(A21),ETP_Parametros!$A$6:$D$17,4,FALSE)</f>
        <v>5.7345132743362832</v>
      </c>
      <c r="I21" s="229">
        <f>VLOOKUP(A21,P_Q_obs!$A$4:$F$308,2,FALSE)*1</f>
        <v>3.9</v>
      </c>
      <c r="J21" s="229">
        <f t="shared" ref="J21:Z21" si="2">I21</f>
        <v>3.9</v>
      </c>
      <c r="K21" s="229">
        <f t="shared" si="2"/>
        <v>3.9</v>
      </c>
      <c r="L21" s="229">
        <f t="shared" si="2"/>
        <v>3.9</v>
      </c>
      <c r="M21" s="229">
        <f t="shared" si="2"/>
        <v>3.9</v>
      </c>
      <c r="N21" s="229">
        <f t="shared" si="2"/>
        <v>3.9</v>
      </c>
      <c r="O21" s="229">
        <f t="shared" si="2"/>
        <v>3.9</v>
      </c>
      <c r="P21" s="229">
        <f t="shared" si="2"/>
        <v>3.9</v>
      </c>
      <c r="Q21" s="229">
        <f t="shared" si="2"/>
        <v>3.9</v>
      </c>
      <c r="R21" s="229">
        <f t="shared" si="2"/>
        <v>3.9</v>
      </c>
      <c r="S21" s="229">
        <f t="shared" si="2"/>
        <v>3.9</v>
      </c>
      <c r="T21" s="229">
        <f t="shared" si="2"/>
        <v>3.9</v>
      </c>
      <c r="U21" s="229">
        <f t="shared" si="2"/>
        <v>3.9</v>
      </c>
      <c r="V21" s="229">
        <f t="shared" si="2"/>
        <v>3.9</v>
      </c>
      <c r="W21" s="229">
        <f t="shared" si="2"/>
        <v>3.9</v>
      </c>
      <c r="X21" s="229">
        <f t="shared" si="2"/>
        <v>3.9</v>
      </c>
      <c r="Y21" s="229">
        <f t="shared" si="2"/>
        <v>3.9</v>
      </c>
      <c r="Z21" s="291">
        <f t="shared" si="2"/>
        <v>3.9</v>
      </c>
      <c r="AA21" s="300"/>
      <c r="AB21" s="191">
        <f t="shared" ref="AB21:AB63" si="3">SUMPRODUCT($I$17:$Z$17,I21:Z21)</f>
        <v>3.9000000000000004</v>
      </c>
      <c r="AC21" s="191"/>
      <c r="AD21" s="132"/>
      <c r="AE21" s="168"/>
      <c r="AF21" s="192"/>
      <c r="AG21" s="192"/>
      <c r="AH21" s="192"/>
      <c r="AI21" s="167"/>
      <c r="AJ21" s="192"/>
      <c r="AK21" s="132"/>
      <c r="AL21" s="192"/>
      <c r="AM21" s="192"/>
      <c r="AN21" s="192"/>
      <c r="AO21" s="192"/>
      <c r="AS21" s="168" t="s">
        <v>37</v>
      </c>
      <c r="AT21" s="144" t="s">
        <v>38</v>
      </c>
      <c r="AU21" s="147" t="s">
        <v>39</v>
      </c>
      <c r="AV21" s="193" t="s">
        <v>40</v>
      </c>
      <c r="AW21" s="144"/>
      <c r="AX21" s="144"/>
      <c r="AY21" s="168" t="s">
        <v>37</v>
      </c>
      <c r="AZ21" s="144" t="s">
        <v>38</v>
      </c>
      <c r="BA21" s="156"/>
      <c r="BB21" s="156"/>
      <c r="BD21" s="210"/>
      <c r="BE21" s="210"/>
    </row>
    <row r="22" spans="1:65" ht="13.5" thickBot="1" x14ac:dyDescent="0.25">
      <c r="A22" s="213">
        <f t="shared" si="1"/>
        <v>42427</v>
      </c>
      <c r="B22" s="190">
        <f>VLOOKUP(A22,P_Q_obs!$A$4:$H$304,8,FALSE)</f>
        <v>1041.38518966268</v>
      </c>
      <c r="C22" s="168"/>
      <c r="D22" s="168"/>
      <c r="E22" s="132"/>
      <c r="F22" s="132"/>
      <c r="G22" s="300"/>
      <c r="H22" s="127">
        <f>VLOOKUP(MONTH(A22),ETP_Parametros!$A$6:$D$17,4,FALSE)</f>
        <v>5.7345132743362832</v>
      </c>
      <c r="I22" s="229">
        <f>VLOOKUP(A22,P_Q_obs!$A$4:$F$308,2,FALSE)*1</f>
        <v>14.85</v>
      </c>
      <c r="J22" s="229">
        <f t="shared" ref="J22:Y37" si="4">I22</f>
        <v>14.85</v>
      </c>
      <c r="K22" s="229">
        <f t="shared" si="4"/>
        <v>14.85</v>
      </c>
      <c r="L22" s="229">
        <f t="shared" si="4"/>
        <v>14.85</v>
      </c>
      <c r="M22" s="229">
        <f t="shared" si="4"/>
        <v>14.85</v>
      </c>
      <c r="N22" s="229">
        <f t="shared" si="4"/>
        <v>14.85</v>
      </c>
      <c r="O22" s="229">
        <f t="shared" si="4"/>
        <v>14.85</v>
      </c>
      <c r="P22" s="229">
        <f t="shared" si="4"/>
        <v>14.85</v>
      </c>
      <c r="Q22" s="229">
        <f t="shared" si="4"/>
        <v>14.85</v>
      </c>
      <c r="R22" s="229">
        <f t="shared" si="4"/>
        <v>14.85</v>
      </c>
      <c r="S22" s="229">
        <f t="shared" si="4"/>
        <v>14.85</v>
      </c>
      <c r="T22" s="229">
        <f t="shared" ref="T22:Z36" si="5">S22</f>
        <v>14.85</v>
      </c>
      <c r="U22" s="229">
        <f t="shared" si="5"/>
        <v>14.85</v>
      </c>
      <c r="V22" s="229">
        <f t="shared" si="5"/>
        <v>14.85</v>
      </c>
      <c r="W22" s="229">
        <f t="shared" si="5"/>
        <v>14.85</v>
      </c>
      <c r="X22" s="229">
        <f t="shared" si="5"/>
        <v>14.85</v>
      </c>
      <c r="Y22" s="229">
        <f t="shared" si="5"/>
        <v>14.85</v>
      </c>
      <c r="Z22" s="291">
        <f t="shared" si="5"/>
        <v>14.85</v>
      </c>
      <c r="AA22" s="300"/>
      <c r="AB22" s="191">
        <f t="shared" si="3"/>
        <v>14.849999999999994</v>
      </c>
      <c r="AC22" s="192"/>
      <c r="AD22" s="132"/>
      <c r="AE22" s="168"/>
      <c r="AF22" s="192"/>
      <c r="AG22" s="192"/>
      <c r="AH22" s="192"/>
      <c r="AI22" s="167"/>
      <c r="AJ22" s="192"/>
      <c r="AK22" s="132"/>
      <c r="AL22" s="192"/>
      <c r="AM22" s="192"/>
      <c r="AN22" s="192"/>
      <c r="AO22" s="192"/>
      <c r="AS22" s="185">
        <f>SUM(AS24:AS68)</f>
        <v>8129260.3507714225</v>
      </c>
      <c r="AT22" s="185">
        <f>SUM(AT24:AT68)</f>
        <v>51041492.247691803</v>
      </c>
      <c r="AU22" s="195"/>
      <c r="AV22" s="196">
        <f>AVERAGE(AV24:AV68)</f>
        <v>-15</v>
      </c>
      <c r="AW22" s="185">
        <f>SUM(AW24:AW68)</f>
        <v>-1113.6226413240429</v>
      </c>
      <c r="AX22" s="185">
        <f>SUM(AX24:AX68)</f>
        <v>-30907.337405983733</v>
      </c>
      <c r="AY22" s="185">
        <f>SUM(AY24:AY68)</f>
        <v>25859008120.591743</v>
      </c>
      <c r="AZ22" s="185">
        <f>SUM(AZ24:AZ68)</f>
        <v>65169445.482501097</v>
      </c>
      <c r="BA22" s="197">
        <f>SUM(BA24:BA68)</f>
        <v>17.630966598891774</v>
      </c>
      <c r="BB22" s="197">
        <f>1-AVERAGE(BB24:BB68)</f>
        <v>0.22619487938223271</v>
      </c>
      <c r="BD22" s="395" t="s">
        <v>119</v>
      </c>
      <c r="BE22" s="395"/>
      <c r="BF22" s="395"/>
      <c r="BG22" s="395"/>
      <c r="BH22" s="395"/>
      <c r="BI22" s="395"/>
      <c r="BJ22" s="395"/>
      <c r="BK22" s="386" t="s">
        <v>148</v>
      </c>
      <c r="BL22" s="386"/>
    </row>
    <row r="23" spans="1:65" ht="13.5" thickBot="1" x14ac:dyDescent="0.25">
      <c r="A23" s="213">
        <f t="shared" si="1"/>
        <v>42428</v>
      </c>
      <c r="B23" s="190">
        <f>VLOOKUP(A23,P_Q_obs!$A$4:$H$304,8,FALSE)</f>
        <v>1128.6026205929199</v>
      </c>
      <c r="C23" s="168"/>
      <c r="D23" s="168"/>
      <c r="E23" s="132"/>
      <c r="F23" s="132"/>
      <c r="G23" s="300"/>
      <c r="H23" s="127">
        <f>VLOOKUP(MONTH(A23),ETP_Parametros!$A$6:$D$17,4,FALSE)</f>
        <v>5.7345132743362832</v>
      </c>
      <c r="I23" s="229">
        <f>VLOOKUP(A23,P_Q_obs!$A$4:$F$308,2,FALSE)*1</f>
        <v>3.05</v>
      </c>
      <c r="J23" s="229">
        <f t="shared" si="4"/>
        <v>3.05</v>
      </c>
      <c r="K23" s="229">
        <f t="shared" si="4"/>
        <v>3.05</v>
      </c>
      <c r="L23" s="229">
        <f t="shared" si="4"/>
        <v>3.05</v>
      </c>
      <c r="M23" s="229">
        <f t="shared" si="4"/>
        <v>3.05</v>
      </c>
      <c r="N23" s="229">
        <f t="shared" si="4"/>
        <v>3.05</v>
      </c>
      <c r="O23" s="229">
        <f t="shared" si="4"/>
        <v>3.05</v>
      </c>
      <c r="P23" s="229">
        <f t="shared" si="4"/>
        <v>3.05</v>
      </c>
      <c r="Q23" s="229">
        <f t="shared" si="4"/>
        <v>3.05</v>
      </c>
      <c r="R23" s="229">
        <f t="shared" si="4"/>
        <v>3.05</v>
      </c>
      <c r="S23" s="229">
        <f t="shared" si="4"/>
        <v>3.05</v>
      </c>
      <c r="T23" s="229">
        <f t="shared" si="5"/>
        <v>3.05</v>
      </c>
      <c r="U23" s="229">
        <f t="shared" si="5"/>
        <v>3.05</v>
      </c>
      <c r="V23" s="229">
        <f t="shared" si="5"/>
        <v>3.05</v>
      </c>
      <c r="W23" s="229">
        <f t="shared" si="5"/>
        <v>3.05</v>
      </c>
      <c r="X23" s="229">
        <f t="shared" si="5"/>
        <v>3.05</v>
      </c>
      <c r="Y23" s="229">
        <f t="shared" si="5"/>
        <v>3.05</v>
      </c>
      <c r="Z23" s="291">
        <f t="shared" si="5"/>
        <v>3.05</v>
      </c>
      <c r="AA23" s="300"/>
      <c r="AB23" s="191">
        <f t="shared" si="3"/>
        <v>3.0499999999999994</v>
      </c>
      <c r="AC23" s="192"/>
      <c r="AD23" s="132"/>
      <c r="AE23" s="168"/>
      <c r="AF23" s="192"/>
      <c r="AG23" s="192"/>
      <c r="AH23" s="192"/>
      <c r="AI23" s="167"/>
      <c r="AJ23" s="192"/>
      <c r="AK23" s="132"/>
      <c r="AL23" s="192"/>
      <c r="AM23" s="192"/>
      <c r="AN23" s="192"/>
      <c r="AO23" s="192"/>
      <c r="AS23" s="181"/>
      <c r="AT23" s="181"/>
      <c r="AU23" s="181"/>
      <c r="AV23" s="185">
        <v>0</v>
      </c>
      <c r="AW23" s="185">
        <v>0</v>
      </c>
      <c r="AX23" s="185">
        <v>0</v>
      </c>
      <c r="AY23" s="185"/>
      <c r="AZ23" s="185"/>
      <c r="BA23" s="185"/>
      <c r="BB23" s="185"/>
      <c r="BE23" s="395" t="s">
        <v>111</v>
      </c>
      <c r="BF23" s="395"/>
      <c r="BG23" s="395"/>
      <c r="BH23" s="395"/>
      <c r="BI23" s="395"/>
      <c r="BJ23" s="395"/>
      <c r="BK23" s="280" t="s">
        <v>149</v>
      </c>
      <c r="BL23" s="280" t="s">
        <v>150</v>
      </c>
      <c r="BM23" s="280"/>
    </row>
    <row r="24" spans="1:65" ht="13.5" thickBot="1" x14ac:dyDescent="0.25">
      <c r="A24" s="213">
        <f t="shared" si="1"/>
        <v>42429</v>
      </c>
      <c r="B24" s="190">
        <f>VLOOKUP(A24,P_Q_obs!$A$4:$H$304,8,FALSE)</f>
        <v>1035.03556978713</v>
      </c>
      <c r="C24" s="168">
        <f t="shared" ref="C24:C52" si="6">((E24-B24)/B24)^2</f>
        <v>1.9320904696515425E-4</v>
      </c>
      <c r="D24" s="198">
        <f t="shared" ref="D24:D52" si="7">ABS(B24-E24)/B24</f>
        <v>1.3899965718128741E-2</v>
      </c>
      <c r="E24" s="132">
        <f>(AJ24+AL24+AO24)*Y$9/86.4</f>
        <v>1049.422528724215</v>
      </c>
      <c r="F24" s="168">
        <f>(AL24*$Y$9)/86.4</f>
        <v>249.8449596097982</v>
      </c>
      <c r="G24" s="300"/>
      <c r="H24" s="127">
        <f>VLOOKUP(MONTH(A24),ETP_Parametros!$A$6:$D$17,4,FALSE)</f>
        <v>5.7345132743362832</v>
      </c>
      <c r="I24" s="229">
        <f>VLOOKUP(A24,P_Q_obs!$A$4:$F$308,2,FALSE)*1</f>
        <v>0.46</v>
      </c>
      <c r="J24" s="229">
        <f t="shared" si="4"/>
        <v>0.46</v>
      </c>
      <c r="K24" s="229">
        <f t="shared" si="4"/>
        <v>0.46</v>
      </c>
      <c r="L24" s="229">
        <f t="shared" si="4"/>
        <v>0.46</v>
      </c>
      <c r="M24" s="229">
        <f t="shared" si="4"/>
        <v>0.46</v>
      </c>
      <c r="N24" s="229">
        <f t="shared" si="4"/>
        <v>0.46</v>
      </c>
      <c r="O24" s="229">
        <f t="shared" si="4"/>
        <v>0.46</v>
      </c>
      <c r="P24" s="229">
        <f t="shared" si="4"/>
        <v>0.46</v>
      </c>
      <c r="Q24" s="229">
        <f t="shared" si="4"/>
        <v>0.46</v>
      </c>
      <c r="R24" s="229">
        <f t="shared" si="4"/>
        <v>0.46</v>
      </c>
      <c r="S24" s="229">
        <f t="shared" si="4"/>
        <v>0.46</v>
      </c>
      <c r="T24" s="229">
        <f t="shared" si="5"/>
        <v>0.46</v>
      </c>
      <c r="U24" s="229">
        <f t="shared" si="5"/>
        <v>0.46</v>
      </c>
      <c r="V24" s="229">
        <f t="shared" si="5"/>
        <v>0.46</v>
      </c>
      <c r="W24" s="229">
        <f t="shared" si="5"/>
        <v>0.46</v>
      </c>
      <c r="X24" s="229">
        <f t="shared" si="5"/>
        <v>0.46</v>
      </c>
      <c r="Y24" s="229">
        <f t="shared" si="5"/>
        <v>0.46</v>
      </c>
      <c r="Z24" s="291">
        <f t="shared" si="5"/>
        <v>0.46</v>
      </c>
      <c r="AA24" s="300"/>
      <c r="AB24" s="191">
        <f t="shared" si="3"/>
        <v>0.45999999999999996</v>
      </c>
      <c r="AC24" s="139">
        <f>(AB21*$J$5+AB22*$J$6+AB23*$J$7+AB24*$J$8+AB25*$J$9)*BE24</f>
        <v>1.8739810199400995</v>
      </c>
      <c r="AD24" s="132">
        <f>AD20+AC24-AF24-AG24-AH24</f>
        <v>45.521857732536013</v>
      </c>
      <c r="AE24" s="168">
        <f>AD20/$O$5</f>
        <v>0.6134791449041469</v>
      </c>
      <c r="AF24" s="192">
        <f>IF(AC24&gt;O$8,(AC24-O$8)^2/(AC24-O$8+O$5-AD20),0)</f>
        <v>0</v>
      </c>
      <c r="AG24" s="192">
        <f>IF((AC24-AF24)&gt;H24,H24*$O$11,(AC24-AF24+(H24*$O$11-(AC24-AF24))*AE24))</f>
        <v>3.8114839380300558</v>
      </c>
      <c r="AH24" s="192">
        <f>IF(AD20&gt;(P$9*O$5),(P$7*AE24*(AD20-(P$9*O$5))),0)</f>
        <v>0.40507781549467714</v>
      </c>
      <c r="AI24" s="168">
        <f>AI20+AF24-AJ24</f>
        <v>3.7603003629995762</v>
      </c>
      <c r="AJ24" s="192">
        <f>(AI20+AF24)*(1-P$6)</f>
        <v>1.2396996370004238</v>
      </c>
      <c r="AK24" s="132">
        <f>AK20-AL24+AH24</f>
        <v>27.228422062166111</v>
      </c>
      <c r="AL24" s="192">
        <f>AK20*(1-P$10)</f>
        <v>0.38737042870987626</v>
      </c>
      <c r="AM24" s="199">
        <v>0</v>
      </c>
      <c r="AN24" s="199">
        <v>0</v>
      </c>
      <c r="AO24" s="199">
        <v>0</v>
      </c>
      <c r="AS24" s="132">
        <f t="shared" ref="AS24:AS52" si="8">(B24-B$19)^2</f>
        <v>230561.99481418644</v>
      </c>
      <c r="AT24" s="132">
        <f t="shared" ref="AT24:AT52" si="9">(B24-F24)^2</f>
        <v>616524.29431065067</v>
      </c>
      <c r="AU24" s="200" t="str">
        <f t="shared" ref="AU24:AU52" si="10">IF(F24&lt;B24,"-","+")</f>
        <v>-</v>
      </c>
      <c r="AV24" s="132">
        <f>IF(AU24="-",AV23-1,AV23+1)</f>
        <v>-1</v>
      </c>
      <c r="AW24" s="132">
        <f t="shared" ref="AW24:AW52" si="11">F24-F$19</f>
        <v>-85.798146107069158</v>
      </c>
      <c r="AX24" s="132">
        <f>B24-B$19</f>
        <v>-480.16871494734687</v>
      </c>
      <c r="AY24" s="132">
        <f t="shared" ref="AY24:AY52" si="12">(AX24-AX$22)^2</f>
        <v>925812594.55278492</v>
      </c>
      <c r="AZ24" s="132">
        <f>(AX24-AW24)^2</f>
        <v>155528.14556740422</v>
      </c>
      <c r="BA24" s="167">
        <f t="shared" ref="BA24:BA52" si="13">((F24-B24)/B24)^2</f>
        <v>0.575492469260104</v>
      </c>
      <c r="BB24" s="167">
        <f t="shared" ref="BB24:BB52" si="14">ABS((F24-B24)/B24)</f>
        <v>0.75861219951969139</v>
      </c>
      <c r="BD24" s="211">
        <f>A24</f>
        <v>42429</v>
      </c>
      <c r="BE24" s="210">
        <f>Operacional_10_dias!BE24</f>
        <v>1.2170198204658247</v>
      </c>
      <c r="BF24" s="209">
        <v>0.5</v>
      </c>
      <c r="BG24" s="209">
        <v>2</v>
      </c>
      <c r="BH24" s="210"/>
      <c r="BI24" s="209"/>
      <c r="BJ24" s="209"/>
      <c r="BL24" s="168"/>
    </row>
    <row r="25" spans="1:65" ht="13.5" thickBot="1" x14ac:dyDescent="0.25">
      <c r="A25" s="213">
        <f t="shared" si="1"/>
        <v>42430</v>
      </c>
      <c r="B25" s="190">
        <f>VLOOKUP(A25,P_Q_obs!$A$4:$H$304,8,FALSE)</f>
        <v>894.423546771171</v>
      </c>
      <c r="C25" s="168">
        <f t="shared" si="6"/>
        <v>1.2366162118570292E-3</v>
      </c>
      <c r="D25" s="198">
        <f t="shared" si="7"/>
        <v>3.5165554337405647E-2</v>
      </c>
      <c r="E25" s="132">
        <f t="shared" ref="E25:E63" si="15">(AJ25+AL25+AO25)*Y$9/86.4</f>
        <v>862.97064693653431</v>
      </c>
      <c r="F25" s="168">
        <f t="shared" ref="F25:F63" si="16">(AL25*$Y$9)/86.4</f>
        <v>250.00754634773659</v>
      </c>
      <c r="G25" s="300"/>
      <c r="H25" s="127">
        <f>VLOOKUP(MONTH(A25),ETP_Parametros!$A$6:$D$17,4,FALSE)</f>
        <v>4.838709677419355</v>
      </c>
      <c r="I25" s="229">
        <f>VLOOKUP(A25,P_Q_obs!$A$4:$F$308,2,FALSE)*1</f>
        <v>0.24</v>
      </c>
      <c r="J25" s="229">
        <f t="shared" si="4"/>
        <v>0.24</v>
      </c>
      <c r="K25" s="229">
        <f t="shared" si="4"/>
        <v>0.24</v>
      </c>
      <c r="L25" s="229">
        <f t="shared" si="4"/>
        <v>0.24</v>
      </c>
      <c r="M25" s="229">
        <f t="shared" si="4"/>
        <v>0.24</v>
      </c>
      <c r="N25" s="229">
        <f t="shared" si="4"/>
        <v>0.24</v>
      </c>
      <c r="O25" s="229">
        <f t="shared" si="4"/>
        <v>0.24</v>
      </c>
      <c r="P25" s="229">
        <f t="shared" si="4"/>
        <v>0.24</v>
      </c>
      <c r="Q25" s="229">
        <f t="shared" si="4"/>
        <v>0.24</v>
      </c>
      <c r="R25" s="229">
        <f t="shared" si="4"/>
        <v>0.24</v>
      </c>
      <c r="S25" s="229">
        <f t="shared" si="4"/>
        <v>0.24</v>
      </c>
      <c r="T25" s="229">
        <f t="shared" si="5"/>
        <v>0.24</v>
      </c>
      <c r="U25" s="229">
        <f t="shared" si="5"/>
        <v>0.24</v>
      </c>
      <c r="V25" s="229">
        <f t="shared" si="5"/>
        <v>0.24</v>
      </c>
      <c r="W25" s="229">
        <f t="shared" si="5"/>
        <v>0.24</v>
      </c>
      <c r="X25" s="229">
        <f t="shared" si="5"/>
        <v>0.24</v>
      </c>
      <c r="Y25" s="229">
        <f t="shared" si="5"/>
        <v>0.24</v>
      </c>
      <c r="Z25" s="291">
        <f t="shared" si="5"/>
        <v>0.24</v>
      </c>
      <c r="AA25" s="300"/>
      <c r="AB25" s="191">
        <f t="shared" si="3"/>
        <v>0.24000000000000002</v>
      </c>
      <c r="AC25" s="139">
        <f t="shared" ref="AC25:AC63" si="17">(AB22*$J$5+AB23*$J$6+AB24*$J$7+AB25*$J$8+AB26*$J$9)*BE25</f>
        <v>3.5743669305951831</v>
      </c>
      <c r="AD25" s="132">
        <f>AD24+AC25-AF25-AG25-AH25</f>
        <v>44.786521733610442</v>
      </c>
      <c r="AE25" s="168">
        <f t="shared" ref="AE25:AE63" si="18">AD24/$O$5</f>
        <v>0.58345425646164162</v>
      </c>
      <c r="AF25" s="192">
        <f t="shared" ref="AF25:AF63" si="19">IF(AC25&gt;O$8,(AC25-O$8)^2/(AC25-O$8+O$5-AD24),0)</f>
        <v>7.274301056387579E-2</v>
      </c>
      <c r="AG25" s="192">
        <f>IF((AC25-AF25)&gt;H25,H25*$O$11,(AC25-AF25+(H25*$O$11-(AC25-AF25))*AE25))</f>
        <v>3.9359966811154177</v>
      </c>
      <c r="AH25" s="192">
        <f t="shared" ref="AH25:AH63" si="20">IF(AD24&gt;(P$9*O$5),(P$7*AE25*(AD24-(P$9*O$5))),0)</f>
        <v>0.30096323784146134</v>
      </c>
      <c r="AI25" s="168">
        <f t="shared" ref="AI25:AI63" si="21">AI24+AF25-AJ25</f>
        <v>2.8826788778007542</v>
      </c>
      <c r="AJ25" s="192">
        <f t="shared" ref="AJ25:AJ63" si="22">(AI24+AF25)*(1-P$6)</f>
        <v>0.95036449576269821</v>
      </c>
      <c r="AK25" s="132">
        <f t="shared" ref="AK25:AK63" si="23">AK24-AL25+AH25</f>
        <v>27.141762789788924</v>
      </c>
      <c r="AL25" s="192">
        <f t="shared" ref="AL25:AL63" si="24">AK24*(1-P$10)</f>
        <v>0.38762251021864919</v>
      </c>
      <c r="AM25" s="192">
        <f t="shared" ref="AM25:AM88" si="25">IF(AI24&lt;=$O$12,0,(AI24-$O$12)*(1-0.5^(1/$O$13)))</f>
        <v>0</v>
      </c>
      <c r="AN25" s="192">
        <f>AN24+AM25-AO25</f>
        <v>0</v>
      </c>
      <c r="AO25" s="192">
        <f t="shared" ref="AO25:AO88" si="26">AN24*(1-0.5^(1/$O$14))</f>
        <v>0</v>
      </c>
      <c r="AS25" s="132">
        <f t="shared" si="8"/>
        <v>385368.72462626669</v>
      </c>
      <c r="AT25" s="132">
        <f t="shared" si="9"/>
        <v>415271.98160173581</v>
      </c>
      <c r="AU25" s="200" t="str">
        <f t="shared" si="10"/>
        <v>-</v>
      </c>
      <c r="AV25" s="132">
        <f>IF(AU25="-",AV24-1,AV24+1)</f>
        <v>-2</v>
      </c>
      <c r="AW25" s="132">
        <f t="shared" si="11"/>
        <v>-85.63555936913076</v>
      </c>
      <c r="AX25" s="132">
        <f t="shared" ref="AX25:AX52" si="27">B25-B$19+AX24</f>
        <v>-1100.9494529106528</v>
      </c>
      <c r="AY25" s="132">
        <f t="shared" si="12"/>
        <v>888420762.80910015</v>
      </c>
      <c r="AZ25" s="132">
        <f t="shared" ref="AZ25:AZ52" si="28">(AX25-AW25)^2</f>
        <v>1030862.3024184451</v>
      </c>
      <c r="BA25" s="167">
        <f t="shared" si="13"/>
        <v>0.51909420695894126</v>
      </c>
      <c r="BB25" s="167">
        <f t="shared" si="14"/>
        <v>0.72048192687876722</v>
      </c>
      <c r="BD25" s="211">
        <f t="shared" ref="BD25:BD63" si="29">A25</f>
        <v>42430</v>
      </c>
      <c r="BE25" s="210">
        <f>Operacional_10_dias!BE25</f>
        <v>1.3735886218004494</v>
      </c>
      <c r="BF25" s="209">
        <v>0.5</v>
      </c>
      <c r="BG25" s="209">
        <v>2</v>
      </c>
      <c r="BH25" s="210"/>
      <c r="BI25" s="209"/>
      <c r="BJ25" s="209"/>
      <c r="BL25" s="168"/>
    </row>
    <row r="26" spans="1:65" ht="13.5" thickBot="1" x14ac:dyDescent="0.25">
      <c r="A26" s="213">
        <f t="shared" si="1"/>
        <v>42431</v>
      </c>
      <c r="B26" s="190">
        <f>VLOOKUP(A26,P_Q_obs!$A$4:$H$304,8,FALSE)</f>
        <v>770.51679494953601</v>
      </c>
      <c r="C26" s="168">
        <f t="shared" si="6"/>
        <v>2.1737215230292778E-4</v>
      </c>
      <c r="D26" s="198">
        <f t="shared" si="7"/>
        <v>1.4743546123742679E-2</v>
      </c>
      <c r="E26" s="132">
        <f t="shared" si="15"/>
        <v>781.87694485499287</v>
      </c>
      <c r="F26" s="168">
        <f t="shared" si="16"/>
        <v>249.21185308259496</v>
      </c>
      <c r="G26" s="300"/>
      <c r="H26" s="127">
        <f>VLOOKUP(MONTH(A26),ETP_Parametros!$A$6:$D$17,4,FALSE)</f>
        <v>4.838709677419355</v>
      </c>
      <c r="I26" s="229">
        <f>VLOOKUP(A26,P_Q_obs!$A$4:$F$308,2,FALSE)*1</f>
        <v>9.3000000000000007</v>
      </c>
      <c r="J26" s="229">
        <f t="shared" si="4"/>
        <v>9.3000000000000007</v>
      </c>
      <c r="K26" s="229">
        <f t="shared" si="4"/>
        <v>9.3000000000000007</v>
      </c>
      <c r="L26" s="229">
        <f t="shared" si="4"/>
        <v>9.3000000000000007</v>
      </c>
      <c r="M26" s="229">
        <f t="shared" si="4"/>
        <v>9.3000000000000007</v>
      </c>
      <c r="N26" s="229">
        <f t="shared" si="4"/>
        <v>9.3000000000000007</v>
      </c>
      <c r="O26" s="229">
        <f t="shared" si="4"/>
        <v>9.3000000000000007</v>
      </c>
      <c r="P26" s="229">
        <f t="shared" si="4"/>
        <v>9.3000000000000007</v>
      </c>
      <c r="Q26" s="229">
        <f t="shared" si="4"/>
        <v>9.3000000000000007</v>
      </c>
      <c r="R26" s="229">
        <f t="shared" si="4"/>
        <v>9.3000000000000007</v>
      </c>
      <c r="S26" s="229">
        <f t="shared" si="4"/>
        <v>9.3000000000000007</v>
      </c>
      <c r="T26" s="229">
        <f t="shared" si="5"/>
        <v>9.3000000000000007</v>
      </c>
      <c r="U26" s="229">
        <f t="shared" si="5"/>
        <v>9.3000000000000007</v>
      </c>
      <c r="V26" s="229">
        <f t="shared" si="5"/>
        <v>9.3000000000000007</v>
      </c>
      <c r="W26" s="229">
        <f t="shared" si="5"/>
        <v>9.3000000000000007</v>
      </c>
      <c r="X26" s="229">
        <f t="shared" si="5"/>
        <v>9.3000000000000007</v>
      </c>
      <c r="Y26" s="229">
        <f t="shared" si="5"/>
        <v>9.3000000000000007</v>
      </c>
      <c r="Z26" s="291">
        <f t="shared" si="5"/>
        <v>9.3000000000000007</v>
      </c>
      <c r="AA26" s="300"/>
      <c r="AB26" s="191">
        <f t="shared" si="3"/>
        <v>9.3000000000000025</v>
      </c>
      <c r="AC26" s="139">
        <f t="shared" si="17"/>
        <v>6.0902894020061362</v>
      </c>
      <c r="AD26" s="132">
        <f>AD25+AC26-AF26-AG26-AH26</f>
        <v>45.912395092847802</v>
      </c>
      <c r="AE26" s="168">
        <f t="shared" si="18"/>
        <v>0.57402944517596444</v>
      </c>
      <c r="AF26" s="192">
        <f t="shared" si="19"/>
        <v>0.44823679785006815</v>
      </c>
      <c r="AG26" s="192">
        <f t="shared" ref="AG26:AG88" si="30">IF((AC26-AF26)&gt;H26,H26*$O$11,(AC26-AF26+(H26*$O$11-(AC26-AF26))*AE26))</f>
        <v>4.2461086097452263</v>
      </c>
      <c r="AH26" s="192">
        <f t="shared" si="20"/>
        <v>0.27007063517348312</v>
      </c>
      <c r="AI26" s="168">
        <f t="shared" si="21"/>
        <v>2.5050486848541533</v>
      </c>
      <c r="AJ26" s="192">
        <f t="shared" si="22"/>
        <v>0.82586699079666914</v>
      </c>
      <c r="AK26" s="132">
        <f t="shared" si="23"/>
        <v>27.02544459198792</v>
      </c>
      <c r="AL26" s="192">
        <f t="shared" si="24"/>
        <v>0.38638883297448595</v>
      </c>
      <c r="AM26" s="192">
        <f t="shared" si="25"/>
        <v>0</v>
      </c>
      <c r="AN26" s="192">
        <f t="shared" ref="AN26:AN63" si="31">AN25+AM26-AO26</f>
        <v>0</v>
      </c>
      <c r="AO26" s="192">
        <f t="shared" si="26"/>
        <v>0</v>
      </c>
      <c r="AS26" s="132">
        <f t="shared" si="8"/>
        <v>554559.45744219644</v>
      </c>
      <c r="AT26" s="132">
        <f t="shared" si="9"/>
        <v>271758.84241489478</v>
      </c>
      <c r="AU26" s="200" t="str">
        <f t="shared" si="10"/>
        <v>-</v>
      </c>
      <c r="AV26" s="132">
        <f t="shared" ref="AV26:AV52" si="32">IF(AU26="-",AV25-1,AV25+1)</f>
        <v>-3</v>
      </c>
      <c r="AW26" s="132">
        <f t="shared" si="11"/>
        <v>-86.431252634272397</v>
      </c>
      <c r="AX26" s="132">
        <f t="shared" si="27"/>
        <v>-1845.6369426955937</v>
      </c>
      <c r="AY26" s="132">
        <f t="shared" si="12"/>
        <v>844582433.81788206</v>
      </c>
      <c r="AZ26" s="132">
        <f t="shared" si="28"/>
        <v>3094804.6599441296</v>
      </c>
      <c r="BA26" s="167">
        <f t="shared" si="13"/>
        <v>0.45774063209768601</v>
      </c>
      <c r="BB26" s="167">
        <f t="shared" si="14"/>
        <v>0.67656531990465341</v>
      </c>
      <c r="BD26" s="211">
        <f t="shared" si="29"/>
        <v>42431</v>
      </c>
      <c r="BE26" s="210">
        <f>Operacional_10_dias!BE26</f>
        <v>0.59747426994914621</v>
      </c>
      <c r="BF26" s="209">
        <v>0.5</v>
      </c>
      <c r="BG26" s="209">
        <v>2</v>
      </c>
      <c r="BH26" s="210"/>
      <c r="BI26" s="209"/>
      <c r="BJ26" s="209"/>
      <c r="BL26" s="168"/>
    </row>
    <row r="27" spans="1:65" ht="13.5" thickBot="1" x14ac:dyDescent="0.25">
      <c r="A27" s="213">
        <f t="shared" si="1"/>
        <v>42432</v>
      </c>
      <c r="B27" s="190">
        <f>VLOOKUP(A27,P_Q_obs!$A$4:$H$304,8,FALSE)</f>
        <v>2008.20300002503</v>
      </c>
      <c r="C27" s="168">
        <f t="shared" si="6"/>
        <v>1.243132393040255E-5</v>
      </c>
      <c r="D27" s="198">
        <f t="shared" si="7"/>
        <v>3.5258082662564835E-3</v>
      </c>
      <c r="E27" s="132">
        <f t="shared" si="15"/>
        <v>2015.2835387628393</v>
      </c>
      <c r="F27" s="168">
        <f t="shared" si="16"/>
        <v>248.143835730674</v>
      </c>
      <c r="G27" s="300"/>
      <c r="H27" s="127">
        <f>VLOOKUP(MONTH(A27),ETP_Parametros!$A$6:$D$17,4,FALSE)</f>
        <v>4.838709677419355</v>
      </c>
      <c r="I27" s="229">
        <f>VLOOKUP(A27,P_Q_obs!$A$4:$F$308,2,FALSE)*1</f>
        <v>31.29</v>
      </c>
      <c r="J27" s="229">
        <f t="shared" si="4"/>
        <v>31.29</v>
      </c>
      <c r="K27" s="229">
        <f t="shared" si="4"/>
        <v>31.29</v>
      </c>
      <c r="L27" s="229">
        <f t="shared" si="4"/>
        <v>31.29</v>
      </c>
      <c r="M27" s="229">
        <f t="shared" si="4"/>
        <v>31.29</v>
      </c>
      <c r="N27" s="229">
        <f t="shared" si="4"/>
        <v>31.29</v>
      </c>
      <c r="O27" s="229">
        <f t="shared" si="4"/>
        <v>31.29</v>
      </c>
      <c r="P27" s="229">
        <f t="shared" si="4"/>
        <v>31.29</v>
      </c>
      <c r="Q27" s="229">
        <f t="shared" si="4"/>
        <v>31.29</v>
      </c>
      <c r="R27" s="229">
        <f t="shared" si="4"/>
        <v>31.29</v>
      </c>
      <c r="S27" s="229">
        <f t="shared" si="4"/>
        <v>31.29</v>
      </c>
      <c r="T27" s="229">
        <f t="shared" si="5"/>
        <v>31.29</v>
      </c>
      <c r="U27" s="229">
        <f t="shared" si="5"/>
        <v>31.29</v>
      </c>
      <c r="V27" s="229">
        <f t="shared" si="5"/>
        <v>31.29</v>
      </c>
      <c r="W27" s="229">
        <f t="shared" si="5"/>
        <v>31.29</v>
      </c>
      <c r="X27" s="229">
        <f t="shared" si="5"/>
        <v>31.29</v>
      </c>
      <c r="Y27" s="229">
        <f t="shared" si="5"/>
        <v>31.29</v>
      </c>
      <c r="Z27" s="291">
        <f t="shared" si="5"/>
        <v>31.29</v>
      </c>
      <c r="AA27" s="300"/>
      <c r="AB27" s="191">
        <f t="shared" si="3"/>
        <v>31.29</v>
      </c>
      <c r="AC27" s="139">
        <f t="shared" si="17"/>
        <v>23.379420429365496</v>
      </c>
      <c r="AD27" s="132">
        <f t="shared" ref="AD27:AD63" si="33">AD26+AC27-AF27-AG27-AH27</f>
        <v>56.182579524370311</v>
      </c>
      <c r="AE27" s="168">
        <f t="shared" si="18"/>
        <v>0.58845977900687696</v>
      </c>
      <c r="AF27" s="192">
        <f t="shared" si="19"/>
        <v>8.5454095276578954</v>
      </c>
      <c r="AG27" s="192">
        <f t="shared" si="30"/>
        <v>4.2461086097452263</v>
      </c>
      <c r="AH27" s="192">
        <f t="shared" si="20"/>
        <v>0.31771786043986056</v>
      </c>
      <c r="AI27" s="168">
        <f>AI26+AF27-AJ27</f>
        <v>8.3106084055641407</v>
      </c>
      <c r="AJ27" s="192">
        <f t="shared" si="22"/>
        <v>2.7398498069479076</v>
      </c>
      <c r="AK27" s="132">
        <f t="shared" si="23"/>
        <v>26.958429519736931</v>
      </c>
      <c r="AL27" s="192">
        <f t="shared" si="24"/>
        <v>0.38473293269084874</v>
      </c>
      <c r="AM27" s="192">
        <f t="shared" si="25"/>
        <v>0</v>
      </c>
      <c r="AN27" s="192">
        <f t="shared" si="31"/>
        <v>0</v>
      </c>
      <c r="AO27" s="192">
        <f t="shared" si="26"/>
        <v>0</v>
      </c>
      <c r="AS27" s="132">
        <f t="shared" si="8"/>
        <v>243047.73327813577</v>
      </c>
      <c r="AT27" s="132">
        <f t="shared" si="9"/>
        <v>3097808.2618165468</v>
      </c>
      <c r="AU27" s="200" t="str">
        <f t="shared" si="10"/>
        <v>-</v>
      </c>
      <c r="AV27" s="132">
        <f t="shared" si="32"/>
        <v>-4</v>
      </c>
      <c r="AW27" s="132">
        <f t="shared" si="11"/>
        <v>-87.499269986193354</v>
      </c>
      <c r="AX27" s="132">
        <f t="shared" si="27"/>
        <v>-1352.6382274050407</v>
      </c>
      <c r="AY27" s="132">
        <f t="shared" si="12"/>
        <v>873480243.53628004</v>
      </c>
      <c r="AZ27" s="132">
        <f t="shared" si="28"/>
        <v>1600576.5815788477</v>
      </c>
      <c r="BA27" s="167">
        <f t="shared" si="13"/>
        <v>0.76813810669421811</v>
      </c>
      <c r="BB27" s="167">
        <f t="shared" si="14"/>
        <v>0.87643488445760653</v>
      </c>
      <c r="BD27" s="211">
        <f t="shared" si="29"/>
        <v>42432</v>
      </c>
      <c r="BE27" s="210">
        <f>Operacional_10_dias!BE27</f>
        <v>1.4681381157415605</v>
      </c>
      <c r="BF27" s="209">
        <v>0.5</v>
      </c>
      <c r="BG27" s="209">
        <v>2</v>
      </c>
      <c r="BH27" s="210"/>
      <c r="BI27" s="209"/>
      <c r="BJ27" s="209"/>
      <c r="BL27" s="168"/>
    </row>
    <row r="28" spans="1:65" ht="13.5" thickBot="1" x14ac:dyDescent="0.25">
      <c r="A28" s="213">
        <f t="shared" si="1"/>
        <v>42433</v>
      </c>
      <c r="B28" s="190">
        <f>VLOOKUP(A28,P_Q_obs!$A$4:$H$304,8,FALSE)</f>
        <v>2064.5436128544702</v>
      </c>
      <c r="C28" s="168">
        <f t="shared" si="6"/>
        <v>1.4887478678581607E-2</v>
      </c>
      <c r="D28" s="198">
        <f t="shared" si="7"/>
        <v>0.12201425604650305</v>
      </c>
      <c r="E28" s="132">
        <f t="shared" si="15"/>
        <v>2316.447365852468</v>
      </c>
      <c r="F28" s="168">
        <f t="shared" si="16"/>
        <v>247.52851275148947</v>
      </c>
      <c r="G28" s="300"/>
      <c r="H28" s="127">
        <f>VLOOKUP(MONTH(A28),ETP_Parametros!$A$6:$D$17,4,FALSE)</f>
        <v>4.838709677419355</v>
      </c>
      <c r="I28" s="229">
        <f>VLOOKUP(A28,P_Q_obs!$A$4:$F$308,2,FALSE)*1</f>
        <v>4.3499999999999996</v>
      </c>
      <c r="J28" s="229">
        <f t="shared" si="4"/>
        <v>4.3499999999999996</v>
      </c>
      <c r="K28" s="229">
        <f t="shared" si="4"/>
        <v>4.3499999999999996</v>
      </c>
      <c r="L28" s="229">
        <f t="shared" si="4"/>
        <v>4.3499999999999996</v>
      </c>
      <c r="M28" s="229">
        <f t="shared" si="4"/>
        <v>4.3499999999999996</v>
      </c>
      <c r="N28" s="229">
        <f t="shared" si="4"/>
        <v>4.3499999999999996</v>
      </c>
      <c r="O28" s="229">
        <f t="shared" si="4"/>
        <v>4.3499999999999996</v>
      </c>
      <c r="P28" s="229">
        <f t="shared" si="4"/>
        <v>4.3499999999999996</v>
      </c>
      <c r="Q28" s="229">
        <f t="shared" si="4"/>
        <v>4.3499999999999996</v>
      </c>
      <c r="R28" s="229">
        <f t="shared" si="4"/>
        <v>4.3499999999999996</v>
      </c>
      <c r="S28" s="229">
        <f t="shared" si="4"/>
        <v>4.3499999999999996</v>
      </c>
      <c r="T28" s="229">
        <f t="shared" si="5"/>
        <v>4.3499999999999996</v>
      </c>
      <c r="U28" s="229">
        <f t="shared" si="5"/>
        <v>4.3499999999999996</v>
      </c>
      <c r="V28" s="229">
        <f t="shared" si="5"/>
        <v>4.3499999999999996</v>
      </c>
      <c r="W28" s="229">
        <f t="shared" si="5"/>
        <v>4.3499999999999996</v>
      </c>
      <c r="X28" s="229">
        <f t="shared" si="5"/>
        <v>4.3499999999999996</v>
      </c>
      <c r="Y28" s="229">
        <f t="shared" si="5"/>
        <v>4.3499999999999996</v>
      </c>
      <c r="Z28" s="291">
        <f t="shared" si="5"/>
        <v>4.3499999999999996</v>
      </c>
      <c r="AA28" s="300"/>
      <c r="AB28" s="191">
        <f t="shared" si="3"/>
        <v>4.3499999999999996</v>
      </c>
      <c r="AC28" s="139">
        <f t="shared" si="17"/>
        <v>14.628482023902196</v>
      </c>
      <c r="AD28" s="132">
        <f t="shared" si="33"/>
        <v>61.093122083401489</v>
      </c>
      <c r="AE28" s="168">
        <f t="shared" si="18"/>
        <v>0.72009286956361573</v>
      </c>
      <c r="AF28" s="192">
        <f t="shared" si="19"/>
        <v>4.626965965065331</v>
      </c>
      <c r="AG28" s="192">
        <f t="shared" si="30"/>
        <v>4.2461086097452263</v>
      </c>
      <c r="AH28" s="192">
        <f t="shared" si="20"/>
        <v>0.84486489006046062</v>
      </c>
      <c r="AI28" s="168">
        <f t="shared" si="21"/>
        <v>9.7298331204424038</v>
      </c>
      <c r="AJ28" s="192">
        <f t="shared" si="22"/>
        <v>3.2077412501870683</v>
      </c>
      <c r="AK28" s="132">
        <f t="shared" si="23"/>
        <v>27.419515500460122</v>
      </c>
      <c r="AL28" s="192">
        <f t="shared" si="24"/>
        <v>0.38377890933726971</v>
      </c>
      <c r="AM28" s="192">
        <f t="shared" si="25"/>
        <v>0</v>
      </c>
      <c r="AN28" s="192">
        <f t="shared" si="31"/>
        <v>0</v>
      </c>
      <c r="AO28" s="192">
        <f t="shared" si="26"/>
        <v>0</v>
      </c>
      <c r="AS28" s="132">
        <f t="shared" si="8"/>
        <v>301773.69741932565</v>
      </c>
      <c r="AT28" s="132">
        <f t="shared" si="9"/>
        <v>3301543.8740022453</v>
      </c>
      <c r="AU28" s="200" t="str">
        <f t="shared" si="10"/>
        <v>-</v>
      </c>
      <c r="AV28" s="132">
        <f t="shared" si="32"/>
        <v>-5</v>
      </c>
      <c r="AW28" s="132">
        <f t="shared" si="11"/>
        <v>-88.114592965377881</v>
      </c>
      <c r="AX28" s="132">
        <f t="shared" si="27"/>
        <v>-803.29889928504736</v>
      </c>
      <c r="AY28" s="132">
        <f t="shared" si="12"/>
        <v>906253134.41279721</v>
      </c>
      <c r="AZ28" s="132">
        <f t="shared" si="28"/>
        <v>511488.59200594691</v>
      </c>
      <c r="BA28" s="167">
        <f t="shared" si="13"/>
        <v>0.77458476303413593</v>
      </c>
      <c r="BB28" s="167">
        <f t="shared" si="14"/>
        <v>0.88010497273571631</v>
      </c>
      <c r="BD28" s="211">
        <f t="shared" si="29"/>
        <v>42433</v>
      </c>
      <c r="BE28" s="210">
        <f>Operacional_10_dias!BE28</f>
        <v>1.0084366895767167</v>
      </c>
      <c r="BF28" s="209">
        <v>0.5</v>
      </c>
      <c r="BG28" s="209">
        <v>2</v>
      </c>
      <c r="BH28" s="210"/>
      <c r="BI28" s="209"/>
      <c r="BJ28" s="209"/>
      <c r="BL28" s="168"/>
    </row>
    <row r="29" spans="1:65" ht="13.5" thickBot="1" x14ac:dyDescent="0.25">
      <c r="A29" s="213">
        <f t="shared" si="1"/>
        <v>42434</v>
      </c>
      <c r="B29" s="190">
        <f>VLOOKUP(A29,P_Q_obs!$A$4:$H$304,8,FALSE)</f>
        <v>1933.3914916014901</v>
      </c>
      <c r="C29" s="168">
        <f t="shared" si="6"/>
        <v>6.6330040222668834E-5</v>
      </c>
      <c r="D29" s="198">
        <f t="shared" si="7"/>
        <v>8.1443256456669774E-3</v>
      </c>
      <c r="E29" s="132">
        <f t="shared" si="15"/>
        <v>1949.1376615096544</v>
      </c>
      <c r="F29" s="168">
        <f t="shared" si="16"/>
        <v>251.76213945349801</v>
      </c>
      <c r="G29" s="300"/>
      <c r="H29" s="127">
        <f>VLOOKUP(MONTH(A29),ETP_Parametros!$A$6:$D$17,4,FALSE)</f>
        <v>4.838709677419355</v>
      </c>
      <c r="I29" s="229">
        <f>VLOOKUP(A29,P_Q_obs!$A$4:$F$308,2,FALSE)*1</f>
        <v>1.32</v>
      </c>
      <c r="J29" s="229">
        <f t="shared" si="4"/>
        <v>1.32</v>
      </c>
      <c r="K29" s="229">
        <f t="shared" si="4"/>
        <v>1.32</v>
      </c>
      <c r="L29" s="229">
        <f t="shared" si="4"/>
        <v>1.32</v>
      </c>
      <c r="M29" s="229">
        <f t="shared" si="4"/>
        <v>1.32</v>
      </c>
      <c r="N29" s="229">
        <f t="shared" si="4"/>
        <v>1.32</v>
      </c>
      <c r="O29" s="229">
        <f t="shared" si="4"/>
        <v>1.32</v>
      </c>
      <c r="P29" s="229">
        <f t="shared" si="4"/>
        <v>1.32</v>
      </c>
      <c r="Q29" s="229">
        <f t="shared" si="4"/>
        <v>1.32</v>
      </c>
      <c r="R29" s="229">
        <f t="shared" si="4"/>
        <v>1.32</v>
      </c>
      <c r="S29" s="229">
        <f t="shared" si="4"/>
        <v>1.32</v>
      </c>
      <c r="T29" s="229">
        <f t="shared" si="5"/>
        <v>1.32</v>
      </c>
      <c r="U29" s="229">
        <f t="shared" si="5"/>
        <v>1.32</v>
      </c>
      <c r="V29" s="229">
        <f t="shared" si="5"/>
        <v>1.32</v>
      </c>
      <c r="W29" s="229">
        <f t="shared" si="5"/>
        <v>1.32</v>
      </c>
      <c r="X29" s="229">
        <f t="shared" si="5"/>
        <v>1.32</v>
      </c>
      <c r="Y29" s="229">
        <f t="shared" si="5"/>
        <v>1.32</v>
      </c>
      <c r="Z29" s="291">
        <f t="shared" si="5"/>
        <v>1.32</v>
      </c>
      <c r="AA29" s="300"/>
      <c r="AB29" s="191">
        <f t="shared" si="3"/>
        <v>1.3199999999999998</v>
      </c>
      <c r="AC29" s="139">
        <f t="shared" si="17"/>
        <v>6.3365742618437073</v>
      </c>
      <c r="AD29" s="132">
        <f t="shared" si="33"/>
        <v>61.143384082351041</v>
      </c>
      <c r="AE29" s="168">
        <f t="shared" si="18"/>
        <v>0.78303135890288134</v>
      </c>
      <c r="AF29" s="192">
        <f t="shared" si="19"/>
        <v>0.88436860069960077</v>
      </c>
      <c r="AG29" s="192">
        <f t="shared" si="30"/>
        <v>4.2461086097452263</v>
      </c>
      <c r="AH29" s="192">
        <f t="shared" si="20"/>
        <v>1.1558350524493168</v>
      </c>
      <c r="AI29" s="168">
        <f t="shared" si="21"/>
        <v>7.982517316992201</v>
      </c>
      <c r="AJ29" s="192">
        <f t="shared" si="22"/>
        <v>2.6316844041498033</v>
      </c>
      <c r="AK29" s="132">
        <f t="shared" si="23"/>
        <v>28.185007645670765</v>
      </c>
      <c r="AL29" s="192">
        <f t="shared" si="24"/>
        <v>0.39034290723867188</v>
      </c>
      <c r="AM29" s="192">
        <f t="shared" si="25"/>
        <v>0</v>
      </c>
      <c r="AN29" s="192">
        <f t="shared" si="31"/>
        <v>0</v>
      </c>
      <c r="AO29" s="192">
        <f t="shared" si="26"/>
        <v>0</v>
      </c>
      <c r="AS29" s="132">
        <f t="shared" si="8"/>
        <v>174880.53998723408</v>
      </c>
      <c r="AT29" s="132">
        <f t="shared" si="9"/>
        <v>2827877.2780056754</v>
      </c>
      <c r="AU29" s="200" t="str">
        <f t="shared" si="10"/>
        <v>-</v>
      </c>
      <c r="AV29" s="132">
        <f t="shared" si="32"/>
        <v>-6</v>
      </c>
      <c r="AW29" s="132">
        <f t="shared" si="11"/>
        <v>-83.880966263369345</v>
      </c>
      <c r="AX29" s="132">
        <f t="shared" si="27"/>
        <v>-385.11169241803418</v>
      </c>
      <c r="AY29" s="132">
        <f t="shared" si="12"/>
        <v>931606262.5098511</v>
      </c>
      <c r="AZ29" s="132">
        <f t="shared" si="28"/>
        <v>90739.950379666654</v>
      </c>
      <c r="BA29" s="167">
        <f t="shared" si="13"/>
        <v>0.75652093788483887</v>
      </c>
      <c r="BB29" s="167">
        <f t="shared" si="14"/>
        <v>0.86978212092732676</v>
      </c>
      <c r="BD29" s="211">
        <f t="shared" si="29"/>
        <v>42434</v>
      </c>
      <c r="BE29" s="210">
        <f>Operacional_10_dias!BE29</f>
        <v>2.5</v>
      </c>
      <c r="BF29" s="209">
        <v>0.5</v>
      </c>
      <c r="BG29" s="209">
        <v>2</v>
      </c>
      <c r="BH29" s="210"/>
      <c r="BI29" s="209"/>
      <c r="BJ29" s="209"/>
      <c r="BL29" s="168"/>
    </row>
    <row r="30" spans="1:65" ht="13.5" thickBot="1" x14ac:dyDescent="0.25">
      <c r="A30" s="213">
        <f t="shared" si="1"/>
        <v>42435</v>
      </c>
      <c r="B30" s="190">
        <f>VLOOKUP(A30,P_Q_obs!$A$4:$H$304,8,FALSE)</f>
        <v>1700.6263589523101</v>
      </c>
      <c r="C30" s="168">
        <f t="shared" si="6"/>
        <v>9.4485644839026849E-3</v>
      </c>
      <c r="D30" s="198">
        <f t="shared" si="7"/>
        <v>9.7203726697604992E-2</v>
      </c>
      <c r="E30" s="132">
        <f t="shared" si="15"/>
        <v>1535.3191391419666</v>
      </c>
      <c r="F30" s="168">
        <f t="shared" si="16"/>
        <v>258.79078079509446</v>
      </c>
      <c r="G30" s="300"/>
      <c r="H30" s="127">
        <f>VLOOKUP(MONTH(A30),ETP_Parametros!$A$6:$D$17,4,FALSE)</f>
        <v>4.838709677419355</v>
      </c>
      <c r="I30" s="229">
        <f>VLOOKUP(A30,P_Q_obs!$A$4:$F$308,2,FALSE)*1</f>
        <v>0.41</v>
      </c>
      <c r="J30" s="229">
        <f t="shared" si="4"/>
        <v>0.41</v>
      </c>
      <c r="K30" s="229">
        <f t="shared" si="4"/>
        <v>0.41</v>
      </c>
      <c r="L30" s="229">
        <f t="shared" si="4"/>
        <v>0.41</v>
      </c>
      <c r="M30" s="229">
        <f t="shared" si="4"/>
        <v>0.41</v>
      </c>
      <c r="N30" s="229">
        <f t="shared" si="4"/>
        <v>0.41</v>
      </c>
      <c r="O30" s="229">
        <f t="shared" si="4"/>
        <v>0.41</v>
      </c>
      <c r="P30" s="229">
        <f t="shared" si="4"/>
        <v>0.41</v>
      </c>
      <c r="Q30" s="229">
        <f t="shared" si="4"/>
        <v>0.41</v>
      </c>
      <c r="R30" s="229">
        <f t="shared" si="4"/>
        <v>0.41</v>
      </c>
      <c r="S30" s="229">
        <f t="shared" si="4"/>
        <v>0.41</v>
      </c>
      <c r="T30" s="229">
        <f t="shared" si="5"/>
        <v>0.41</v>
      </c>
      <c r="U30" s="229">
        <f t="shared" si="5"/>
        <v>0.41</v>
      </c>
      <c r="V30" s="229">
        <f t="shared" si="5"/>
        <v>0.41</v>
      </c>
      <c r="W30" s="229">
        <f t="shared" si="5"/>
        <v>0.41</v>
      </c>
      <c r="X30" s="229">
        <f t="shared" si="5"/>
        <v>0.41</v>
      </c>
      <c r="Y30" s="229">
        <f t="shared" si="5"/>
        <v>0.41</v>
      </c>
      <c r="Z30" s="291">
        <f t="shared" si="5"/>
        <v>0.41</v>
      </c>
      <c r="AA30" s="300"/>
      <c r="AB30" s="191">
        <f t="shared" si="3"/>
        <v>0.41000000000000009</v>
      </c>
      <c r="AC30" s="139">
        <f t="shared" si="17"/>
        <v>1.9112568381984532</v>
      </c>
      <c r="AD30" s="132">
        <f t="shared" si="33"/>
        <v>58.154402715349185</v>
      </c>
      <c r="AE30" s="168">
        <f t="shared" si="18"/>
        <v>0.78367556761241364</v>
      </c>
      <c r="AF30" s="192">
        <f t="shared" si="19"/>
        <v>0</v>
      </c>
      <c r="AG30" s="192">
        <f t="shared" si="30"/>
        <v>3.7410231255562199</v>
      </c>
      <c r="AH30" s="192">
        <f t="shared" si="20"/>
        <v>1.1592150796440899</v>
      </c>
      <c r="AI30" s="168">
        <f t="shared" si="21"/>
        <v>6.003332552947235</v>
      </c>
      <c r="AJ30" s="192">
        <f t="shared" si="22"/>
        <v>1.9791847640449656</v>
      </c>
      <c r="AK30" s="132">
        <f t="shared" si="23"/>
        <v>28.942982308620742</v>
      </c>
      <c r="AL30" s="192">
        <f t="shared" si="24"/>
        <v>0.40124041669411342</v>
      </c>
      <c r="AM30" s="192">
        <f t="shared" si="25"/>
        <v>0</v>
      </c>
      <c r="AN30" s="192">
        <f t="shared" si="31"/>
        <v>0</v>
      </c>
      <c r="AO30" s="192">
        <f t="shared" si="26"/>
        <v>0</v>
      </c>
      <c r="AS30" s="132">
        <f t="shared" si="8"/>
        <v>34381.345607243624</v>
      </c>
      <c r="AT30" s="132">
        <f t="shared" si="9"/>
        <v>2078889.8344399524</v>
      </c>
      <c r="AU30" s="200" t="str">
        <f t="shared" si="10"/>
        <v>-</v>
      </c>
      <c r="AV30" s="132">
        <f t="shared" si="32"/>
        <v>-7</v>
      </c>
      <c r="AW30" s="132">
        <f t="shared" si="11"/>
        <v>-76.85232492177289</v>
      </c>
      <c r="AX30" s="132">
        <f t="shared" si="27"/>
        <v>-199.68961820020104</v>
      </c>
      <c r="AY30" s="132">
        <f t="shared" si="12"/>
        <v>942959632.65856683</v>
      </c>
      <c r="AZ30" s="132">
        <f t="shared" si="28"/>
        <v>15089.000619970569</v>
      </c>
      <c r="BA30" s="167">
        <f t="shared" si="13"/>
        <v>0.71880926004899803</v>
      </c>
      <c r="BB30" s="167">
        <f t="shared" si="14"/>
        <v>0.84782619684048333</v>
      </c>
      <c r="BD30" s="211">
        <f t="shared" si="29"/>
        <v>42435</v>
      </c>
      <c r="BE30" s="210">
        <f>Operacional_10_dias!BE30</f>
        <v>1.3012757095019813</v>
      </c>
      <c r="BF30" s="209">
        <v>0.5</v>
      </c>
      <c r="BG30" s="209">
        <v>2</v>
      </c>
      <c r="BH30" s="210"/>
      <c r="BI30" s="209"/>
      <c r="BJ30" s="209"/>
      <c r="BL30" s="168"/>
    </row>
    <row r="31" spans="1:65" ht="13.5" thickBot="1" x14ac:dyDescent="0.25">
      <c r="A31" s="213">
        <f t="shared" si="1"/>
        <v>42436</v>
      </c>
      <c r="B31" s="190">
        <f>VLOOKUP(A31,P_Q_obs!$A$4:$H$304,8,FALSE)</f>
        <v>1339.08532292257</v>
      </c>
      <c r="C31" s="168">
        <f t="shared" si="6"/>
        <v>7.1599776225109739E-3</v>
      </c>
      <c r="D31" s="198">
        <f t="shared" si="7"/>
        <v>8.4616650976690008E-2</v>
      </c>
      <c r="E31" s="132">
        <f t="shared" si="15"/>
        <v>1225.7764075248226</v>
      </c>
      <c r="F31" s="168">
        <f t="shared" si="16"/>
        <v>265.75039767062344</v>
      </c>
      <c r="G31" s="300"/>
      <c r="H31" s="127">
        <f>VLOOKUP(MONTH(A31),ETP_Parametros!$A$6:$D$17,4,FALSE)</f>
        <v>4.838709677419355</v>
      </c>
      <c r="I31" s="229">
        <f>VLOOKUP(A31,P_Q_obs!$A$4:$F$308,2,FALSE)*1</f>
        <v>0.32</v>
      </c>
      <c r="J31" s="229">
        <f t="shared" si="4"/>
        <v>0.32</v>
      </c>
      <c r="K31" s="229">
        <f t="shared" si="4"/>
        <v>0.32</v>
      </c>
      <c r="L31" s="229">
        <f t="shared" si="4"/>
        <v>0.32</v>
      </c>
      <c r="M31" s="229">
        <f t="shared" si="4"/>
        <v>0.32</v>
      </c>
      <c r="N31" s="229">
        <f t="shared" si="4"/>
        <v>0.32</v>
      </c>
      <c r="O31" s="229">
        <f t="shared" si="4"/>
        <v>0.32</v>
      </c>
      <c r="P31" s="229">
        <f t="shared" si="4"/>
        <v>0.32</v>
      </c>
      <c r="Q31" s="229">
        <f t="shared" si="4"/>
        <v>0.32</v>
      </c>
      <c r="R31" s="229">
        <f t="shared" si="4"/>
        <v>0.32</v>
      </c>
      <c r="S31" s="229">
        <f t="shared" si="4"/>
        <v>0.32</v>
      </c>
      <c r="T31" s="229">
        <f t="shared" si="5"/>
        <v>0.32</v>
      </c>
      <c r="U31" s="229">
        <f t="shared" si="5"/>
        <v>0.32</v>
      </c>
      <c r="V31" s="229">
        <f t="shared" si="5"/>
        <v>0.32</v>
      </c>
      <c r="W31" s="229">
        <f t="shared" si="5"/>
        <v>0.32</v>
      </c>
      <c r="X31" s="229">
        <f t="shared" si="5"/>
        <v>0.32</v>
      </c>
      <c r="Y31" s="229">
        <f t="shared" si="5"/>
        <v>0.32</v>
      </c>
      <c r="Z31" s="291">
        <f t="shared" si="5"/>
        <v>0.32</v>
      </c>
      <c r="AA31" s="300"/>
      <c r="AB31" s="191">
        <f t="shared" si="3"/>
        <v>0.32</v>
      </c>
      <c r="AC31" s="139">
        <f t="shared" si="17"/>
        <v>0.42522718957934413</v>
      </c>
      <c r="AD31" s="132">
        <f t="shared" si="33"/>
        <v>54.341294118145584</v>
      </c>
      <c r="AE31" s="168">
        <f t="shared" si="18"/>
        <v>0.74536575364769664</v>
      </c>
      <c r="AF31" s="192">
        <f t="shared" si="19"/>
        <v>0</v>
      </c>
      <c r="AG31" s="192">
        <f t="shared" si="30"/>
        <v>3.2731813489197683</v>
      </c>
      <c r="AH31" s="192">
        <f t="shared" si="20"/>
        <v>0.96515443786317701</v>
      </c>
      <c r="AI31" s="168">
        <f t="shared" si="21"/>
        <v>4.5148667156109319</v>
      </c>
      <c r="AJ31" s="192">
        <f t="shared" si="22"/>
        <v>1.4884658373363029</v>
      </c>
      <c r="AK31" s="132">
        <f t="shared" si="23"/>
        <v>29.496105838851182</v>
      </c>
      <c r="AL31" s="192">
        <f t="shared" si="24"/>
        <v>0.41203090763273637</v>
      </c>
      <c r="AM31" s="192">
        <f t="shared" si="25"/>
        <v>0</v>
      </c>
      <c r="AN31" s="192">
        <f t="shared" si="31"/>
        <v>0</v>
      </c>
      <c r="AO31" s="192">
        <f t="shared" si="26"/>
        <v>0</v>
      </c>
      <c r="AS31" s="132">
        <f t="shared" si="8"/>
        <v>31017.888709703941</v>
      </c>
      <c r="AT31" s="132">
        <f t="shared" si="9"/>
        <v>1152047.8617656017</v>
      </c>
      <c r="AU31" s="200" t="str">
        <f t="shared" si="10"/>
        <v>-</v>
      </c>
      <c r="AV31" s="132">
        <f t="shared" si="32"/>
        <v>-8</v>
      </c>
      <c r="AW31" s="132">
        <f t="shared" si="11"/>
        <v>-69.892708046243911</v>
      </c>
      <c r="AX31" s="132">
        <f t="shared" si="27"/>
        <v>-375.808580012108</v>
      </c>
      <c r="AY31" s="132">
        <f t="shared" si="12"/>
        <v>932174252.45113635</v>
      </c>
      <c r="AZ31" s="132">
        <f t="shared" si="28"/>
        <v>93584.520720634944</v>
      </c>
      <c r="BA31" s="167">
        <f t="shared" si="13"/>
        <v>0.64247172945582165</v>
      </c>
      <c r="BB31" s="167">
        <f t="shared" si="14"/>
        <v>0.80154334221913515</v>
      </c>
      <c r="BD31" s="211">
        <f t="shared" si="29"/>
        <v>42436</v>
      </c>
      <c r="BE31" s="210">
        <f>Operacional_10_dias!BE31</f>
        <v>1.0749162204469316</v>
      </c>
      <c r="BF31" s="209">
        <v>0.5</v>
      </c>
      <c r="BG31" s="209">
        <v>2</v>
      </c>
      <c r="BH31" s="210"/>
      <c r="BI31" s="209"/>
      <c r="BJ31" s="209"/>
      <c r="BL31" s="168"/>
    </row>
    <row r="32" spans="1:65" ht="13.5" thickBot="1" x14ac:dyDescent="0.25">
      <c r="A32" s="213">
        <f t="shared" si="1"/>
        <v>42437</v>
      </c>
      <c r="B32" s="190">
        <f>VLOOKUP(A32,P_Q_obs!$A$4:$H$304,8,FALSE)</f>
        <v>1099.2439515618901</v>
      </c>
      <c r="C32" s="168">
        <f t="shared" si="6"/>
        <v>7.7253197606676231E-3</v>
      </c>
      <c r="D32" s="198">
        <f t="shared" si="7"/>
        <v>8.7893798192293537E-2</v>
      </c>
      <c r="E32" s="132">
        <f t="shared" si="15"/>
        <v>1002.62722551921</v>
      </c>
      <c r="F32" s="168">
        <f t="shared" si="16"/>
        <v>270.8291002228458</v>
      </c>
      <c r="G32" s="300"/>
      <c r="H32" s="127">
        <f>VLOOKUP(MONTH(A32),ETP_Parametros!$A$6:$D$17,4,FALSE)</f>
        <v>4.838709677419355</v>
      </c>
      <c r="I32" s="229">
        <f>VLOOKUP(A32,P_Q_obs!$A$4:$F$308,2,FALSE)*1</f>
        <v>7.0000000000000007E-2</v>
      </c>
      <c r="J32" s="229">
        <f t="shared" si="4"/>
        <v>7.0000000000000007E-2</v>
      </c>
      <c r="K32" s="229">
        <f t="shared" si="4"/>
        <v>7.0000000000000007E-2</v>
      </c>
      <c r="L32" s="229">
        <f t="shared" si="4"/>
        <v>7.0000000000000007E-2</v>
      </c>
      <c r="M32" s="229">
        <f t="shared" si="4"/>
        <v>7.0000000000000007E-2</v>
      </c>
      <c r="N32" s="229">
        <f t="shared" si="4"/>
        <v>7.0000000000000007E-2</v>
      </c>
      <c r="O32" s="229">
        <f t="shared" si="4"/>
        <v>7.0000000000000007E-2</v>
      </c>
      <c r="P32" s="229">
        <f t="shared" si="4"/>
        <v>7.0000000000000007E-2</v>
      </c>
      <c r="Q32" s="229">
        <f t="shared" si="4"/>
        <v>7.0000000000000007E-2</v>
      </c>
      <c r="R32" s="229">
        <f t="shared" si="4"/>
        <v>7.0000000000000007E-2</v>
      </c>
      <c r="S32" s="229">
        <f t="shared" si="4"/>
        <v>7.0000000000000007E-2</v>
      </c>
      <c r="T32" s="229">
        <f t="shared" si="5"/>
        <v>7.0000000000000007E-2</v>
      </c>
      <c r="U32" s="229">
        <f t="shared" si="5"/>
        <v>7.0000000000000007E-2</v>
      </c>
      <c r="V32" s="229">
        <f t="shared" si="5"/>
        <v>7.0000000000000007E-2</v>
      </c>
      <c r="W32" s="229">
        <f t="shared" si="5"/>
        <v>7.0000000000000007E-2</v>
      </c>
      <c r="X32" s="229">
        <f t="shared" si="5"/>
        <v>7.0000000000000007E-2</v>
      </c>
      <c r="Y32" s="229">
        <f t="shared" si="5"/>
        <v>7.0000000000000007E-2</v>
      </c>
      <c r="Z32" s="291">
        <f t="shared" si="5"/>
        <v>7.0000000000000007E-2</v>
      </c>
      <c r="AA32" s="300"/>
      <c r="AB32" s="191">
        <f t="shared" si="3"/>
        <v>6.9999999999999979E-2</v>
      </c>
      <c r="AC32" s="139">
        <f t="shared" si="17"/>
        <v>3.235732341488867</v>
      </c>
      <c r="AD32" s="132">
        <f t="shared" si="33"/>
        <v>52.856799140848167</v>
      </c>
      <c r="AE32" s="168">
        <f t="shared" si="18"/>
        <v>0.69649309000420911</v>
      </c>
      <c r="AF32" s="192">
        <f t="shared" si="19"/>
        <v>6.1287953828315436E-2</v>
      </c>
      <c r="AG32" s="192">
        <f t="shared" si="30"/>
        <v>3.9208511131472639</v>
      </c>
      <c r="AH32" s="192">
        <f t="shared" si="20"/>
        <v>0.73808825181070958</v>
      </c>
      <c r="AI32" s="168">
        <f t="shared" si="21"/>
        <v>3.4415432129269212</v>
      </c>
      <c r="AJ32" s="192">
        <f t="shared" si="22"/>
        <v>1.1346114565123258</v>
      </c>
      <c r="AK32" s="132">
        <f t="shared" si="23"/>
        <v>29.814288942988384</v>
      </c>
      <c r="AL32" s="192">
        <f t="shared" si="24"/>
        <v>0.41990514767350751</v>
      </c>
      <c r="AM32" s="192">
        <f t="shared" si="25"/>
        <v>0</v>
      </c>
      <c r="AN32" s="192">
        <f t="shared" si="31"/>
        <v>0</v>
      </c>
      <c r="AO32" s="192">
        <f t="shared" si="26"/>
        <v>0</v>
      </c>
      <c r="AS32" s="132">
        <f t="shared" si="8"/>
        <v>173022.99877304945</v>
      </c>
      <c r="AT32" s="132">
        <f t="shared" si="9"/>
        <v>686271.16591909085</v>
      </c>
      <c r="AU32" s="200" t="str">
        <f t="shared" si="10"/>
        <v>-</v>
      </c>
      <c r="AV32" s="132">
        <f t="shared" si="32"/>
        <v>-9</v>
      </c>
      <c r="AW32" s="132">
        <f t="shared" si="11"/>
        <v>-64.814005494021558</v>
      </c>
      <c r="AX32" s="132">
        <f t="shared" si="27"/>
        <v>-791.76891318469484</v>
      </c>
      <c r="AY32" s="132">
        <f t="shared" si="12"/>
        <v>906947465.6444701</v>
      </c>
      <c r="AZ32" s="132">
        <f t="shared" si="28"/>
        <v>528463.43781555525</v>
      </c>
      <c r="BA32" s="167">
        <f t="shared" si="13"/>
        <v>0.56794670310305029</v>
      </c>
      <c r="BB32" s="167">
        <f t="shared" si="14"/>
        <v>0.75362238760738143</v>
      </c>
      <c r="BD32" s="211">
        <f t="shared" si="29"/>
        <v>42437</v>
      </c>
      <c r="BE32" s="210">
        <f>Operacional_10_dias!BE32</f>
        <v>1.4828282690857177</v>
      </c>
      <c r="BF32" s="209">
        <v>0.5</v>
      </c>
      <c r="BG32" s="209">
        <v>2</v>
      </c>
      <c r="BH32" s="210"/>
      <c r="BI32" s="209"/>
      <c r="BJ32" s="209"/>
      <c r="BL32" s="168"/>
    </row>
    <row r="33" spans="1:64" ht="13.5" thickBot="1" x14ac:dyDescent="0.25">
      <c r="A33" s="213">
        <f t="shared" si="1"/>
        <v>42438</v>
      </c>
      <c r="B33" s="190">
        <f>VLOOKUP(A33,P_Q_obs!$A$4:$H$304,8,FALSE)</f>
        <v>1180.2527855814201</v>
      </c>
      <c r="C33" s="168">
        <f t="shared" si="6"/>
        <v>7.9285715576180203E-7</v>
      </c>
      <c r="D33" s="198">
        <f t="shared" si="7"/>
        <v>8.904252668033416E-4</v>
      </c>
      <c r="E33" s="132">
        <f t="shared" si="15"/>
        <v>1181.3037124829168</v>
      </c>
      <c r="F33" s="168">
        <f t="shared" si="16"/>
        <v>273.75061278692425</v>
      </c>
      <c r="G33" s="300"/>
      <c r="H33" s="127">
        <f>VLOOKUP(MONTH(A33),ETP_Parametros!$A$6:$D$17,4,FALSE)</f>
        <v>4.838709677419355</v>
      </c>
      <c r="I33" s="229">
        <f>VLOOKUP(A33,P_Q_obs!$A$4:$F$308,2,FALSE)*1</f>
        <v>9.34</v>
      </c>
      <c r="J33" s="229">
        <f t="shared" si="4"/>
        <v>9.34</v>
      </c>
      <c r="K33" s="229">
        <f t="shared" si="4"/>
        <v>9.34</v>
      </c>
      <c r="L33" s="229">
        <f t="shared" si="4"/>
        <v>9.34</v>
      </c>
      <c r="M33" s="229">
        <f t="shared" si="4"/>
        <v>9.34</v>
      </c>
      <c r="N33" s="229">
        <f t="shared" si="4"/>
        <v>9.34</v>
      </c>
      <c r="O33" s="229">
        <f t="shared" si="4"/>
        <v>9.34</v>
      </c>
      <c r="P33" s="229">
        <f t="shared" si="4"/>
        <v>9.34</v>
      </c>
      <c r="Q33" s="229">
        <f t="shared" si="4"/>
        <v>9.34</v>
      </c>
      <c r="R33" s="229">
        <f t="shared" si="4"/>
        <v>9.34</v>
      </c>
      <c r="S33" s="229">
        <f t="shared" si="4"/>
        <v>9.34</v>
      </c>
      <c r="T33" s="229">
        <f t="shared" si="5"/>
        <v>9.34</v>
      </c>
      <c r="U33" s="229">
        <f t="shared" si="5"/>
        <v>9.34</v>
      </c>
      <c r="V33" s="229">
        <f t="shared" si="5"/>
        <v>9.34</v>
      </c>
      <c r="W33" s="229">
        <f t="shared" si="5"/>
        <v>9.34</v>
      </c>
      <c r="X33" s="229">
        <f t="shared" si="5"/>
        <v>9.34</v>
      </c>
      <c r="Y33" s="229">
        <f t="shared" si="5"/>
        <v>9.34</v>
      </c>
      <c r="Z33" s="291">
        <f t="shared" si="5"/>
        <v>9.34</v>
      </c>
      <c r="AA33" s="300"/>
      <c r="AB33" s="191">
        <f t="shared" si="3"/>
        <v>9.34</v>
      </c>
      <c r="AC33" s="139">
        <f t="shared" si="17"/>
        <v>10.696820386751661</v>
      </c>
      <c r="AD33" s="132">
        <f t="shared" si="33"/>
        <v>56.417946159981177</v>
      </c>
      <c r="AE33" s="168">
        <f t="shared" si="18"/>
        <v>0.67746629812130565</v>
      </c>
      <c r="AF33" s="192">
        <f t="shared" si="19"/>
        <v>2.2336603867761431</v>
      </c>
      <c r="AG33" s="192">
        <f t="shared" si="30"/>
        <v>4.2461086097452263</v>
      </c>
      <c r="AH33" s="192">
        <f t="shared" si="20"/>
        <v>0.65590437109728195</v>
      </c>
      <c r="AI33" s="168">
        <f t="shared" si="21"/>
        <v>4.2680940312119864</v>
      </c>
      <c r="AJ33" s="192">
        <f t="shared" si="22"/>
        <v>1.4071095684910773</v>
      </c>
      <c r="AK33" s="132">
        <f t="shared" si="23"/>
        <v>30.0457585270062</v>
      </c>
      <c r="AL33" s="192">
        <f t="shared" si="24"/>
        <v>0.4244347870794648</v>
      </c>
      <c r="AM33" s="192">
        <f t="shared" si="25"/>
        <v>0</v>
      </c>
      <c r="AN33" s="192">
        <f t="shared" si="31"/>
        <v>0</v>
      </c>
      <c r="AO33" s="192">
        <f t="shared" si="26"/>
        <v>0</v>
      </c>
      <c r="AS33" s="132">
        <f t="shared" si="8"/>
        <v>112192.50678488023</v>
      </c>
      <c r="AT33" s="132">
        <f t="shared" si="9"/>
        <v>821746.18928114208</v>
      </c>
      <c r="AU33" s="200" t="str">
        <f t="shared" si="10"/>
        <v>-</v>
      </c>
      <c r="AV33" s="132">
        <f t="shared" si="32"/>
        <v>-10</v>
      </c>
      <c r="AW33" s="132">
        <f t="shared" si="11"/>
        <v>-61.892492929943103</v>
      </c>
      <c r="AX33" s="132">
        <f t="shared" si="27"/>
        <v>-1126.7204123377517</v>
      </c>
      <c r="AY33" s="132">
        <f t="shared" si="12"/>
        <v>886885148.52223575</v>
      </c>
      <c r="AZ33" s="132">
        <f t="shared" si="28"/>
        <v>1133858.4979503625</v>
      </c>
      <c r="BA33" s="167">
        <f t="shared" si="13"/>
        <v>0.58991254317459241</v>
      </c>
      <c r="BB33" s="167">
        <f t="shared" si="14"/>
        <v>0.7680576431327224</v>
      </c>
      <c r="BD33" s="211">
        <f t="shared" si="29"/>
        <v>42438</v>
      </c>
      <c r="BE33" s="210">
        <f>Operacional_10_dias!BE33</f>
        <v>1.2708942179801364</v>
      </c>
      <c r="BF33" s="209">
        <v>0.5</v>
      </c>
      <c r="BG33" s="209">
        <v>2</v>
      </c>
      <c r="BH33" s="210"/>
      <c r="BI33" s="209"/>
      <c r="BJ33" s="209"/>
      <c r="BL33" s="168"/>
    </row>
    <row r="34" spans="1:64" ht="13.5" thickBot="1" x14ac:dyDescent="0.25">
      <c r="A34" s="213">
        <f t="shared" si="1"/>
        <v>42439</v>
      </c>
      <c r="B34" s="190">
        <f>VLOOKUP(A34,P_Q_obs!$A$4:$H$304,8,FALSE)</f>
        <v>1709.14781201286</v>
      </c>
      <c r="C34" s="168">
        <f t="shared" si="6"/>
        <v>3.4132029782806381E-7</v>
      </c>
      <c r="D34" s="198">
        <f t="shared" si="7"/>
        <v>5.8422623856521866E-4</v>
      </c>
      <c r="E34" s="132">
        <f t="shared" si="15"/>
        <v>1710.1463410102242</v>
      </c>
      <c r="F34" s="168">
        <f t="shared" si="16"/>
        <v>275.87593399071278</v>
      </c>
      <c r="G34" s="300"/>
      <c r="H34" s="127">
        <f>VLOOKUP(MONTH(A34),ETP_Parametros!$A$6:$D$17,4,FALSE)</f>
        <v>4.838709677419355</v>
      </c>
      <c r="I34" s="229">
        <f>VLOOKUP(A34,P_Q_obs!$A$4:$F$308,2,FALSE)*1</f>
        <v>23.52</v>
      </c>
      <c r="J34" s="229">
        <f t="shared" si="4"/>
        <v>23.52</v>
      </c>
      <c r="K34" s="229">
        <f t="shared" si="4"/>
        <v>23.52</v>
      </c>
      <c r="L34" s="229">
        <f t="shared" si="4"/>
        <v>23.52</v>
      </c>
      <c r="M34" s="229">
        <f t="shared" si="4"/>
        <v>23.52</v>
      </c>
      <c r="N34" s="229">
        <f t="shared" si="4"/>
        <v>23.52</v>
      </c>
      <c r="O34" s="229">
        <f t="shared" si="4"/>
        <v>23.52</v>
      </c>
      <c r="P34" s="229">
        <f t="shared" si="4"/>
        <v>23.52</v>
      </c>
      <c r="Q34" s="229">
        <f t="shared" si="4"/>
        <v>23.52</v>
      </c>
      <c r="R34" s="229">
        <f t="shared" si="4"/>
        <v>23.52</v>
      </c>
      <c r="S34" s="229">
        <f t="shared" si="4"/>
        <v>23.52</v>
      </c>
      <c r="T34" s="229">
        <f t="shared" si="5"/>
        <v>23.52</v>
      </c>
      <c r="U34" s="229">
        <f t="shared" si="5"/>
        <v>23.52</v>
      </c>
      <c r="V34" s="229">
        <f t="shared" si="5"/>
        <v>23.52</v>
      </c>
      <c r="W34" s="229">
        <f t="shared" si="5"/>
        <v>23.52</v>
      </c>
      <c r="X34" s="229">
        <f t="shared" si="5"/>
        <v>23.52</v>
      </c>
      <c r="Y34" s="229">
        <f t="shared" si="5"/>
        <v>23.52</v>
      </c>
      <c r="Z34" s="291">
        <f t="shared" si="5"/>
        <v>23.52</v>
      </c>
      <c r="AA34" s="300"/>
      <c r="AB34" s="191">
        <f t="shared" si="3"/>
        <v>23.519999999999989</v>
      </c>
      <c r="AC34" s="139">
        <f t="shared" si="17"/>
        <v>14.698274516498451</v>
      </c>
      <c r="AD34" s="132">
        <f t="shared" si="33"/>
        <v>61.310379912989333</v>
      </c>
      <c r="AE34" s="168">
        <f t="shared" si="18"/>
        <v>0.72310956686501049</v>
      </c>
      <c r="AF34" s="192">
        <f t="shared" si="19"/>
        <v>4.7008319518421526</v>
      </c>
      <c r="AG34" s="192">
        <f t="shared" si="30"/>
        <v>4.2461086097452263</v>
      </c>
      <c r="AH34" s="192">
        <f t="shared" si="20"/>
        <v>0.85890020190291849</v>
      </c>
      <c r="AI34" s="168">
        <f t="shared" si="21"/>
        <v>6.7451711259589615</v>
      </c>
      <c r="AJ34" s="192">
        <f t="shared" si="22"/>
        <v>2.2237548570951766</v>
      </c>
      <c r="AK34" s="132">
        <f t="shared" si="23"/>
        <v>30.476928751936114</v>
      </c>
      <c r="AL34" s="192">
        <f t="shared" si="24"/>
        <v>0.42772997697300336</v>
      </c>
      <c r="AM34" s="192">
        <f t="shared" si="25"/>
        <v>0</v>
      </c>
      <c r="AN34" s="192">
        <f t="shared" si="31"/>
        <v>0</v>
      </c>
      <c r="AO34" s="192">
        <f t="shared" si="26"/>
        <v>0</v>
      </c>
      <c r="AS34" s="132">
        <f t="shared" si="8"/>
        <v>37614.09177318091</v>
      </c>
      <c r="AT34" s="132">
        <f t="shared" si="9"/>
        <v>2054268.2763291325</v>
      </c>
      <c r="AU34" s="200" t="str">
        <f t="shared" si="10"/>
        <v>-</v>
      </c>
      <c r="AV34" s="132">
        <f t="shared" si="32"/>
        <v>-11</v>
      </c>
      <c r="AW34" s="132">
        <f t="shared" si="11"/>
        <v>-59.767171726154572</v>
      </c>
      <c r="AX34" s="132">
        <f t="shared" si="27"/>
        <v>-932.77688505936862</v>
      </c>
      <c r="AY34" s="132">
        <f t="shared" si="12"/>
        <v>898474278.42255759</v>
      </c>
      <c r="AZ34" s="132">
        <f t="shared" si="28"/>
        <v>762145.95957414049</v>
      </c>
      <c r="BA34" s="167">
        <f t="shared" si="13"/>
        <v>0.70323084706937455</v>
      </c>
      <c r="BB34" s="167">
        <f t="shared" si="14"/>
        <v>0.83858860418525516</v>
      </c>
      <c r="BD34" s="211">
        <f t="shared" si="29"/>
        <v>42439</v>
      </c>
      <c r="BE34" s="210">
        <f>Operacional_10_dias!BE34</f>
        <v>1.1410353835134694</v>
      </c>
      <c r="BF34" s="209">
        <v>0.5</v>
      </c>
      <c r="BG34" s="209">
        <v>2</v>
      </c>
      <c r="BH34" s="210"/>
      <c r="BI34" s="209"/>
      <c r="BJ34" s="209"/>
      <c r="BL34" s="168"/>
    </row>
    <row r="35" spans="1:64" ht="13.5" thickBot="1" x14ac:dyDescent="0.25">
      <c r="A35" s="213">
        <f t="shared" si="1"/>
        <v>42440</v>
      </c>
      <c r="B35" s="190">
        <f>VLOOKUP(A35,P_Q_obs!$A$4:$H$304,8,FALSE)</f>
        <v>2064.19808210052</v>
      </c>
      <c r="C35" s="168">
        <f t="shared" si="6"/>
        <v>3.3187819612905463E-2</v>
      </c>
      <c r="D35" s="198">
        <f t="shared" si="7"/>
        <v>0.18217524423726036</v>
      </c>
      <c r="E35" s="132">
        <f t="shared" si="15"/>
        <v>2440.2438718612666</v>
      </c>
      <c r="F35" s="168">
        <f t="shared" si="16"/>
        <v>279.834878425569</v>
      </c>
      <c r="G35" s="300"/>
      <c r="H35" s="127">
        <f>VLOOKUP(MONTH(A35),ETP_Parametros!$A$6:$D$17,4,FALSE)</f>
        <v>4.838709677419355</v>
      </c>
      <c r="I35" s="229">
        <f>VLOOKUP(A35,P_Q_obs!$A$4:$F$308,2,FALSE)*1</f>
        <v>3.09</v>
      </c>
      <c r="J35" s="229">
        <f t="shared" si="4"/>
        <v>3.09</v>
      </c>
      <c r="K35" s="229">
        <f t="shared" si="4"/>
        <v>3.09</v>
      </c>
      <c r="L35" s="229">
        <f t="shared" si="4"/>
        <v>3.09</v>
      </c>
      <c r="M35" s="229">
        <f t="shared" si="4"/>
        <v>3.09</v>
      </c>
      <c r="N35" s="229">
        <f t="shared" si="4"/>
        <v>3.09</v>
      </c>
      <c r="O35" s="229">
        <f t="shared" si="4"/>
        <v>3.09</v>
      </c>
      <c r="P35" s="229">
        <f t="shared" si="4"/>
        <v>3.09</v>
      </c>
      <c r="Q35" s="229">
        <f t="shared" si="4"/>
        <v>3.09</v>
      </c>
      <c r="R35" s="229">
        <f t="shared" si="4"/>
        <v>3.09</v>
      </c>
      <c r="S35" s="229">
        <f t="shared" si="4"/>
        <v>3.09</v>
      </c>
      <c r="T35" s="229">
        <f t="shared" si="5"/>
        <v>3.09</v>
      </c>
      <c r="U35" s="229">
        <f t="shared" si="5"/>
        <v>3.09</v>
      </c>
      <c r="V35" s="229">
        <f t="shared" si="5"/>
        <v>3.09</v>
      </c>
      <c r="W35" s="229">
        <f t="shared" si="5"/>
        <v>3.09</v>
      </c>
      <c r="X35" s="229">
        <f t="shared" si="5"/>
        <v>3.09</v>
      </c>
      <c r="Y35" s="229">
        <f t="shared" si="5"/>
        <v>3.09</v>
      </c>
      <c r="Z35" s="291">
        <f t="shared" si="5"/>
        <v>3.09</v>
      </c>
      <c r="AA35" s="300"/>
      <c r="AB35" s="191">
        <f t="shared" si="3"/>
        <v>3.0900000000000012</v>
      </c>
      <c r="AC35" s="139">
        <f t="shared" si="17"/>
        <v>16.539364215000159</v>
      </c>
      <c r="AD35" s="132">
        <f t="shared" si="33"/>
        <v>65.668642877283588</v>
      </c>
      <c r="AE35" s="168">
        <f t="shared" si="18"/>
        <v>0.78581595539644766</v>
      </c>
      <c r="AF35" s="192">
        <f t="shared" si="19"/>
        <v>6.7645187208215614</v>
      </c>
      <c r="AG35" s="192">
        <f t="shared" si="30"/>
        <v>4.2461086097452263</v>
      </c>
      <c r="AH35" s="192">
        <f t="shared" si="20"/>
        <v>1.1704739201391361</v>
      </c>
      <c r="AI35" s="168">
        <f t="shared" si="21"/>
        <v>10.160098326972097</v>
      </c>
      <c r="AJ35" s="192">
        <f t="shared" si="22"/>
        <v>3.349591519808425</v>
      </c>
      <c r="AK35" s="132">
        <f t="shared" si="23"/>
        <v>31.21353457646514</v>
      </c>
      <c r="AL35" s="192">
        <f t="shared" si="24"/>
        <v>0.43386809561011314</v>
      </c>
      <c r="AM35" s="192">
        <f t="shared" si="25"/>
        <v>0</v>
      </c>
      <c r="AN35" s="192">
        <f t="shared" si="31"/>
        <v>0</v>
      </c>
      <c r="AO35" s="192">
        <f t="shared" si="26"/>
        <v>0</v>
      </c>
      <c r="AS35" s="132">
        <f t="shared" si="8"/>
        <v>301394.18954638793</v>
      </c>
      <c r="AT35" s="132">
        <f t="shared" si="9"/>
        <v>3183952.0426291344</v>
      </c>
      <c r="AU35" s="200" t="str">
        <f t="shared" si="10"/>
        <v>-</v>
      </c>
      <c r="AV35" s="132">
        <f t="shared" si="32"/>
        <v>-12</v>
      </c>
      <c r="AW35" s="132">
        <f t="shared" si="11"/>
        <v>-55.808227291298351</v>
      </c>
      <c r="AX35" s="132">
        <f t="shared" si="27"/>
        <v>-383.78308769332557</v>
      </c>
      <c r="AY35" s="132">
        <f t="shared" si="12"/>
        <v>931687368.22162497</v>
      </c>
      <c r="AZ35" s="132">
        <f t="shared" si="28"/>
        <v>107567.50905572924</v>
      </c>
      <c r="BA35" s="167">
        <f t="shared" si="13"/>
        <v>0.74724630683778526</v>
      </c>
      <c r="BB35" s="167">
        <f t="shared" si="14"/>
        <v>0.86443409629524981</v>
      </c>
      <c r="BD35" s="211">
        <f t="shared" si="29"/>
        <v>42440</v>
      </c>
      <c r="BE35" s="210">
        <f>Operacional_10_dias!BE35</f>
        <v>1.4719589103128199</v>
      </c>
      <c r="BF35" s="209">
        <v>0.5</v>
      </c>
      <c r="BG35" s="209">
        <v>2</v>
      </c>
      <c r="BH35" s="210"/>
      <c r="BI35" s="209"/>
      <c r="BJ35" s="209"/>
      <c r="BL35" s="168"/>
    </row>
    <row r="36" spans="1:64" ht="13.5" thickBot="1" x14ac:dyDescent="0.25">
      <c r="A36" s="213">
        <f t="shared" si="1"/>
        <v>42441</v>
      </c>
      <c r="B36" s="190">
        <f>VLOOKUP(A36,P_Q_obs!$A$4:$H$304,8,FALSE)</f>
        <v>2041.8017553371501</v>
      </c>
      <c r="C36" s="168">
        <f t="shared" si="6"/>
        <v>1.188299459431427E-3</v>
      </c>
      <c r="D36" s="198">
        <f t="shared" si="7"/>
        <v>3.4471719705164508E-2</v>
      </c>
      <c r="E36" s="132">
        <f t="shared" si="15"/>
        <v>2112.1861731406452</v>
      </c>
      <c r="F36" s="168">
        <f t="shared" si="16"/>
        <v>286.59828962859422</v>
      </c>
      <c r="G36" s="300"/>
      <c r="H36" s="127">
        <f>VLOOKUP(MONTH(A36),ETP_Parametros!$A$6:$D$17,4,FALSE)</f>
        <v>4.838709677419355</v>
      </c>
      <c r="I36" s="229">
        <f>VLOOKUP(A36,P_Q_obs!$A$4:$F$308,2,FALSE)*1</f>
        <v>2.86</v>
      </c>
      <c r="J36" s="229">
        <f t="shared" si="4"/>
        <v>2.86</v>
      </c>
      <c r="K36" s="229">
        <f t="shared" si="4"/>
        <v>2.86</v>
      </c>
      <c r="L36" s="229">
        <f t="shared" si="4"/>
        <v>2.86</v>
      </c>
      <c r="M36" s="229">
        <f t="shared" si="4"/>
        <v>2.86</v>
      </c>
      <c r="N36" s="229">
        <f t="shared" si="4"/>
        <v>2.86</v>
      </c>
      <c r="O36" s="229">
        <f t="shared" si="4"/>
        <v>2.86</v>
      </c>
      <c r="P36" s="229">
        <f t="shared" si="4"/>
        <v>2.86</v>
      </c>
      <c r="Q36" s="229">
        <f t="shared" si="4"/>
        <v>2.86</v>
      </c>
      <c r="R36" s="229">
        <f t="shared" si="4"/>
        <v>2.86</v>
      </c>
      <c r="S36" s="229">
        <f t="shared" si="4"/>
        <v>2.86</v>
      </c>
      <c r="T36" s="229">
        <f t="shared" si="5"/>
        <v>2.86</v>
      </c>
      <c r="U36" s="229">
        <f t="shared" si="5"/>
        <v>2.86</v>
      </c>
      <c r="V36" s="229">
        <f t="shared" si="5"/>
        <v>2.86</v>
      </c>
      <c r="W36" s="229">
        <f t="shared" si="5"/>
        <v>2.86</v>
      </c>
      <c r="X36" s="229">
        <f t="shared" si="5"/>
        <v>2.86</v>
      </c>
      <c r="Y36" s="229">
        <f t="shared" si="5"/>
        <v>2.86</v>
      </c>
      <c r="Z36" s="291">
        <f t="shared" si="5"/>
        <v>2.86</v>
      </c>
      <c r="AA36" s="300"/>
      <c r="AB36" s="191">
        <f t="shared" si="3"/>
        <v>2.86</v>
      </c>
      <c r="AC36" s="139">
        <f t="shared" si="17"/>
        <v>6.616338004985983</v>
      </c>
      <c r="AD36" s="132">
        <f t="shared" si="33"/>
        <v>65.303121867462664</v>
      </c>
      <c r="AE36" s="168">
        <f t="shared" si="18"/>
        <v>0.84167586981903408</v>
      </c>
      <c r="AF36" s="192">
        <f t="shared" si="19"/>
        <v>1.2558540085468086</v>
      </c>
      <c r="AG36" s="192">
        <f t="shared" si="30"/>
        <v>4.2461086097452263</v>
      </c>
      <c r="AH36" s="192">
        <f t="shared" si="20"/>
        <v>1.4798963965148673</v>
      </c>
      <c r="AI36" s="168">
        <f t="shared" si="21"/>
        <v>8.5854819422475206</v>
      </c>
      <c r="AJ36" s="192">
        <f t="shared" si="22"/>
        <v>2.8304703932713853</v>
      </c>
      <c r="AK36" s="132">
        <f t="shared" si="23"/>
        <v>32.24907659218988</v>
      </c>
      <c r="AL36" s="192">
        <f t="shared" si="24"/>
        <v>0.44435438079012568</v>
      </c>
      <c r="AM36" s="192">
        <f t="shared" si="25"/>
        <v>0</v>
      </c>
      <c r="AN36" s="192">
        <f t="shared" si="31"/>
        <v>0</v>
      </c>
      <c r="AO36" s="192">
        <f t="shared" si="26"/>
        <v>0</v>
      </c>
      <c r="AS36" s="132">
        <f t="shared" si="8"/>
        <v>277304.89604513324</v>
      </c>
      <c r="AT36" s="132">
        <f t="shared" si="9"/>
        <v>3080739.2060353262</v>
      </c>
      <c r="AU36" s="200" t="str">
        <f t="shared" si="10"/>
        <v>-</v>
      </c>
      <c r="AV36" s="132">
        <f t="shared" si="32"/>
        <v>-13</v>
      </c>
      <c r="AW36" s="132">
        <f t="shared" si="11"/>
        <v>-49.044816088273137</v>
      </c>
      <c r="AX36" s="132">
        <f t="shared" si="27"/>
        <v>142.81438290934761</v>
      </c>
      <c r="AY36" s="132">
        <f t="shared" si="12"/>
        <v>964111926.11330009</v>
      </c>
      <c r="AZ36" s="132">
        <f t="shared" si="28"/>
        <v>36809.952240008643</v>
      </c>
      <c r="BA36" s="167">
        <f t="shared" si="13"/>
        <v>0.73897167118240281</v>
      </c>
      <c r="BB36" s="167">
        <f t="shared" si="14"/>
        <v>0.85963461492799531</v>
      </c>
      <c r="BD36" s="211">
        <f t="shared" si="29"/>
        <v>42441</v>
      </c>
      <c r="BE36" s="210">
        <f>Operacional_10_dias!BE36</f>
        <v>2.5</v>
      </c>
      <c r="BF36" s="209">
        <v>0.5</v>
      </c>
      <c r="BG36" s="209">
        <v>2</v>
      </c>
      <c r="BH36" s="210"/>
      <c r="BI36" s="209"/>
      <c r="BJ36" s="209"/>
      <c r="BL36" s="168"/>
    </row>
    <row r="37" spans="1:64" ht="13.5" thickBot="1" x14ac:dyDescent="0.25">
      <c r="A37" s="213">
        <f t="shared" si="1"/>
        <v>42442</v>
      </c>
      <c r="B37" s="190">
        <f>VLOOKUP(A37,P_Q_obs!$A$4:$H$304,8,FALSE)</f>
        <v>1897.4468000433001</v>
      </c>
      <c r="C37" s="168">
        <f t="shared" si="6"/>
        <v>4.3190846204540041E-3</v>
      </c>
      <c r="D37" s="198">
        <f t="shared" si="7"/>
        <v>6.5719743003560233E-2</v>
      </c>
      <c r="E37" s="132">
        <f t="shared" si="15"/>
        <v>1772.7470839815267</v>
      </c>
      <c r="F37" s="168">
        <f t="shared" si="16"/>
        <v>296.10649094486013</v>
      </c>
      <c r="G37" s="300"/>
      <c r="H37" s="127">
        <f>VLOOKUP(MONTH(A37),ETP_Parametros!$A$6:$D$17,4,FALSE)</f>
        <v>4.838709677419355</v>
      </c>
      <c r="I37" s="229">
        <f>VLOOKUP(A37,P_Q_obs!$A$4:$F$308,2,FALSE)*1</f>
        <v>0.73</v>
      </c>
      <c r="J37" s="229">
        <f t="shared" si="4"/>
        <v>0.73</v>
      </c>
      <c r="K37" s="229">
        <f t="shared" si="4"/>
        <v>0.73</v>
      </c>
      <c r="L37" s="229">
        <f t="shared" si="4"/>
        <v>0.73</v>
      </c>
      <c r="M37" s="229">
        <f t="shared" si="4"/>
        <v>0.73</v>
      </c>
      <c r="N37" s="229">
        <f t="shared" si="4"/>
        <v>0.73</v>
      </c>
      <c r="O37" s="229">
        <f t="shared" si="4"/>
        <v>0.73</v>
      </c>
      <c r="P37" s="229">
        <f t="shared" si="4"/>
        <v>0.73</v>
      </c>
      <c r="Q37" s="229">
        <f t="shared" si="4"/>
        <v>0.73</v>
      </c>
      <c r="R37" s="229">
        <f t="shared" si="4"/>
        <v>0.73</v>
      </c>
      <c r="S37" s="229">
        <f t="shared" si="4"/>
        <v>0.73</v>
      </c>
      <c r="T37" s="229">
        <f t="shared" si="4"/>
        <v>0.73</v>
      </c>
      <c r="U37" s="229">
        <f t="shared" si="4"/>
        <v>0.73</v>
      </c>
      <c r="V37" s="229">
        <f t="shared" si="4"/>
        <v>0.73</v>
      </c>
      <c r="W37" s="229">
        <f t="shared" si="4"/>
        <v>0.73</v>
      </c>
      <c r="X37" s="229">
        <f t="shared" si="4"/>
        <v>0.73</v>
      </c>
      <c r="Y37" s="229">
        <f t="shared" si="4"/>
        <v>0.73</v>
      </c>
      <c r="Z37" s="291">
        <f t="shared" ref="Z37:Z63" si="34">Y37</f>
        <v>0.73</v>
      </c>
      <c r="AA37" s="300"/>
      <c r="AB37" s="191">
        <f t="shared" si="3"/>
        <v>0.73000000000000009</v>
      </c>
      <c r="AC37" s="139">
        <f t="shared" si="17"/>
        <v>5.2141017624034536</v>
      </c>
      <c r="AD37" s="132">
        <f t="shared" si="33"/>
        <v>64.117828423058469</v>
      </c>
      <c r="AE37" s="168">
        <f t="shared" si="18"/>
        <v>0.83699098217101209</v>
      </c>
      <c r="AF37" s="192">
        <f t="shared" si="19"/>
        <v>0.64839760912696554</v>
      </c>
      <c r="AG37" s="192">
        <f t="shared" si="30"/>
        <v>4.2982055653987787</v>
      </c>
      <c r="AH37" s="192">
        <f t="shared" si="20"/>
        <v>1.452792032281923</v>
      </c>
      <c r="AI37" s="168">
        <f t="shared" si="21"/>
        <v>6.9444321257855686</v>
      </c>
      <c r="AJ37" s="192">
        <f t="shared" si="22"/>
        <v>2.289447425588917</v>
      </c>
      <c r="AK37" s="132">
        <f t="shared" si="23"/>
        <v>33.24277231722499</v>
      </c>
      <c r="AL37" s="192">
        <f t="shared" si="24"/>
        <v>0.45909630724681327</v>
      </c>
      <c r="AM37" s="192">
        <f t="shared" si="25"/>
        <v>0</v>
      </c>
      <c r="AN37" s="192">
        <f t="shared" si="31"/>
        <v>0</v>
      </c>
      <c r="AO37" s="192">
        <f t="shared" si="26"/>
        <v>0</v>
      </c>
      <c r="AS37" s="132">
        <f t="shared" si="8"/>
        <v>146109.3405096159</v>
      </c>
      <c r="AT37" s="132">
        <f t="shared" si="9"/>
        <v>2564290.7855434874</v>
      </c>
      <c r="AU37" s="200" t="str">
        <f t="shared" si="10"/>
        <v>-</v>
      </c>
      <c r="AV37" s="132">
        <f t="shared" si="32"/>
        <v>-14</v>
      </c>
      <c r="AW37" s="132">
        <f t="shared" si="11"/>
        <v>-39.536614772007226</v>
      </c>
      <c r="AX37" s="132">
        <f t="shared" si="27"/>
        <v>525.05689821817077</v>
      </c>
      <c r="AY37" s="132">
        <f t="shared" si="12"/>
        <v>987995411.69482434</v>
      </c>
      <c r="AZ37" s="132">
        <f t="shared" si="28"/>
        <v>318765.8349105902</v>
      </c>
      <c r="BA37" s="167">
        <f t="shared" si="13"/>
        <v>0.71224278001307795</v>
      </c>
      <c r="BB37" s="167">
        <f t="shared" si="14"/>
        <v>0.8439447730823848</v>
      </c>
      <c r="BD37" s="211">
        <f t="shared" si="29"/>
        <v>42442</v>
      </c>
      <c r="BE37" s="210">
        <f>Operacional_10_dias!BE37</f>
        <v>2.5</v>
      </c>
      <c r="BF37" s="209">
        <v>0.5</v>
      </c>
      <c r="BG37" s="209">
        <v>2</v>
      </c>
      <c r="BH37" s="210"/>
      <c r="BI37" s="209"/>
      <c r="BJ37" s="209"/>
      <c r="BL37" s="168"/>
    </row>
    <row r="38" spans="1:64" ht="13.5" thickBot="1" x14ac:dyDescent="0.25">
      <c r="A38" s="213">
        <f t="shared" si="1"/>
        <v>42443</v>
      </c>
      <c r="B38" s="190">
        <f>VLOOKUP(A38,P_Q_obs!$A$4:$H$304,8,FALSE)</f>
        <v>1561.3107932038799</v>
      </c>
      <c r="C38" s="168">
        <f t="shared" si="6"/>
        <v>8.6914615930283792E-3</v>
      </c>
      <c r="D38" s="198">
        <f t="shared" si="7"/>
        <v>9.3228008629533538E-2</v>
      </c>
      <c r="E38" s="132">
        <f t="shared" si="15"/>
        <v>1415.7528971016848</v>
      </c>
      <c r="F38" s="168">
        <f t="shared" si="16"/>
        <v>305.23046549854746</v>
      </c>
      <c r="G38" s="300"/>
      <c r="H38" s="127">
        <f>VLOOKUP(MONTH(A38),ETP_Parametros!$A$6:$D$17,4,FALSE)</f>
        <v>4.838709677419355</v>
      </c>
      <c r="I38" s="229">
        <f>VLOOKUP(A38,P_Q_obs!$A$4:$F$308,2,FALSE)*1</f>
        <v>0.59</v>
      </c>
      <c r="J38" s="229">
        <f t="shared" ref="J38:Y53" si="35">I38</f>
        <v>0.59</v>
      </c>
      <c r="K38" s="229">
        <f t="shared" si="35"/>
        <v>0.59</v>
      </c>
      <c r="L38" s="229">
        <f t="shared" si="35"/>
        <v>0.59</v>
      </c>
      <c r="M38" s="229">
        <f t="shared" si="35"/>
        <v>0.59</v>
      </c>
      <c r="N38" s="229">
        <f t="shared" si="35"/>
        <v>0.59</v>
      </c>
      <c r="O38" s="229">
        <f t="shared" si="35"/>
        <v>0.59</v>
      </c>
      <c r="P38" s="229">
        <f t="shared" si="35"/>
        <v>0.59</v>
      </c>
      <c r="Q38" s="229">
        <f t="shared" si="35"/>
        <v>0.59</v>
      </c>
      <c r="R38" s="229">
        <f t="shared" si="35"/>
        <v>0.59</v>
      </c>
      <c r="S38" s="229">
        <f t="shared" si="35"/>
        <v>0.59</v>
      </c>
      <c r="T38" s="229">
        <f t="shared" si="35"/>
        <v>0.59</v>
      </c>
      <c r="U38" s="229">
        <f t="shared" si="35"/>
        <v>0.59</v>
      </c>
      <c r="V38" s="229">
        <f t="shared" si="35"/>
        <v>0.59</v>
      </c>
      <c r="W38" s="229">
        <f t="shared" si="35"/>
        <v>0.59</v>
      </c>
      <c r="X38" s="229">
        <f t="shared" si="35"/>
        <v>0.59</v>
      </c>
      <c r="Y38" s="229">
        <f t="shared" si="35"/>
        <v>0.59</v>
      </c>
      <c r="Z38" s="291">
        <f t="shared" si="34"/>
        <v>0.59</v>
      </c>
      <c r="AA38" s="300"/>
      <c r="AB38" s="191">
        <f t="shared" si="3"/>
        <v>0.59000000000000008</v>
      </c>
      <c r="AC38" s="139">
        <f t="shared" si="17"/>
        <v>0.604633352342139</v>
      </c>
      <c r="AD38" s="132">
        <f t="shared" si="33"/>
        <v>59.758915211442869</v>
      </c>
      <c r="AE38" s="168">
        <f t="shared" si="18"/>
        <v>0.82179906031762462</v>
      </c>
      <c r="AF38" s="192">
        <f t="shared" si="19"/>
        <v>0</v>
      </c>
      <c r="AG38" s="192">
        <f t="shared" si="30"/>
        <v>3.5971942970458759</v>
      </c>
      <c r="AH38" s="192">
        <f t="shared" si="20"/>
        <v>1.3663522669118577</v>
      </c>
      <c r="AI38" s="168">
        <f t="shared" si="21"/>
        <v>5.2226301286834786</v>
      </c>
      <c r="AJ38" s="192">
        <f t="shared" si="22"/>
        <v>1.7218019971020901</v>
      </c>
      <c r="AK38" s="132">
        <f t="shared" si="23"/>
        <v>34.13588207222007</v>
      </c>
      <c r="AL38" s="192">
        <f t="shared" si="24"/>
        <v>0.47324251191678041</v>
      </c>
      <c r="AM38" s="192">
        <f t="shared" si="25"/>
        <v>0</v>
      </c>
      <c r="AN38" s="192">
        <f t="shared" si="31"/>
        <v>0</v>
      </c>
      <c r="AO38" s="192">
        <f t="shared" si="26"/>
        <v>0</v>
      </c>
      <c r="AS38" s="132">
        <f t="shared" si="8"/>
        <v>2125.8101232391327</v>
      </c>
      <c r="AT38" s="132">
        <f t="shared" si="9"/>
        <v>1577737.7896483352</v>
      </c>
      <c r="AU38" s="200" t="str">
        <f t="shared" si="10"/>
        <v>-</v>
      </c>
      <c r="AV38" s="132">
        <f t="shared" si="32"/>
        <v>-15</v>
      </c>
      <c r="AW38" s="132">
        <f t="shared" si="11"/>
        <v>-30.412640218319893</v>
      </c>
      <c r="AX38" s="132">
        <f t="shared" si="27"/>
        <v>571.1634066875738</v>
      </c>
      <c r="AY38" s="132">
        <f t="shared" si="12"/>
        <v>990896013.4133482</v>
      </c>
      <c r="AZ38" s="132">
        <f t="shared" si="28"/>
        <v>361893.74021092203</v>
      </c>
      <c r="BA38" s="167">
        <f t="shared" si="13"/>
        <v>0.64722622157798371</v>
      </c>
      <c r="BB38" s="167">
        <f t="shared" si="14"/>
        <v>0.80450371135128007</v>
      </c>
      <c r="BD38" s="211">
        <f t="shared" si="29"/>
        <v>42443</v>
      </c>
      <c r="BE38" s="210">
        <f>Operacional_10_dias!BE38</f>
        <v>1.0197705431466233</v>
      </c>
      <c r="BF38" s="209">
        <v>0.5</v>
      </c>
      <c r="BG38" s="209">
        <v>2</v>
      </c>
      <c r="BH38" s="210"/>
      <c r="BI38" s="209"/>
      <c r="BJ38" s="209"/>
      <c r="BL38" s="168"/>
    </row>
    <row r="39" spans="1:64" ht="13.5" thickBot="1" x14ac:dyDescent="0.25">
      <c r="A39" s="213">
        <f t="shared" si="1"/>
        <v>42444</v>
      </c>
      <c r="B39" s="190">
        <f>VLOOKUP(A39,P_Q_obs!$A$4:$H$304,8,FALSE)</f>
        <v>1289.2214994701901</v>
      </c>
      <c r="C39" s="168">
        <f t="shared" si="6"/>
        <v>1.1895529924825867E-2</v>
      </c>
      <c r="D39" s="198">
        <f t="shared" si="7"/>
        <v>0.10906663066596431</v>
      </c>
      <c r="E39" s="132">
        <f t="shared" si="15"/>
        <v>1148.6104543408542</v>
      </c>
      <c r="F39" s="168">
        <f t="shared" si="16"/>
        <v>313.43087380556437</v>
      </c>
      <c r="G39" s="300"/>
      <c r="H39" s="127">
        <f>VLOOKUP(MONTH(A39),ETP_Parametros!$A$6:$D$17,4,FALSE)</f>
        <v>4.838709677419355</v>
      </c>
      <c r="I39" s="229">
        <f>VLOOKUP(A39,P_Q_obs!$A$4:$F$308,2,FALSE)*1</f>
        <v>7.0000000000000007E-2</v>
      </c>
      <c r="J39" s="229">
        <f t="shared" si="35"/>
        <v>7.0000000000000007E-2</v>
      </c>
      <c r="K39" s="229">
        <f t="shared" si="35"/>
        <v>7.0000000000000007E-2</v>
      </c>
      <c r="L39" s="229">
        <f t="shared" si="35"/>
        <v>7.0000000000000007E-2</v>
      </c>
      <c r="M39" s="229">
        <f t="shared" si="35"/>
        <v>7.0000000000000007E-2</v>
      </c>
      <c r="N39" s="229">
        <f t="shared" si="35"/>
        <v>7.0000000000000007E-2</v>
      </c>
      <c r="O39" s="229">
        <f t="shared" si="35"/>
        <v>7.0000000000000007E-2</v>
      </c>
      <c r="P39" s="229">
        <f t="shared" si="35"/>
        <v>7.0000000000000007E-2</v>
      </c>
      <c r="Q39" s="229">
        <f t="shared" si="35"/>
        <v>7.0000000000000007E-2</v>
      </c>
      <c r="R39" s="229">
        <f t="shared" si="35"/>
        <v>7.0000000000000007E-2</v>
      </c>
      <c r="S39" s="229">
        <f t="shared" si="35"/>
        <v>7.0000000000000007E-2</v>
      </c>
      <c r="T39" s="229">
        <f t="shared" si="35"/>
        <v>7.0000000000000007E-2</v>
      </c>
      <c r="U39" s="229">
        <f t="shared" si="35"/>
        <v>7.0000000000000007E-2</v>
      </c>
      <c r="V39" s="229">
        <f t="shared" si="35"/>
        <v>7.0000000000000007E-2</v>
      </c>
      <c r="W39" s="229">
        <f t="shared" si="35"/>
        <v>7.0000000000000007E-2</v>
      </c>
      <c r="X39" s="229">
        <f t="shared" si="35"/>
        <v>7.0000000000000007E-2</v>
      </c>
      <c r="Y39" s="229">
        <f t="shared" si="35"/>
        <v>7.0000000000000007E-2</v>
      </c>
      <c r="Z39" s="291">
        <f t="shared" si="34"/>
        <v>7.0000000000000007E-2</v>
      </c>
      <c r="AA39" s="300"/>
      <c r="AB39" s="191">
        <f t="shared" si="3"/>
        <v>6.9999999999999979E-2</v>
      </c>
      <c r="AC39" s="139">
        <f t="shared" si="17"/>
        <v>0.35864688280172424</v>
      </c>
      <c r="AD39" s="132">
        <f t="shared" si="33"/>
        <v>55.713816369161286</v>
      </c>
      <c r="AE39" s="168">
        <f t="shared" si="18"/>
        <v>0.76593081166646559</v>
      </c>
      <c r="AF39" s="192">
        <f t="shared" si="19"/>
        <v>0</v>
      </c>
      <c r="AG39" s="192">
        <f t="shared" si="30"/>
        <v>3.336173598641881</v>
      </c>
      <c r="AH39" s="192">
        <f t="shared" si="20"/>
        <v>1.0675721264414273</v>
      </c>
      <c r="AI39" s="168">
        <f t="shared" si="21"/>
        <v>3.9277315937402015</v>
      </c>
      <c r="AJ39" s="192">
        <f t="shared" si="22"/>
        <v>1.2948985349432769</v>
      </c>
      <c r="AK39" s="132">
        <f t="shared" si="23"/>
        <v>34.717497419118722</v>
      </c>
      <c r="AL39" s="192">
        <f t="shared" si="24"/>
        <v>0.4859567795427765</v>
      </c>
      <c r="AM39" s="192">
        <f t="shared" si="25"/>
        <v>0</v>
      </c>
      <c r="AN39" s="192">
        <f t="shared" si="31"/>
        <v>0</v>
      </c>
      <c r="AO39" s="192">
        <f t="shared" si="26"/>
        <v>0</v>
      </c>
      <c r="AS39" s="132">
        <f t="shared" si="8"/>
        <v>51068.219235804761</v>
      </c>
      <c r="AT39" s="132">
        <f t="shared" si="9"/>
        <v>952167.34513496177</v>
      </c>
      <c r="AU39" s="200" t="str">
        <f t="shared" si="10"/>
        <v>-</v>
      </c>
      <c r="AV39" s="132">
        <f t="shared" si="32"/>
        <v>-16</v>
      </c>
      <c r="AW39" s="132">
        <f t="shared" si="11"/>
        <v>-22.212231911302979</v>
      </c>
      <c r="AX39" s="132">
        <f t="shared" si="27"/>
        <v>345.18062142328699</v>
      </c>
      <c r="AY39" s="132">
        <f t="shared" si="12"/>
        <v>976719883.05340075</v>
      </c>
      <c r="AZ39" s="132">
        <f t="shared" si="28"/>
        <v>134977.50868133153</v>
      </c>
      <c r="BA39" s="167">
        <f t="shared" si="13"/>
        <v>0.57287280267491825</v>
      </c>
      <c r="BB39" s="167">
        <f t="shared" si="14"/>
        <v>0.75688361237043456</v>
      </c>
      <c r="BD39" s="211">
        <f t="shared" si="29"/>
        <v>42444</v>
      </c>
      <c r="BE39" s="210">
        <f>Operacional_10_dias!BE39</f>
        <v>1.0036832472594492</v>
      </c>
      <c r="BF39" s="209">
        <v>0.5</v>
      </c>
      <c r="BG39" s="209">
        <v>2</v>
      </c>
      <c r="BH39" s="210"/>
      <c r="BI39" s="209"/>
      <c r="BJ39" s="209"/>
      <c r="BL39" s="168"/>
    </row>
    <row r="40" spans="1:64" ht="13.5" thickBot="1" x14ac:dyDescent="0.25">
      <c r="A40" s="213">
        <f t="shared" si="1"/>
        <v>42445</v>
      </c>
      <c r="B40" s="190">
        <f>VLOOKUP(A40,P_Q_obs!$A$4:$H$304,8,FALSE)</f>
        <v>1090.66473545695</v>
      </c>
      <c r="C40" s="168">
        <f t="shared" si="6"/>
        <v>1.7380600157408266E-2</v>
      </c>
      <c r="D40" s="198">
        <f t="shared" si="7"/>
        <v>0.13183550416108805</v>
      </c>
      <c r="E40" s="132">
        <f t="shared" si="15"/>
        <v>946.87640018726324</v>
      </c>
      <c r="F40" s="168">
        <f t="shared" si="16"/>
        <v>318.77118421592644</v>
      </c>
      <c r="G40" s="300"/>
      <c r="H40" s="127">
        <f>VLOOKUP(MONTH(A40),ETP_Parametros!$A$6:$D$17,4,FALSE)</f>
        <v>4.838709677419355</v>
      </c>
      <c r="I40" s="229">
        <f>VLOOKUP(A40,P_Q_obs!$A$4:$F$308,2,FALSE)*1</f>
        <v>0.13</v>
      </c>
      <c r="J40" s="229">
        <f t="shared" si="35"/>
        <v>0.13</v>
      </c>
      <c r="K40" s="229">
        <f t="shared" si="35"/>
        <v>0.13</v>
      </c>
      <c r="L40" s="229">
        <f t="shared" si="35"/>
        <v>0.13</v>
      </c>
      <c r="M40" s="229">
        <f t="shared" si="35"/>
        <v>0.13</v>
      </c>
      <c r="N40" s="229">
        <f t="shared" si="35"/>
        <v>0.13</v>
      </c>
      <c r="O40" s="229">
        <f t="shared" si="35"/>
        <v>0.13</v>
      </c>
      <c r="P40" s="229">
        <f t="shared" si="35"/>
        <v>0.13</v>
      </c>
      <c r="Q40" s="229">
        <f t="shared" si="35"/>
        <v>0.13</v>
      </c>
      <c r="R40" s="229">
        <f t="shared" si="35"/>
        <v>0.13</v>
      </c>
      <c r="S40" s="229">
        <f t="shared" si="35"/>
        <v>0.13</v>
      </c>
      <c r="T40" s="229">
        <f t="shared" si="35"/>
        <v>0.13</v>
      </c>
      <c r="U40" s="229">
        <f t="shared" si="35"/>
        <v>0.13</v>
      </c>
      <c r="V40" s="229">
        <f t="shared" si="35"/>
        <v>0.13</v>
      </c>
      <c r="W40" s="229">
        <f t="shared" si="35"/>
        <v>0.13</v>
      </c>
      <c r="X40" s="229">
        <f t="shared" si="35"/>
        <v>0.13</v>
      </c>
      <c r="Y40" s="229">
        <f t="shared" si="35"/>
        <v>0.13</v>
      </c>
      <c r="Z40" s="291">
        <f t="shared" si="34"/>
        <v>0.13</v>
      </c>
      <c r="AA40" s="300"/>
      <c r="AB40" s="191">
        <f t="shared" si="3"/>
        <v>0.13000000000000003</v>
      </c>
      <c r="AC40" s="139">
        <f t="shared" si="17"/>
        <v>0.10451122861875817</v>
      </c>
      <c r="AD40" s="132">
        <f t="shared" si="33"/>
        <v>51.939192296580778</v>
      </c>
      <c r="AE40" s="168">
        <f t="shared" si="18"/>
        <v>0.71408472596398376</v>
      </c>
      <c r="AF40" s="192">
        <f t="shared" si="19"/>
        <v>0</v>
      </c>
      <c r="AG40" s="192">
        <f t="shared" si="30"/>
        <v>3.0619626595736049</v>
      </c>
      <c r="AH40" s="192">
        <f t="shared" si="20"/>
        <v>0.8171726416256635</v>
      </c>
      <c r="AI40" s="168">
        <f t="shared" si="21"/>
        <v>2.9538901075412367</v>
      </c>
      <c r="AJ40" s="192">
        <f t="shared" si="22"/>
        <v>0.97384148619896471</v>
      </c>
      <c r="AK40" s="132">
        <f t="shared" si="23"/>
        <v>35.040433433025612</v>
      </c>
      <c r="AL40" s="192">
        <f t="shared" si="24"/>
        <v>0.4942366277187677</v>
      </c>
      <c r="AM40" s="192">
        <f t="shared" si="25"/>
        <v>0</v>
      </c>
      <c r="AN40" s="192">
        <f t="shared" si="31"/>
        <v>0</v>
      </c>
      <c r="AO40" s="192">
        <f t="shared" si="26"/>
        <v>0</v>
      </c>
      <c r="AS40" s="132">
        <f t="shared" si="8"/>
        <v>180233.82890076571</v>
      </c>
      <c r="AT40" s="132">
        <f t="shared" si="9"/>
        <v>595819.65444747859</v>
      </c>
      <c r="AU40" s="200" t="str">
        <f t="shared" si="10"/>
        <v>-</v>
      </c>
      <c r="AV40" s="132">
        <f t="shared" si="32"/>
        <v>-17</v>
      </c>
      <c r="AW40" s="132">
        <f t="shared" si="11"/>
        <v>-16.871921500940914</v>
      </c>
      <c r="AX40" s="132">
        <f t="shared" si="27"/>
        <v>-79.358927854239937</v>
      </c>
      <c r="AY40" s="132">
        <f t="shared" si="12"/>
        <v>950364257.04801536</v>
      </c>
      <c r="AZ40" s="132">
        <f t="shared" si="28"/>
        <v>3904.6259629972324</v>
      </c>
      <c r="BA40" s="167">
        <f t="shared" si="13"/>
        <v>0.50087837606215302</v>
      </c>
      <c r="BB40" s="167">
        <f t="shared" si="14"/>
        <v>0.70772761431369413</v>
      </c>
      <c r="BD40" s="211">
        <f t="shared" si="29"/>
        <v>42445</v>
      </c>
      <c r="BE40" s="210">
        <f>Operacional_10_dias!BE40</f>
        <v>0.99961675102314174</v>
      </c>
      <c r="BF40" s="209">
        <v>0.5</v>
      </c>
      <c r="BG40" s="209">
        <v>2</v>
      </c>
      <c r="BH40" s="210"/>
      <c r="BI40" s="209"/>
      <c r="BJ40" s="209"/>
      <c r="BL40" s="168"/>
    </row>
    <row r="41" spans="1:64" ht="13.5" thickBot="1" x14ac:dyDescent="0.25">
      <c r="A41" s="213">
        <f t="shared" si="1"/>
        <v>42446</v>
      </c>
      <c r="B41" s="190">
        <f>VLOOKUP(A41,P_Q_obs!$A$4:$H$304,8,FALSE)</f>
        <v>929.17803163181395</v>
      </c>
      <c r="C41" s="168">
        <f t="shared" si="6"/>
        <v>2.1130631354135062E-2</v>
      </c>
      <c r="D41" s="198">
        <f t="shared" si="7"/>
        <v>0.14536378969377162</v>
      </c>
      <c r="E41" s="132">
        <f t="shared" si="15"/>
        <v>794.10919165361429</v>
      </c>
      <c r="F41" s="168">
        <f t="shared" si="16"/>
        <v>321.73633732982518</v>
      </c>
      <c r="G41" s="300"/>
      <c r="H41" s="127">
        <f>VLOOKUP(MONTH(A41),ETP_Parametros!$A$6:$D$17,4,FALSE)</f>
        <v>4.838709677419355</v>
      </c>
      <c r="I41" s="229">
        <f>VLOOKUP(A41,P_Q_obs!$A$4:$F$308,2,FALSE)*1</f>
        <v>0.06</v>
      </c>
      <c r="J41" s="229">
        <f t="shared" si="35"/>
        <v>0.06</v>
      </c>
      <c r="K41" s="229">
        <f t="shared" si="35"/>
        <v>0.06</v>
      </c>
      <c r="L41" s="229">
        <f t="shared" si="35"/>
        <v>0.06</v>
      </c>
      <c r="M41" s="229">
        <f t="shared" si="35"/>
        <v>0.06</v>
      </c>
      <c r="N41" s="229">
        <f t="shared" si="35"/>
        <v>0.06</v>
      </c>
      <c r="O41" s="229">
        <f t="shared" si="35"/>
        <v>0.06</v>
      </c>
      <c r="P41" s="229">
        <f t="shared" si="35"/>
        <v>0.06</v>
      </c>
      <c r="Q41" s="229">
        <f t="shared" si="35"/>
        <v>0.06</v>
      </c>
      <c r="R41" s="229">
        <f t="shared" si="35"/>
        <v>0.06</v>
      </c>
      <c r="S41" s="229">
        <f t="shared" si="35"/>
        <v>0.06</v>
      </c>
      <c r="T41" s="229">
        <f t="shared" si="35"/>
        <v>0.06</v>
      </c>
      <c r="U41" s="229">
        <f t="shared" si="35"/>
        <v>0.06</v>
      </c>
      <c r="V41" s="229">
        <f t="shared" si="35"/>
        <v>0.06</v>
      </c>
      <c r="W41" s="229">
        <f t="shared" si="35"/>
        <v>0.06</v>
      </c>
      <c r="X41" s="229">
        <f t="shared" si="35"/>
        <v>0.06</v>
      </c>
      <c r="Y41" s="229">
        <f t="shared" si="35"/>
        <v>0.06</v>
      </c>
      <c r="Z41" s="291">
        <f t="shared" si="34"/>
        <v>0.06</v>
      </c>
      <c r="AA41" s="300"/>
      <c r="AB41" s="191">
        <f t="shared" si="3"/>
        <v>6.0000000000000005E-2</v>
      </c>
      <c r="AC41" s="139">
        <f t="shared" si="17"/>
        <v>0.10893418164959043</v>
      </c>
      <c r="AD41" s="132">
        <f t="shared" si="33"/>
        <v>48.578206770718445</v>
      </c>
      <c r="AE41" s="168">
        <f t="shared" si="18"/>
        <v>0.6657053189848261</v>
      </c>
      <c r="AF41" s="192">
        <f t="shared" si="19"/>
        <v>0</v>
      </c>
      <c r="AG41" s="192">
        <f t="shared" si="30"/>
        <v>2.8630732040008615</v>
      </c>
      <c r="AH41" s="192">
        <f t="shared" si="20"/>
        <v>0.60684650351105829</v>
      </c>
      <c r="AI41" s="168">
        <f t="shared" si="21"/>
        <v>2.221502808729634</v>
      </c>
      <c r="AJ41" s="192">
        <f t="shared" si="22"/>
        <v>0.7323872988116028</v>
      </c>
      <c r="AK41" s="132">
        <f t="shared" si="23"/>
        <v>35.148446007216478</v>
      </c>
      <c r="AL41" s="192">
        <f t="shared" si="24"/>
        <v>0.49883392932018983</v>
      </c>
      <c r="AM41" s="192">
        <f t="shared" si="25"/>
        <v>0</v>
      </c>
      <c r="AN41" s="192">
        <f t="shared" si="31"/>
        <v>0</v>
      </c>
      <c r="AO41" s="192">
        <f t="shared" si="26"/>
        <v>0</v>
      </c>
      <c r="AS41" s="132">
        <f t="shared" si="8"/>
        <v>343426.7693255464</v>
      </c>
      <c r="AT41" s="132">
        <f t="shared" si="9"/>
        <v>368985.41197647073</v>
      </c>
      <c r="AU41" s="200" t="str">
        <f t="shared" si="10"/>
        <v>-</v>
      </c>
      <c r="AV41" s="132">
        <f t="shared" si="32"/>
        <v>-18</v>
      </c>
      <c r="AW41" s="132">
        <f t="shared" si="11"/>
        <v>-13.906768387042177</v>
      </c>
      <c r="AX41" s="132">
        <f t="shared" si="27"/>
        <v>-665.3851809569029</v>
      </c>
      <c r="AY41" s="132">
        <f t="shared" si="12"/>
        <v>914575674.38080525</v>
      </c>
      <c r="AZ41" s="132">
        <f t="shared" si="28"/>
        <v>424424.1220445456</v>
      </c>
      <c r="BA41" s="167">
        <f t="shared" si="13"/>
        <v>0.42737718071580677</v>
      </c>
      <c r="BB41" s="167">
        <f t="shared" si="14"/>
        <v>0.65374091253019095</v>
      </c>
      <c r="BD41" s="211">
        <f t="shared" si="29"/>
        <v>42446</v>
      </c>
      <c r="BE41" s="210">
        <f>Operacional_10_dias!BE41</f>
        <v>0.99888934154080911</v>
      </c>
      <c r="BF41" s="209">
        <v>0.5</v>
      </c>
      <c r="BG41" s="209">
        <v>2</v>
      </c>
      <c r="BH41" s="210"/>
      <c r="BI41" s="209"/>
      <c r="BJ41" s="209"/>
      <c r="BL41" s="168"/>
    </row>
    <row r="42" spans="1:64" ht="13.5" thickBot="1" x14ac:dyDescent="0.25">
      <c r="A42" s="213">
        <f t="shared" si="1"/>
        <v>42447</v>
      </c>
      <c r="B42" s="190">
        <f>VLOOKUP(A42,P_Q_obs!$A$4:$H$304,8,FALSE)</f>
        <v>832.586682242763</v>
      </c>
      <c r="C42" s="168">
        <f t="shared" si="6"/>
        <v>1.6260528416143664E-2</v>
      </c>
      <c r="D42" s="198">
        <f t="shared" si="7"/>
        <v>0.12751677699872932</v>
      </c>
      <c r="E42" s="132">
        <f t="shared" si="15"/>
        <v>726.41791195110068</v>
      </c>
      <c r="F42" s="168">
        <f t="shared" si="16"/>
        <v>322.72809361252524</v>
      </c>
      <c r="G42" s="300"/>
      <c r="H42" s="127">
        <f>VLOOKUP(MONTH(A42),ETP_Parametros!$A$6:$D$17,4,FALSE)</f>
        <v>4.838709677419355</v>
      </c>
      <c r="I42" s="229">
        <f>VLOOKUP(A42,P_Q_obs!$A$4:$F$308,2,FALSE)*1</f>
        <v>0.1</v>
      </c>
      <c r="J42" s="229">
        <f t="shared" si="35"/>
        <v>0.1</v>
      </c>
      <c r="K42" s="229">
        <f t="shared" si="35"/>
        <v>0.1</v>
      </c>
      <c r="L42" s="229">
        <f t="shared" si="35"/>
        <v>0.1</v>
      </c>
      <c r="M42" s="229">
        <f t="shared" si="35"/>
        <v>0.1</v>
      </c>
      <c r="N42" s="229">
        <f t="shared" si="35"/>
        <v>0.1</v>
      </c>
      <c r="O42" s="229">
        <f t="shared" si="35"/>
        <v>0.1</v>
      </c>
      <c r="P42" s="229">
        <f t="shared" si="35"/>
        <v>0.1</v>
      </c>
      <c r="Q42" s="229">
        <f t="shared" si="35"/>
        <v>0.1</v>
      </c>
      <c r="R42" s="229">
        <f t="shared" si="35"/>
        <v>0.1</v>
      </c>
      <c r="S42" s="229">
        <f t="shared" si="35"/>
        <v>0.1</v>
      </c>
      <c r="T42" s="229">
        <f t="shared" si="35"/>
        <v>0.1</v>
      </c>
      <c r="U42" s="229">
        <f t="shared" si="35"/>
        <v>0.1</v>
      </c>
      <c r="V42" s="229">
        <f t="shared" si="35"/>
        <v>0.1</v>
      </c>
      <c r="W42" s="229">
        <f t="shared" si="35"/>
        <v>0.1</v>
      </c>
      <c r="X42" s="229">
        <f t="shared" si="35"/>
        <v>0.1</v>
      </c>
      <c r="Y42" s="229">
        <f t="shared" si="35"/>
        <v>0.1</v>
      </c>
      <c r="Z42" s="291">
        <f t="shared" si="34"/>
        <v>0.1</v>
      </c>
      <c r="AA42" s="300"/>
      <c r="AB42" s="191">
        <f t="shared" si="3"/>
        <v>9.9999999999999964E-2</v>
      </c>
      <c r="AC42" s="139">
        <f t="shared" si="17"/>
        <v>5.1415960175666218</v>
      </c>
      <c r="AD42" s="132">
        <f t="shared" si="33"/>
        <v>48.508648137464832</v>
      </c>
      <c r="AE42" s="168">
        <f t="shared" si="18"/>
        <v>0.62262752276455535</v>
      </c>
      <c r="AF42" s="192">
        <f t="shared" si="19"/>
        <v>0.30289153355843029</v>
      </c>
      <c r="AG42" s="192">
        <f t="shared" si="30"/>
        <v>4.4697379828153458</v>
      </c>
      <c r="AH42" s="192">
        <f t="shared" si="20"/>
        <v>0.43852513444645547</v>
      </c>
      <c r="AI42" s="168">
        <f t="shared" si="21"/>
        <v>1.8984961923319768</v>
      </c>
      <c r="AJ42" s="192">
        <f t="shared" si="22"/>
        <v>0.62589814995608728</v>
      </c>
      <c r="AK42" s="132">
        <f t="shared" si="23"/>
        <v>35.086599550518365</v>
      </c>
      <c r="AL42" s="192">
        <f t="shared" si="24"/>
        <v>0.50037159114456775</v>
      </c>
      <c r="AM42" s="192">
        <f t="shared" si="25"/>
        <v>0</v>
      </c>
      <c r="AN42" s="192">
        <f t="shared" si="31"/>
        <v>0</v>
      </c>
      <c r="AO42" s="192">
        <f t="shared" si="26"/>
        <v>0</v>
      </c>
      <c r="AS42" s="132">
        <f t="shared" si="8"/>
        <v>465966.79123153555</v>
      </c>
      <c r="AT42" s="132">
        <f t="shared" si="9"/>
        <v>259955.780400018</v>
      </c>
      <c r="AU42" s="200" t="str">
        <f t="shared" si="10"/>
        <v>-</v>
      </c>
      <c r="AV42" s="132">
        <f t="shared" si="32"/>
        <v>-19</v>
      </c>
      <c r="AW42" s="132">
        <f t="shared" si="11"/>
        <v>-12.915012104342111</v>
      </c>
      <c r="AX42" s="132">
        <f t="shared" si="27"/>
        <v>-1348.0027834486168</v>
      </c>
      <c r="AY42" s="132">
        <f t="shared" si="12"/>
        <v>873754263.32700324</v>
      </c>
      <c r="AZ42" s="132">
        <f t="shared" si="28"/>
        <v>1782459.3571930223</v>
      </c>
      <c r="BA42" s="167">
        <f t="shared" si="13"/>
        <v>0.3750080230847268</v>
      </c>
      <c r="BB42" s="167">
        <f t="shared" si="14"/>
        <v>0.61237898648200428</v>
      </c>
      <c r="BD42" s="211">
        <f t="shared" si="29"/>
        <v>42447</v>
      </c>
      <c r="BE42" s="210">
        <f>Operacional_10_dias!BE42</f>
        <v>1.8497569430878134</v>
      </c>
      <c r="BF42" s="209">
        <v>0.5</v>
      </c>
      <c r="BG42" s="209">
        <v>2</v>
      </c>
      <c r="BH42" s="210"/>
      <c r="BI42" s="209"/>
      <c r="BJ42" s="209"/>
      <c r="BL42" s="168"/>
    </row>
    <row r="43" spans="1:64" ht="13.5" thickBot="1" x14ac:dyDescent="0.25">
      <c r="A43" s="213">
        <f t="shared" si="1"/>
        <v>42448</v>
      </c>
      <c r="B43" s="190">
        <f>VLOOKUP(A43,P_Q_obs!$A$4:$H$304,8,FALSE)</f>
        <v>760.89026976625405</v>
      </c>
      <c r="C43" s="168">
        <f t="shared" si="6"/>
        <v>7.0971849222414083E-6</v>
      </c>
      <c r="D43" s="198">
        <f t="shared" si="7"/>
        <v>2.6640542265955114E-3</v>
      </c>
      <c r="E43" s="132">
        <f t="shared" si="15"/>
        <v>758.86321682710786</v>
      </c>
      <c r="F43" s="168">
        <f t="shared" si="16"/>
        <v>322.16022813526422</v>
      </c>
      <c r="G43" s="300"/>
      <c r="H43" s="127">
        <f>VLOOKUP(MONTH(A43),ETP_Parametros!$A$6:$D$17,4,FALSE)</f>
        <v>4.838709677419355</v>
      </c>
      <c r="I43" s="229">
        <f>VLOOKUP(A43,P_Q_obs!$A$4:$F$308,2,FALSE)*1</f>
        <v>12.71</v>
      </c>
      <c r="J43" s="229">
        <f t="shared" si="35"/>
        <v>12.71</v>
      </c>
      <c r="K43" s="229">
        <f t="shared" si="35"/>
        <v>12.71</v>
      </c>
      <c r="L43" s="229">
        <f t="shared" si="35"/>
        <v>12.71</v>
      </c>
      <c r="M43" s="229">
        <f t="shared" si="35"/>
        <v>12.71</v>
      </c>
      <c r="N43" s="229">
        <f t="shared" si="35"/>
        <v>12.71</v>
      </c>
      <c r="O43" s="229">
        <f t="shared" si="35"/>
        <v>12.71</v>
      </c>
      <c r="P43" s="229">
        <f t="shared" si="35"/>
        <v>12.71</v>
      </c>
      <c r="Q43" s="229">
        <f t="shared" si="35"/>
        <v>12.71</v>
      </c>
      <c r="R43" s="229">
        <f t="shared" si="35"/>
        <v>12.71</v>
      </c>
      <c r="S43" s="229">
        <f t="shared" si="35"/>
        <v>12.71</v>
      </c>
      <c r="T43" s="229">
        <f t="shared" si="35"/>
        <v>12.71</v>
      </c>
      <c r="U43" s="229">
        <f t="shared" si="35"/>
        <v>12.71</v>
      </c>
      <c r="V43" s="229">
        <f t="shared" si="35"/>
        <v>12.71</v>
      </c>
      <c r="W43" s="229">
        <f t="shared" si="35"/>
        <v>12.71</v>
      </c>
      <c r="X43" s="229">
        <f t="shared" si="35"/>
        <v>12.71</v>
      </c>
      <c r="Y43" s="229">
        <f t="shared" si="35"/>
        <v>12.71</v>
      </c>
      <c r="Z43" s="291">
        <f t="shared" si="34"/>
        <v>12.71</v>
      </c>
      <c r="AA43" s="300"/>
      <c r="AB43" s="191">
        <f t="shared" si="3"/>
        <v>12.710000000000003</v>
      </c>
      <c r="AC43" s="139">
        <f t="shared" si="17"/>
        <v>7.3898745664426038</v>
      </c>
      <c r="AD43" s="132">
        <f t="shared" si="33"/>
        <v>50.384844435865809</v>
      </c>
      <c r="AE43" s="168">
        <f t="shared" si="18"/>
        <v>0.62173598883630643</v>
      </c>
      <c r="AF43" s="192">
        <f t="shared" si="19"/>
        <v>0.83233947365300176</v>
      </c>
      <c r="AG43" s="192">
        <f t="shared" si="30"/>
        <v>4.2461086097452263</v>
      </c>
      <c r="AH43" s="192">
        <f t="shared" si="20"/>
        <v>0.43523018464339569</v>
      </c>
      <c r="AI43" s="168">
        <f t="shared" si="21"/>
        <v>2.0537524692191012</v>
      </c>
      <c r="AJ43" s="192">
        <f t="shared" si="22"/>
        <v>0.67708319676587769</v>
      </c>
      <c r="AK43" s="132">
        <f t="shared" si="23"/>
        <v>35.02233858720772</v>
      </c>
      <c r="AL43" s="192">
        <f t="shared" si="24"/>
        <v>0.49949114795403993</v>
      </c>
      <c r="AM43" s="192">
        <f t="shared" si="25"/>
        <v>0</v>
      </c>
      <c r="AN43" s="192">
        <f t="shared" si="31"/>
        <v>0</v>
      </c>
      <c r="AO43" s="192">
        <f t="shared" si="26"/>
        <v>0</v>
      </c>
      <c r="AS43" s="132">
        <f t="shared" si="8"/>
        <v>568989.63317748031</v>
      </c>
      <c r="AT43" s="132">
        <f t="shared" si="9"/>
        <v>192484.04942953007</v>
      </c>
      <c r="AU43" s="200" t="str">
        <f t="shared" si="10"/>
        <v>-</v>
      </c>
      <c r="AV43" s="132">
        <f t="shared" si="32"/>
        <v>-20</v>
      </c>
      <c r="AW43" s="132">
        <f t="shared" si="11"/>
        <v>-13.482877581603134</v>
      </c>
      <c r="AX43" s="132">
        <f t="shared" si="27"/>
        <v>-2102.3167984168394</v>
      </c>
      <c r="AY43" s="132">
        <f t="shared" si="12"/>
        <v>829729212.20235348</v>
      </c>
      <c r="AZ43" s="132">
        <f t="shared" si="28"/>
        <v>4363227.1488319067</v>
      </c>
      <c r="BA43" s="167">
        <f t="shared" si="13"/>
        <v>0.33246863923008085</v>
      </c>
      <c r="BB43" s="167">
        <f t="shared" si="14"/>
        <v>0.5766009358560571</v>
      </c>
      <c r="BD43" s="211">
        <f t="shared" si="29"/>
        <v>42448</v>
      </c>
      <c r="BE43" s="210">
        <f>Operacional_10_dias!BE43</f>
        <v>1.4269005700983277</v>
      </c>
      <c r="BF43" s="209">
        <v>0.5</v>
      </c>
      <c r="BG43" s="209">
        <v>2</v>
      </c>
      <c r="BH43" s="210"/>
      <c r="BI43" s="209"/>
      <c r="BJ43" s="209"/>
      <c r="BL43" s="168"/>
    </row>
    <row r="44" spans="1:64" ht="13.5" thickBot="1" x14ac:dyDescent="0.25">
      <c r="A44" s="213">
        <f t="shared" si="1"/>
        <v>42449</v>
      </c>
      <c r="B44" s="190">
        <f>VLOOKUP(A44,P_Q_obs!$A$4:$H$304,8,FALSE)</f>
        <v>671.57040358134805</v>
      </c>
      <c r="C44" s="168">
        <f t="shared" si="6"/>
        <v>5.3499514772770264E-3</v>
      </c>
      <c r="D44" s="198">
        <f t="shared" si="7"/>
        <v>7.3143362496381217E-2</v>
      </c>
      <c r="E44" s="132">
        <f t="shared" si="15"/>
        <v>720.69132105233962</v>
      </c>
      <c r="F44" s="168">
        <f t="shared" si="16"/>
        <v>321.57019299747486</v>
      </c>
      <c r="G44" s="300"/>
      <c r="H44" s="127">
        <f>VLOOKUP(MONTH(A44),ETP_Parametros!$A$6:$D$17,4,FALSE)</f>
        <v>4.838709677419355</v>
      </c>
      <c r="I44" s="229">
        <f>VLOOKUP(A44,P_Q_obs!$A$4:$F$308,2,FALSE)*1</f>
        <v>2.7</v>
      </c>
      <c r="J44" s="229">
        <f t="shared" si="35"/>
        <v>2.7</v>
      </c>
      <c r="K44" s="229">
        <f t="shared" si="35"/>
        <v>2.7</v>
      </c>
      <c r="L44" s="229">
        <f t="shared" si="35"/>
        <v>2.7</v>
      </c>
      <c r="M44" s="229">
        <f t="shared" si="35"/>
        <v>2.7</v>
      </c>
      <c r="N44" s="229">
        <f t="shared" si="35"/>
        <v>2.7</v>
      </c>
      <c r="O44" s="229">
        <f t="shared" si="35"/>
        <v>2.7</v>
      </c>
      <c r="P44" s="229">
        <f t="shared" si="35"/>
        <v>2.7</v>
      </c>
      <c r="Q44" s="229">
        <f t="shared" si="35"/>
        <v>2.7</v>
      </c>
      <c r="R44" s="229">
        <f t="shared" si="35"/>
        <v>2.7</v>
      </c>
      <c r="S44" s="229">
        <f t="shared" si="35"/>
        <v>2.7</v>
      </c>
      <c r="T44" s="229">
        <f t="shared" si="35"/>
        <v>2.7</v>
      </c>
      <c r="U44" s="229">
        <f t="shared" si="35"/>
        <v>2.7</v>
      </c>
      <c r="V44" s="229">
        <f t="shared" si="35"/>
        <v>2.7</v>
      </c>
      <c r="W44" s="229">
        <f t="shared" si="35"/>
        <v>2.7</v>
      </c>
      <c r="X44" s="229">
        <f t="shared" si="35"/>
        <v>2.7</v>
      </c>
      <c r="Y44" s="229">
        <f t="shared" si="35"/>
        <v>2.7</v>
      </c>
      <c r="Z44" s="291">
        <f t="shared" si="34"/>
        <v>2.7</v>
      </c>
      <c r="AA44" s="300"/>
      <c r="AB44" s="191">
        <f t="shared" si="3"/>
        <v>2.6999999999999993</v>
      </c>
      <c r="AC44" s="139">
        <f t="shared" si="17"/>
        <v>5.7233457425335121</v>
      </c>
      <c r="AD44" s="132">
        <f t="shared" si="33"/>
        <v>50.893225430966929</v>
      </c>
      <c r="AE44" s="168">
        <f t="shared" si="18"/>
        <v>0.64578322176540603</v>
      </c>
      <c r="AF44" s="192">
        <f t="shared" si="19"/>
        <v>0.44207247304958253</v>
      </c>
      <c r="AG44" s="192">
        <f t="shared" si="30"/>
        <v>4.2461086097452263</v>
      </c>
      <c r="AH44" s="192">
        <f t="shared" si="20"/>
        <v>0.52678366463757542</v>
      </c>
      <c r="AI44" s="168">
        <f t="shared" si="21"/>
        <v>1.8770102872792656</v>
      </c>
      <c r="AJ44" s="192">
        <f t="shared" si="22"/>
        <v>0.61881465498941812</v>
      </c>
      <c r="AK44" s="132">
        <f t="shared" si="23"/>
        <v>35.05054591988209</v>
      </c>
      <c r="AL44" s="192">
        <f t="shared" si="24"/>
        <v>0.49857633196320983</v>
      </c>
      <c r="AM44" s="192">
        <f t="shared" si="25"/>
        <v>0</v>
      </c>
      <c r="AN44" s="192">
        <f t="shared" si="31"/>
        <v>0</v>
      </c>
      <c r="AO44" s="192">
        <f t="shared" si="26"/>
        <v>0</v>
      </c>
      <c r="AS44" s="132">
        <f t="shared" si="8"/>
        <v>711718.12542949151</v>
      </c>
      <c r="AT44" s="132">
        <f t="shared" si="9"/>
        <v>122500.14740875557</v>
      </c>
      <c r="AU44" s="200" t="str">
        <f t="shared" si="10"/>
        <v>-</v>
      </c>
      <c r="AV44" s="132">
        <f t="shared" si="32"/>
        <v>-21</v>
      </c>
      <c r="AW44" s="132">
        <f t="shared" si="11"/>
        <v>-14.072912719392491</v>
      </c>
      <c r="AX44" s="132">
        <f t="shared" si="27"/>
        <v>-2945.9506795699681</v>
      </c>
      <c r="AY44" s="132">
        <f t="shared" si="12"/>
        <v>781839147.66406798</v>
      </c>
      <c r="AZ44" s="132">
        <f t="shared" si="28"/>
        <v>8595907.2397527173</v>
      </c>
      <c r="BA44" s="167">
        <f t="shared" si="13"/>
        <v>0.27161485262877166</v>
      </c>
      <c r="BB44" s="167">
        <f t="shared" si="14"/>
        <v>0.52116681842647239</v>
      </c>
      <c r="BD44" s="211">
        <f t="shared" si="29"/>
        <v>42449</v>
      </c>
      <c r="BE44" s="210">
        <f>Operacional_10_dias!BE44</f>
        <v>0.5</v>
      </c>
      <c r="BF44" s="209">
        <v>0.5</v>
      </c>
      <c r="BG44" s="209">
        <v>2</v>
      </c>
      <c r="BH44" s="210"/>
      <c r="BI44" s="209"/>
      <c r="BJ44" s="209"/>
      <c r="BL44" s="168"/>
    </row>
    <row r="45" spans="1:64" ht="13.5" thickBot="1" x14ac:dyDescent="0.25">
      <c r="A45" s="213">
        <f t="shared" si="1"/>
        <v>42450</v>
      </c>
      <c r="B45" s="190">
        <f>VLOOKUP(A45,P_Q_obs!$A$4:$H$304,8,FALSE)</f>
        <v>907.67806605403598</v>
      </c>
      <c r="C45" s="168">
        <f t="shared" si="6"/>
        <v>2.7171349160104145E-9</v>
      </c>
      <c r="D45" s="198">
        <f t="shared" si="7"/>
        <v>5.2126144265717701E-5</v>
      </c>
      <c r="E45" s="132">
        <f t="shared" si="15"/>
        <v>907.72537981185394</v>
      </c>
      <c r="F45" s="168">
        <f t="shared" si="16"/>
        <v>321.82918876354728</v>
      </c>
      <c r="G45" s="300"/>
      <c r="H45" s="127">
        <f>VLOOKUP(MONTH(A45),ETP_Parametros!$A$6:$D$17,4,FALSE)</f>
        <v>4.838709677419355</v>
      </c>
      <c r="I45" s="229">
        <f>VLOOKUP(A45,P_Q_obs!$A$4:$F$308,2,FALSE)*1</f>
        <v>24.95</v>
      </c>
      <c r="J45" s="229">
        <f t="shared" si="35"/>
        <v>24.95</v>
      </c>
      <c r="K45" s="229">
        <f t="shared" si="35"/>
        <v>24.95</v>
      </c>
      <c r="L45" s="229">
        <f t="shared" si="35"/>
        <v>24.95</v>
      </c>
      <c r="M45" s="229">
        <f t="shared" si="35"/>
        <v>24.95</v>
      </c>
      <c r="N45" s="229">
        <f t="shared" si="35"/>
        <v>24.95</v>
      </c>
      <c r="O45" s="229">
        <f t="shared" si="35"/>
        <v>24.95</v>
      </c>
      <c r="P45" s="229">
        <f t="shared" si="35"/>
        <v>24.95</v>
      </c>
      <c r="Q45" s="229">
        <f t="shared" si="35"/>
        <v>24.95</v>
      </c>
      <c r="R45" s="229">
        <f t="shared" si="35"/>
        <v>24.95</v>
      </c>
      <c r="S45" s="229">
        <f t="shared" si="35"/>
        <v>24.95</v>
      </c>
      <c r="T45" s="229">
        <f t="shared" si="35"/>
        <v>24.95</v>
      </c>
      <c r="U45" s="229">
        <f t="shared" si="35"/>
        <v>24.95</v>
      </c>
      <c r="V45" s="229">
        <f t="shared" si="35"/>
        <v>24.95</v>
      </c>
      <c r="W45" s="229">
        <f t="shared" si="35"/>
        <v>24.95</v>
      </c>
      <c r="X45" s="229">
        <f t="shared" si="35"/>
        <v>24.95</v>
      </c>
      <c r="Y45" s="229">
        <f t="shared" si="35"/>
        <v>24.95</v>
      </c>
      <c r="Z45" s="291">
        <f t="shared" si="34"/>
        <v>24.95</v>
      </c>
      <c r="AA45" s="300"/>
      <c r="AB45" s="191">
        <f t="shared" si="3"/>
        <v>24.95000000000001</v>
      </c>
      <c r="AC45" s="139">
        <f t="shared" si="17"/>
        <v>9.9126409843517127</v>
      </c>
      <c r="AD45" s="132">
        <f t="shared" si="33"/>
        <v>54.220432743800018</v>
      </c>
      <c r="AE45" s="168">
        <f t="shared" si="18"/>
        <v>0.65229914774625519</v>
      </c>
      <c r="AF45" s="192">
        <f t="shared" si="19"/>
        <v>1.7867755271303611</v>
      </c>
      <c r="AG45" s="192">
        <f t="shared" si="30"/>
        <v>4.2461086097452263</v>
      </c>
      <c r="AH45" s="192">
        <f t="shared" si="20"/>
        <v>0.55254953464303636</v>
      </c>
      <c r="AI45" s="168">
        <f t="shared" si="21"/>
        <v>2.7553870255754433</v>
      </c>
      <c r="AJ45" s="192">
        <f t="shared" si="22"/>
        <v>0.90839878883418324</v>
      </c>
      <c r="AK45" s="132">
        <f t="shared" si="23"/>
        <v>35.104117564327183</v>
      </c>
      <c r="AL45" s="192">
        <f t="shared" si="24"/>
        <v>0.49897789019794148</v>
      </c>
      <c r="AM45" s="192">
        <f t="shared" si="25"/>
        <v>0</v>
      </c>
      <c r="AN45" s="192">
        <f t="shared" si="31"/>
        <v>0</v>
      </c>
      <c r="AO45" s="192">
        <f t="shared" si="26"/>
        <v>0</v>
      </c>
      <c r="AS45" s="132">
        <f t="shared" si="8"/>
        <v>369088.10638415493</v>
      </c>
      <c r="AT45" s="132">
        <f t="shared" si="9"/>
        <v>343218.90702252602</v>
      </c>
      <c r="AU45" s="200" t="str">
        <f t="shared" si="10"/>
        <v>-</v>
      </c>
      <c r="AV45" s="132">
        <f t="shared" si="32"/>
        <v>-22</v>
      </c>
      <c r="AW45" s="132">
        <f t="shared" si="11"/>
        <v>-13.813916953320074</v>
      </c>
      <c r="AX45" s="132">
        <f t="shared" si="27"/>
        <v>-3553.4768982504092</v>
      </c>
      <c r="AY45" s="132">
        <f t="shared" si="12"/>
        <v>748233684.67653275</v>
      </c>
      <c r="AZ45" s="132">
        <f t="shared" si="28"/>
        <v>12529214.021164997</v>
      </c>
      <c r="BA45" s="167">
        <f t="shared" si="13"/>
        <v>0.41658873519183476</v>
      </c>
      <c r="BB45" s="167">
        <f t="shared" si="14"/>
        <v>0.64543685608418333</v>
      </c>
      <c r="BD45" s="211">
        <f t="shared" si="29"/>
        <v>42450</v>
      </c>
      <c r="BE45" s="210">
        <f>Operacional_10_dias!BE45</f>
        <v>0.7121553316468977</v>
      </c>
      <c r="BF45" s="209">
        <v>0.5</v>
      </c>
      <c r="BG45" s="209">
        <v>2</v>
      </c>
      <c r="BH45" s="210"/>
      <c r="BI45" s="209"/>
      <c r="BJ45" s="209"/>
      <c r="BL45" s="168"/>
    </row>
    <row r="46" spans="1:64" ht="13.5" thickBot="1" x14ac:dyDescent="0.25">
      <c r="A46" s="213">
        <f t="shared" si="1"/>
        <v>42451</v>
      </c>
      <c r="B46" s="190">
        <f>VLOOKUP(A46,P_Q_obs!$A$4:$H$304,8,FALSE)</f>
        <v>2079.9068913917499</v>
      </c>
      <c r="C46" s="168">
        <f t="shared" si="6"/>
        <v>4.3467424753388476E-8</v>
      </c>
      <c r="D46" s="198">
        <f t="shared" si="7"/>
        <v>2.0848842834408934E-4</v>
      </c>
      <c r="E46" s="132">
        <f t="shared" si="15"/>
        <v>2080.3405279106382</v>
      </c>
      <c r="F46" s="168">
        <f t="shared" si="16"/>
        <v>322.32107607714011</v>
      </c>
      <c r="G46" s="300"/>
      <c r="H46" s="127">
        <f>VLOOKUP(MONTH(A46),ETP_Parametros!$A$6:$D$17,4,FALSE)</f>
        <v>4.838709677419355</v>
      </c>
      <c r="I46" s="229">
        <f>VLOOKUP(A46,P_Q_obs!$A$4:$F$308,2,FALSE)*1</f>
        <v>18.13</v>
      </c>
      <c r="J46" s="229">
        <f t="shared" si="35"/>
        <v>18.13</v>
      </c>
      <c r="K46" s="229">
        <f t="shared" si="35"/>
        <v>18.13</v>
      </c>
      <c r="L46" s="229">
        <f t="shared" si="35"/>
        <v>18.13</v>
      </c>
      <c r="M46" s="229">
        <f t="shared" si="35"/>
        <v>18.13</v>
      </c>
      <c r="N46" s="229">
        <f t="shared" si="35"/>
        <v>18.13</v>
      </c>
      <c r="O46" s="229">
        <f t="shared" si="35"/>
        <v>18.13</v>
      </c>
      <c r="P46" s="229">
        <f t="shared" si="35"/>
        <v>18.13</v>
      </c>
      <c r="Q46" s="229">
        <f t="shared" si="35"/>
        <v>18.13</v>
      </c>
      <c r="R46" s="229">
        <f t="shared" si="35"/>
        <v>18.13</v>
      </c>
      <c r="S46" s="229">
        <f t="shared" si="35"/>
        <v>18.13</v>
      </c>
      <c r="T46" s="229">
        <f t="shared" si="35"/>
        <v>18.13</v>
      </c>
      <c r="U46" s="229">
        <f t="shared" si="35"/>
        <v>18.13</v>
      </c>
      <c r="V46" s="229">
        <f t="shared" si="35"/>
        <v>18.13</v>
      </c>
      <c r="W46" s="229">
        <f t="shared" si="35"/>
        <v>18.13</v>
      </c>
      <c r="X46" s="229">
        <f t="shared" si="35"/>
        <v>18.13</v>
      </c>
      <c r="Y46" s="229">
        <f t="shared" si="35"/>
        <v>18.13</v>
      </c>
      <c r="Z46" s="291">
        <f t="shared" si="34"/>
        <v>18.13</v>
      </c>
      <c r="AA46" s="300"/>
      <c r="AB46" s="191">
        <f t="shared" si="3"/>
        <v>18.129999999999992</v>
      </c>
      <c r="AC46" s="139">
        <f t="shared" si="17"/>
        <v>20.714867868449449</v>
      </c>
      <c r="AD46" s="132">
        <f t="shared" si="33"/>
        <v>61.719885586194003</v>
      </c>
      <c r="AE46" s="168">
        <f t="shared" si="18"/>
        <v>0.69494400816053647</v>
      </c>
      <c r="AF46" s="192">
        <f t="shared" si="19"/>
        <v>8.2380395020134749</v>
      </c>
      <c r="AG46" s="192">
        <f t="shared" si="30"/>
        <v>4.2461086097452263</v>
      </c>
      <c r="AH46" s="192">
        <f t="shared" si="20"/>
        <v>0.73126691429675295</v>
      </c>
      <c r="AI46" s="168">
        <f t="shared" si="21"/>
        <v>8.2677171524603565</v>
      </c>
      <c r="AJ46" s="192">
        <f t="shared" si="22"/>
        <v>2.7257093751285622</v>
      </c>
      <c r="AK46" s="132">
        <f t="shared" si="23"/>
        <v>35.335643945065726</v>
      </c>
      <c r="AL46" s="192">
        <f t="shared" si="24"/>
        <v>0.49974053355821174</v>
      </c>
      <c r="AM46" s="192">
        <f t="shared" si="25"/>
        <v>0</v>
      </c>
      <c r="AN46" s="192">
        <f t="shared" si="31"/>
        <v>0</v>
      </c>
      <c r="AO46" s="192">
        <f t="shared" si="26"/>
        <v>0</v>
      </c>
      <c r="AS46" s="132">
        <f t="shared" si="8"/>
        <v>318889.03396551881</v>
      </c>
      <c r="AT46" s="132">
        <f t="shared" si="9"/>
        <v>3089107.8981951219</v>
      </c>
      <c r="AU46" s="200" t="str">
        <f t="shared" si="10"/>
        <v>-</v>
      </c>
      <c r="AV46" s="132">
        <f t="shared" si="32"/>
        <v>-23</v>
      </c>
      <c r="AW46" s="132">
        <f t="shared" si="11"/>
        <v>-13.322029639727248</v>
      </c>
      <c r="AX46" s="132">
        <f t="shared" si="27"/>
        <v>-2988.7742915931362</v>
      </c>
      <c r="AY46" s="132">
        <f t="shared" si="12"/>
        <v>779446166.3722111</v>
      </c>
      <c r="AZ46" s="132">
        <f t="shared" si="28"/>
        <v>8853316.1631636582</v>
      </c>
      <c r="BA46" s="167">
        <f t="shared" si="13"/>
        <v>0.71407740312913637</v>
      </c>
      <c r="BB46" s="167">
        <f t="shared" si="14"/>
        <v>0.8450310071998165</v>
      </c>
      <c r="BD46" s="211">
        <f t="shared" si="29"/>
        <v>42451</v>
      </c>
      <c r="BE46" s="210">
        <f>Operacional_10_dias!BE46</f>
        <v>1.2138769526047035</v>
      </c>
      <c r="BF46" s="209">
        <v>0.5</v>
      </c>
      <c r="BG46" s="209">
        <v>2</v>
      </c>
      <c r="BH46" s="210"/>
      <c r="BI46" s="209"/>
      <c r="BJ46" s="209"/>
      <c r="BL46" s="168"/>
    </row>
    <row r="47" spans="1:64" ht="13.5" thickBot="1" x14ac:dyDescent="0.25">
      <c r="A47" s="213">
        <f t="shared" si="1"/>
        <v>42452</v>
      </c>
      <c r="B47" s="190">
        <f>VLOOKUP(A47,P_Q_obs!$A$4:$H$304,8,FALSE)</f>
        <v>2114</v>
      </c>
      <c r="C47" s="168">
        <f t="shared" si="6"/>
        <v>4.1305152598087024E-4</v>
      </c>
      <c r="D47" s="198">
        <f t="shared" si="7"/>
        <v>2.0323669107247103E-2</v>
      </c>
      <c r="E47" s="132">
        <f t="shared" si="15"/>
        <v>2071.0357635072796</v>
      </c>
      <c r="F47" s="168">
        <f t="shared" si="16"/>
        <v>324.4469187804396</v>
      </c>
      <c r="G47" s="300"/>
      <c r="H47" s="127">
        <f>VLOOKUP(MONTH(A47),ETP_Parametros!$A$6:$D$17,4,FALSE)</f>
        <v>4.838709677419355</v>
      </c>
      <c r="I47" s="229">
        <f>VLOOKUP(A47,P_Q_obs!$A$4:$F$308,2,FALSE)*1</f>
        <v>0.83</v>
      </c>
      <c r="J47" s="229">
        <f t="shared" si="35"/>
        <v>0.83</v>
      </c>
      <c r="K47" s="229">
        <f t="shared" si="35"/>
        <v>0.83</v>
      </c>
      <c r="L47" s="229">
        <f t="shared" si="35"/>
        <v>0.83</v>
      </c>
      <c r="M47" s="229">
        <f t="shared" si="35"/>
        <v>0.83</v>
      </c>
      <c r="N47" s="229">
        <f t="shared" si="35"/>
        <v>0.83</v>
      </c>
      <c r="O47" s="229">
        <f t="shared" si="35"/>
        <v>0.83</v>
      </c>
      <c r="P47" s="229">
        <f t="shared" si="35"/>
        <v>0.83</v>
      </c>
      <c r="Q47" s="229">
        <f t="shared" si="35"/>
        <v>0.83</v>
      </c>
      <c r="R47" s="229">
        <f t="shared" si="35"/>
        <v>0.83</v>
      </c>
      <c r="S47" s="229">
        <f t="shared" si="35"/>
        <v>0.83</v>
      </c>
      <c r="T47" s="229">
        <f t="shared" si="35"/>
        <v>0.83</v>
      </c>
      <c r="U47" s="229">
        <f t="shared" si="35"/>
        <v>0.83</v>
      </c>
      <c r="V47" s="229">
        <f t="shared" si="35"/>
        <v>0.83</v>
      </c>
      <c r="W47" s="229">
        <f t="shared" si="35"/>
        <v>0.83</v>
      </c>
      <c r="X47" s="229">
        <f t="shared" si="35"/>
        <v>0.83</v>
      </c>
      <c r="Y47" s="229">
        <f t="shared" si="35"/>
        <v>0.83</v>
      </c>
      <c r="Z47" s="291">
        <f t="shared" si="34"/>
        <v>0.83</v>
      </c>
      <c r="AA47" s="300"/>
      <c r="AB47" s="191">
        <f t="shared" si="3"/>
        <v>0.83</v>
      </c>
      <c r="AC47" s="139">
        <f t="shared" si="17"/>
        <v>10.037475437603732</v>
      </c>
      <c r="AD47" s="132">
        <f t="shared" si="33"/>
        <v>63.658752726771958</v>
      </c>
      <c r="AE47" s="168">
        <f t="shared" si="18"/>
        <v>0.79106459506050264</v>
      </c>
      <c r="AF47" s="192">
        <f t="shared" si="19"/>
        <v>2.6542303370202398</v>
      </c>
      <c r="AG47" s="192">
        <f t="shared" si="30"/>
        <v>4.2461086097452263</v>
      </c>
      <c r="AH47" s="192">
        <f t="shared" si="20"/>
        <v>1.1982693502603114</v>
      </c>
      <c r="AI47" s="168">
        <f t="shared" si="21"/>
        <v>8.2139606218712391</v>
      </c>
      <c r="AJ47" s="192">
        <f t="shared" si="22"/>
        <v>2.7079868676093568</v>
      </c>
      <c r="AK47" s="132">
        <f t="shared" si="23"/>
        <v>36.030876763318894</v>
      </c>
      <c r="AL47" s="192">
        <f t="shared" si="24"/>
        <v>0.50303653200714182</v>
      </c>
      <c r="AM47" s="192">
        <f t="shared" si="25"/>
        <v>0</v>
      </c>
      <c r="AN47" s="192">
        <f t="shared" si="31"/>
        <v>0</v>
      </c>
      <c r="AO47" s="192">
        <f t="shared" si="26"/>
        <v>0</v>
      </c>
      <c r="AS47" s="132">
        <f t="shared" si="8"/>
        <v>358556.30862034939</v>
      </c>
      <c r="AT47" s="132">
        <f t="shared" si="9"/>
        <v>3202500.2305024229</v>
      </c>
      <c r="AU47" s="200" t="str">
        <f t="shared" si="10"/>
        <v>-</v>
      </c>
      <c r="AV47" s="132">
        <f t="shared" si="32"/>
        <v>-24</v>
      </c>
      <c r="AW47" s="132">
        <f t="shared" si="11"/>
        <v>-11.19618693642775</v>
      </c>
      <c r="AX47" s="132">
        <f t="shared" si="27"/>
        <v>-2389.9785763276132</v>
      </c>
      <c r="AY47" s="132">
        <f t="shared" si="12"/>
        <v>813239754.61936593</v>
      </c>
      <c r="AZ47" s="132">
        <f t="shared" si="28"/>
        <v>5658605.6560776373</v>
      </c>
      <c r="BA47" s="167">
        <f t="shared" si="13"/>
        <v>0.71660395992800685</v>
      </c>
      <c r="BB47" s="167">
        <f t="shared" si="14"/>
        <v>0.84652463633848651</v>
      </c>
      <c r="BD47" s="211">
        <f t="shared" si="29"/>
        <v>42452</v>
      </c>
      <c r="BE47" s="210">
        <f>Operacional_10_dias!BE47</f>
        <v>1.3002196222233573</v>
      </c>
      <c r="BF47" s="209">
        <v>0.5</v>
      </c>
      <c r="BG47" s="209">
        <v>2</v>
      </c>
      <c r="BH47" s="210"/>
      <c r="BI47" s="209"/>
      <c r="BJ47" s="209"/>
      <c r="BL47" s="168"/>
    </row>
    <row r="48" spans="1:64" ht="13.5" thickBot="1" x14ac:dyDescent="0.25">
      <c r="A48" s="213">
        <f t="shared" si="1"/>
        <v>42453</v>
      </c>
      <c r="B48" s="190">
        <f>VLOOKUP(A48,P_Q_obs!$A$4:$H$304,8,FALSE)</f>
        <v>1609</v>
      </c>
      <c r="C48" s="168">
        <f t="shared" si="6"/>
        <v>5.0946550383645949E-4</v>
      </c>
      <c r="D48" s="198">
        <f t="shared" si="7"/>
        <v>2.2571342535092135E-2</v>
      </c>
      <c r="E48" s="132">
        <f t="shared" si="15"/>
        <v>1645.3172901389632</v>
      </c>
      <c r="F48" s="168">
        <f t="shared" si="16"/>
        <v>330.8304488518869</v>
      </c>
      <c r="G48" s="300"/>
      <c r="H48" s="127">
        <f>VLOOKUP(MONTH(A48),ETP_Parametros!$A$6:$D$17,4,FALSE)</f>
        <v>4.838709677419355</v>
      </c>
      <c r="I48" s="229">
        <f>VLOOKUP(A48,P_Q_obs!$A$4:$F$308,2,FALSE)*1</f>
        <v>0.12</v>
      </c>
      <c r="J48" s="229">
        <f t="shared" si="35"/>
        <v>0.12</v>
      </c>
      <c r="K48" s="229">
        <f t="shared" si="35"/>
        <v>0.12</v>
      </c>
      <c r="L48" s="229">
        <f t="shared" si="35"/>
        <v>0.12</v>
      </c>
      <c r="M48" s="229">
        <f t="shared" si="35"/>
        <v>0.12</v>
      </c>
      <c r="N48" s="229">
        <f t="shared" si="35"/>
        <v>0.12</v>
      </c>
      <c r="O48" s="229">
        <f t="shared" si="35"/>
        <v>0.12</v>
      </c>
      <c r="P48" s="229">
        <f t="shared" si="35"/>
        <v>0.12</v>
      </c>
      <c r="Q48" s="229">
        <f t="shared" si="35"/>
        <v>0.12</v>
      </c>
      <c r="R48" s="229">
        <f t="shared" si="35"/>
        <v>0.12</v>
      </c>
      <c r="S48" s="229">
        <f t="shared" si="35"/>
        <v>0.12</v>
      </c>
      <c r="T48" s="229">
        <f t="shared" si="35"/>
        <v>0.12</v>
      </c>
      <c r="U48" s="229">
        <f t="shared" si="35"/>
        <v>0.12</v>
      </c>
      <c r="V48" s="229">
        <f t="shared" si="35"/>
        <v>0.12</v>
      </c>
      <c r="W48" s="229">
        <f t="shared" si="35"/>
        <v>0.12</v>
      </c>
      <c r="X48" s="229">
        <f t="shared" si="35"/>
        <v>0.12</v>
      </c>
      <c r="Y48" s="229">
        <f t="shared" si="35"/>
        <v>0.12</v>
      </c>
      <c r="Z48" s="291">
        <f t="shared" si="34"/>
        <v>0.12</v>
      </c>
      <c r="AA48" s="300"/>
      <c r="AB48" s="191">
        <f t="shared" si="3"/>
        <v>0.12000000000000001</v>
      </c>
      <c r="AC48" s="139">
        <f t="shared" si="17"/>
        <v>2.2946317768124884</v>
      </c>
      <c r="AD48" s="132">
        <f t="shared" si="33"/>
        <v>60.728211065557218</v>
      </c>
      <c r="AE48" s="168">
        <f t="shared" si="18"/>
        <v>0.81591508100794419</v>
      </c>
      <c r="AF48" s="192">
        <f t="shared" si="19"/>
        <v>5.9225518335614255E-3</v>
      </c>
      <c r="AG48" s="192">
        <f t="shared" si="30"/>
        <v>3.885780902565422</v>
      </c>
      <c r="AH48" s="192">
        <f t="shared" si="20"/>
        <v>1.3334699836282446</v>
      </c>
      <c r="AI48" s="168">
        <f t="shared" si="21"/>
        <v>6.1818459363792542</v>
      </c>
      <c r="AJ48" s="192">
        <f t="shared" si="22"/>
        <v>2.0380372373255464</v>
      </c>
      <c r="AK48" s="132">
        <f t="shared" si="23"/>
        <v>36.851412913892489</v>
      </c>
      <c r="AL48" s="192">
        <f t="shared" si="24"/>
        <v>0.51293383305464291</v>
      </c>
      <c r="AM48" s="192">
        <f t="shared" si="25"/>
        <v>0</v>
      </c>
      <c r="AN48" s="192">
        <f t="shared" si="31"/>
        <v>0</v>
      </c>
      <c r="AO48" s="192">
        <f t="shared" si="26"/>
        <v>0</v>
      </c>
      <c r="AS48" s="132">
        <f t="shared" si="8"/>
        <v>8797.6362021710811</v>
      </c>
      <c r="AT48" s="132">
        <f t="shared" si="9"/>
        <v>1633717.4014821686</v>
      </c>
      <c r="AU48" s="200" t="str">
        <f t="shared" si="10"/>
        <v>-</v>
      </c>
      <c r="AV48" s="132">
        <f t="shared" si="32"/>
        <v>-25</v>
      </c>
      <c r="AW48" s="132">
        <f t="shared" si="11"/>
        <v>-4.812656864980454</v>
      </c>
      <c r="AX48" s="132">
        <f t="shared" si="27"/>
        <v>-2296.1828610620901</v>
      </c>
      <c r="AY48" s="132">
        <f t="shared" si="12"/>
        <v>818598164.39339042</v>
      </c>
      <c r="AZ48" s="132">
        <f t="shared" si="28"/>
        <v>5250377.4126823042</v>
      </c>
      <c r="BA48" s="167">
        <f t="shared" si="13"/>
        <v>0.63105156300431298</v>
      </c>
      <c r="BB48" s="167">
        <f t="shared" si="14"/>
        <v>0.79438753955755936</v>
      </c>
      <c r="BD48" s="211">
        <f t="shared" si="29"/>
        <v>42453</v>
      </c>
      <c r="BE48" s="210">
        <f>Operacional_10_dias!BE48</f>
        <v>0.52412599208313893</v>
      </c>
      <c r="BF48" s="209">
        <v>0.5</v>
      </c>
      <c r="BG48" s="209">
        <v>2</v>
      </c>
      <c r="BH48" s="210"/>
      <c r="BI48" s="209"/>
      <c r="BJ48" s="209"/>
      <c r="BL48" s="168"/>
    </row>
    <row r="49" spans="1:65" ht="13.5" thickBot="1" x14ac:dyDescent="0.25">
      <c r="A49" s="213">
        <f t="shared" si="1"/>
        <v>42454</v>
      </c>
      <c r="B49" s="190">
        <f>VLOOKUP(A49,P_Q_obs!$A$4:$H$304,8,FALSE)</f>
        <v>1553</v>
      </c>
      <c r="C49" s="168">
        <f t="shared" si="6"/>
        <v>5.1087885363734239E-8</v>
      </c>
      <c r="D49" s="198">
        <f t="shared" si="7"/>
        <v>2.2602629352297542E-4</v>
      </c>
      <c r="E49" s="132">
        <f t="shared" si="15"/>
        <v>1553.3510188338412</v>
      </c>
      <c r="F49" s="168">
        <f t="shared" si="16"/>
        <v>338.36449651818793</v>
      </c>
      <c r="G49" s="300"/>
      <c r="H49" s="127">
        <f>VLOOKUP(MONTH(A49),ETP_Parametros!$A$6:$D$17,4,FALSE)</f>
        <v>4.838709677419355</v>
      </c>
      <c r="I49" s="229">
        <f>VLOOKUP(A49,P_Q_obs!$A$4:$F$308,2,FALSE)*1</f>
        <v>16.02</v>
      </c>
      <c r="J49" s="229">
        <f t="shared" si="35"/>
        <v>16.02</v>
      </c>
      <c r="K49" s="229">
        <f t="shared" si="35"/>
        <v>16.02</v>
      </c>
      <c r="L49" s="229">
        <f t="shared" si="35"/>
        <v>16.02</v>
      </c>
      <c r="M49" s="229">
        <f t="shared" si="35"/>
        <v>16.02</v>
      </c>
      <c r="N49" s="229">
        <f t="shared" si="35"/>
        <v>16.02</v>
      </c>
      <c r="O49" s="229">
        <f t="shared" si="35"/>
        <v>16.02</v>
      </c>
      <c r="P49" s="229">
        <f t="shared" si="35"/>
        <v>16.02</v>
      </c>
      <c r="Q49" s="229">
        <f t="shared" si="35"/>
        <v>16.02</v>
      </c>
      <c r="R49" s="229">
        <f t="shared" si="35"/>
        <v>16.02</v>
      </c>
      <c r="S49" s="229">
        <f t="shared" si="35"/>
        <v>16.02</v>
      </c>
      <c r="T49" s="229">
        <f t="shared" si="35"/>
        <v>16.02</v>
      </c>
      <c r="U49" s="229">
        <f t="shared" si="35"/>
        <v>16.02</v>
      </c>
      <c r="V49" s="229">
        <f t="shared" si="35"/>
        <v>16.02</v>
      </c>
      <c r="W49" s="229">
        <f t="shared" si="35"/>
        <v>16.02</v>
      </c>
      <c r="X49" s="229">
        <f t="shared" si="35"/>
        <v>16.02</v>
      </c>
      <c r="Y49" s="229">
        <f t="shared" si="35"/>
        <v>16.02</v>
      </c>
      <c r="Z49" s="291">
        <f t="shared" si="34"/>
        <v>16.02</v>
      </c>
      <c r="AA49" s="300"/>
      <c r="AB49" s="191">
        <f t="shared" si="3"/>
        <v>16.020000000000003</v>
      </c>
      <c r="AC49" s="139">
        <f t="shared" si="17"/>
        <v>7.7064400084301132</v>
      </c>
      <c r="AD49" s="132">
        <f t="shared" si="33"/>
        <v>61.6412955633675</v>
      </c>
      <c r="AE49" s="168">
        <f t="shared" si="18"/>
        <v>0.77835428953014318</v>
      </c>
      <c r="AF49" s="192">
        <f t="shared" si="19"/>
        <v>1.4158316952064365</v>
      </c>
      <c r="AG49" s="192">
        <f t="shared" si="30"/>
        <v>4.2461086097452263</v>
      </c>
      <c r="AH49" s="192">
        <f t="shared" si="20"/>
        <v>1.131415205668163</v>
      </c>
      <c r="AI49" s="168">
        <f t="shared" si="21"/>
        <v>5.7139099912010867</v>
      </c>
      <c r="AJ49" s="192">
        <f t="shared" si="22"/>
        <v>1.883767640384604</v>
      </c>
      <c r="AK49" s="132">
        <f t="shared" si="23"/>
        <v>37.458213173230902</v>
      </c>
      <c r="AL49" s="192">
        <f t="shared" si="24"/>
        <v>0.52461494632974626</v>
      </c>
      <c r="AM49" s="192">
        <f t="shared" si="25"/>
        <v>0</v>
      </c>
      <c r="AN49" s="192">
        <f t="shared" si="31"/>
        <v>0</v>
      </c>
      <c r="AO49" s="192">
        <f t="shared" si="26"/>
        <v>0</v>
      </c>
      <c r="AS49" s="132">
        <f t="shared" si="8"/>
        <v>1428.5160924324948</v>
      </c>
      <c r="AT49" s="132">
        <f t="shared" si="9"/>
        <v>1475339.4063185151</v>
      </c>
      <c r="AU49" s="200" t="str">
        <f t="shared" si="10"/>
        <v>-</v>
      </c>
      <c r="AV49" s="132">
        <f t="shared" si="32"/>
        <v>-26</v>
      </c>
      <c r="AW49" s="132">
        <f t="shared" si="11"/>
        <v>2.721390801320581</v>
      </c>
      <c r="AX49" s="132">
        <f t="shared" si="27"/>
        <v>-2258.387145796567</v>
      </c>
      <c r="AY49" s="132">
        <f t="shared" si="12"/>
        <v>820762351.01067817</v>
      </c>
      <c r="AZ49" s="132">
        <f t="shared" si="28"/>
        <v>5112611.8142758403</v>
      </c>
      <c r="BA49" s="167">
        <f t="shared" si="13"/>
        <v>0.61171486063718772</v>
      </c>
      <c r="BB49" s="167">
        <f t="shared" si="14"/>
        <v>0.78212202413510112</v>
      </c>
      <c r="BD49" s="211">
        <f t="shared" si="29"/>
        <v>42454</v>
      </c>
      <c r="BE49" s="210">
        <f>Operacional_10_dias!BE49</f>
        <v>0.53899338279602382</v>
      </c>
      <c r="BF49" s="209">
        <v>0.5</v>
      </c>
      <c r="BG49" s="209">
        <v>2</v>
      </c>
      <c r="BH49" s="210"/>
      <c r="BI49" s="209"/>
      <c r="BJ49" s="209"/>
      <c r="BL49" s="168"/>
    </row>
    <row r="50" spans="1:65" ht="13.5" thickBot="1" x14ac:dyDescent="0.25">
      <c r="A50" s="213">
        <f t="shared" si="1"/>
        <v>42455</v>
      </c>
      <c r="B50" s="190">
        <f>VLOOKUP(A50,P_Q_obs!$A$4:$H$304,8,FALSE)</f>
        <v>2283</v>
      </c>
      <c r="C50" s="168">
        <f t="shared" si="6"/>
        <v>2.7338842962315241E-11</v>
      </c>
      <c r="D50" s="198">
        <f t="shared" si="7"/>
        <v>5.228655942239386E-6</v>
      </c>
      <c r="E50" s="132">
        <f t="shared" si="15"/>
        <v>2283.0119370215161</v>
      </c>
      <c r="F50" s="168">
        <f t="shared" si="16"/>
        <v>343.93605125661549</v>
      </c>
      <c r="G50" s="300"/>
      <c r="H50" s="127">
        <f>VLOOKUP(MONTH(A50),ETP_Parametros!$A$6:$D$17,4,FALSE)</f>
        <v>4.838709677419355</v>
      </c>
      <c r="I50" s="229">
        <f>VLOOKUP(A50,P_Q_obs!$A$4:$F$308,2,FALSE)*1</f>
        <v>37.82</v>
      </c>
      <c r="J50" s="229">
        <f t="shared" si="35"/>
        <v>37.82</v>
      </c>
      <c r="K50" s="229">
        <f t="shared" si="35"/>
        <v>37.82</v>
      </c>
      <c r="L50" s="229">
        <f t="shared" si="35"/>
        <v>37.82</v>
      </c>
      <c r="M50" s="229">
        <f t="shared" si="35"/>
        <v>37.82</v>
      </c>
      <c r="N50" s="229">
        <f t="shared" si="35"/>
        <v>37.82</v>
      </c>
      <c r="O50" s="229">
        <f t="shared" si="35"/>
        <v>37.82</v>
      </c>
      <c r="P50" s="229">
        <f t="shared" si="35"/>
        <v>37.82</v>
      </c>
      <c r="Q50" s="229">
        <f t="shared" si="35"/>
        <v>37.82</v>
      </c>
      <c r="R50" s="229">
        <f t="shared" si="35"/>
        <v>37.82</v>
      </c>
      <c r="S50" s="229">
        <f t="shared" si="35"/>
        <v>37.82</v>
      </c>
      <c r="T50" s="229">
        <f t="shared" si="35"/>
        <v>37.82</v>
      </c>
      <c r="U50" s="229">
        <f t="shared" si="35"/>
        <v>37.82</v>
      </c>
      <c r="V50" s="229">
        <f t="shared" si="35"/>
        <v>37.82</v>
      </c>
      <c r="W50" s="229">
        <f t="shared" si="35"/>
        <v>37.82</v>
      </c>
      <c r="X50" s="229">
        <f t="shared" si="35"/>
        <v>37.82</v>
      </c>
      <c r="Y50" s="229">
        <f t="shared" si="35"/>
        <v>37.82</v>
      </c>
      <c r="Z50" s="291">
        <f t="shared" si="34"/>
        <v>37.82</v>
      </c>
      <c r="AA50" s="300"/>
      <c r="AB50" s="191">
        <f t="shared" si="3"/>
        <v>37.819999999999979</v>
      </c>
      <c r="AC50" s="139">
        <f t="shared" si="17"/>
        <v>15.943710435198005</v>
      </c>
      <c r="AD50" s="132">
        <f t="shared" si="33"/>
        <v>65.734265843106471</v>
      </c>
      <c r="AE50" s="168">
        <f t="shared" si="18"/>
        <v>0.7900573056918887</v>
      </c>
      <c r="AF50" s="192">
        <f t="shared" si="19"/>
        <v>6.4117170940643948</v>
      </c>
      <c r="AG50" s="192">
        <f t="shared" si="30"/>
        <v>4.2461086097452263</v>
      </c>
      <c r="AH50" s="192">
        <f t="shared" si="20"/>
        <v>1.1929144516494101</v>
      </c>
      <c r="AI50" s="168">
        <f t="shared" si="21"/>
        <v>9.1191999860642561</v>
      </c>
      <c r="AJ50" s="192">
        <f t="shared" si="22"/>
        <v>3.0064270992012245</v>
      </c>
      <c r="AK50" s="132">
        <f t="shared" si="23"/>
        <v>38.117874299169301</v>
      </c>
      <c r="AL50" s="192">
        <f t="shared" si="24"/>
        <v>0.53325332571100703</v>
      </c>
      <c r="AM50" s="192">
        <f t="shared" si="25"/>
        <v>0</v>
      </c>
      <c r="AN50" s="192">
        <f t="shared" si="31"/>
        <v>0</v>
      </c>
      <c r="AO50" s="192">
        <f t="shared" si="26"/>
        <v>0</v>
      </c>
      <c r="AS50" s="132">
        <f t="shared" si="8"/>
        <v>589510.26038009615</v>
      </c>
      <c r="AT50" s="132">
        <f t="shared" si="9"/>
        <v>3759968.9973162874</v>
      </c>
      <c r="AU50" s="200" t="str">
        <f t="shared" si="10"/>
        <v>-</v>
      </c>
      <c r="AV50" s="132">
        <f t="shared" si="32"/>
        <v>-27</v>
      </c>
      <c r="AW50" s="132">
        <f t="shared" si="11"/>
        <v>8.292945539748132</v>
      </c>
      <c r="AX50" s="132">
        <f t="shared" si="27"/>
        <v>-1490.5914305310439</v>
      </c>
      <c r="AY50" s="132">
        <f t="shared" si="12"/>
        <v>865344943.78431201</v>
      </c>
      <c r="AZ50" s="132">
        <f t="shared" si="28"/>
        <v>2246654.3728291276</v>
      </c>
      <c r="BA50" s="167">
        <f t="shared" si="13"/>
        <v>0.7213938590297071</v>
      </c>
      <c r="BB50" s="167">
        <f t="shared" si="14"/>
        <v>0.84934907960726436</v>
      </c>
      <c r="BD50" s="211">
        <f t="shared" si="29"/>
        <v>42455</v>
      </c>
      <c r="BE50" s="210">
        <f>Operacional_10_dias!BE50</f>
        <v>0.7567634846951361</v>
      </c>
      <c r="BF50" s="209">
        <v>0.5</v>
      </c>
      <c r="BG50" s="209">
        <v>2</v>
      </c>
      <c r="BH50" s="210"/>
      <c r="BI50" s="209"/>
      <c r="BJ50" s="209"/>
      <c r="BL50" s="168"/>
    </row>
    <row r="51" spans="1:65" ht="13.5" thickBot="1" x14ac:dyDescent="0.25">
      <c r="A51" s="213">
        <f>A52-1</f>
        <v>42456</v>
      </c>
      <c r="B51" s="190">
        <f>VLOOKUP(A51,P_Q_obs!$A$4:$H$304,8,FALSE)</f>
        <v>2411</v>
      </c>
      <c r="C51" s="168">
        <f t="shared" si="6"/>
        <v>5.0771240325380717E-6</v>
      </c>
      <c r="D51" s="198">
        <f t="shared" si="7"/>
        <v>2.2532474414804229E-3</v>
      </c>
      <c r="E51" s="132">
        <f t="shared" si="15"/>
        <v>2416.4325795814093</v>
      </c>
      <c r="F51" s="168">
        <f t="shared" si="16"/>
        <v>349.99296704631161</v>
      </c>
      <c r="G51" s="300"/>
      <c r="H51" s="127">
        <f>VLOOKUP(MONTH(A51),ETP_Parametros!$A$6:$D$17,4,FALSE)</f>
        <v>4.838709677419355</v>
      </c>
      <c r="I51" s="229">
        <f>VLOOKUP(A51,P_Q_obs!$A$4:$F$308,2,FALSE)*1</f>
        <v>4.7</v>
      </c>
      <c r="J51" s="229">
        <f t="shared" si="35"/>
        <v>4.7</v>
      </c>
      <c r="K51" s="229">
        <f t="shared" si="35"/>
        <v>4.7</v>
      </c>
      <c r="L51" s="229">
        <f t="shared" si="35"/>
        <v>4.7</v>
      </c>
      <c r="M51" s="229">
        <f t="shared" si="35"/>
        <v>4.7</v>
      </c>
      <c r="N51" s="229">
        <f t="shared" si="35"/>
        <v>4.7</v>
      </c>
      <c r="O51" s="229">
        <f t="shared" si="35"/>
        <v>4.7</v>
      </c>
      <c r="P51" s="229">
        <f t="shared" si="35"/>
        <v>4.7</v>
      </c>
      <c r="Q51" s="229">
        <f t="shared" si="35"/>
        <v>4.7</v>
      </c>
      <c r="R51" s="229">
        <f t="shared" si="35"/>
        <v>4.7</v>
      </c>
      <c r="S51" s="229">
        <f t="shared" si="35"/>
        <v>4.7</v>
      </c>
      <c r="T51" s="229">
        <f t="shared" si="35"/>
        <v>4.7</v>
      </c>
      <c r="U51" s="229">
        <f t="shared" si="35"/>
        <v>4.7</v>
      </c>
      <c r="V51" s="229">
        <f t="shared" si="35"/>
        <v>4.7</v>
      </c>
      <c r="W51" s="229">
        <f t="shared" si="35"/>
        <v>4.7</v>
      </c>
      <c r="X51" s="229">
        <f t="shared" si="35"/>
        <v>4.7</v>
      </c>
      <c r="Y51" s="229">
        <f t="shared" si="35"/>
        <v>4.7</v>
      </c>
      <c r="Z51" s="291">
        <f t="shared" si="34"/>
        <v>4.7</v>
      </c>
      <c r="AA51" s="300"/>
      <c r="AB51" s="191">
        <f t="shared" si="3"/>
        <v>4.7</v>
      </c>
      <c r="AC51" s="139">
        <f t="shared" si="17"/>
        <v>10.996606365718334</v>
      </c>
      <c r="AD51" s="132">
        <f t="shared" si="33"/>
        <v>67.197107775549782</v>
      </c>
      <c r="AE51" s="168">
        <f t="shared" si="18"/>
        <v>0.84251696024543887</v>
      </c>
      <c r="AF51" s="192">
        <f t="shared" si="19"/>
        <v>3.8028709446136233</v>
      </c>
      <c r="AG51" s="192">
        <f t="shared" si="30"/>
        <v>4.2461086097452263</v>
      </c>
      <c r="AH51" s="192">
        <f t="shared" si="20"/>
        <v>1.4847848789161897</v>
      </c>
      <c r="AI51" s="168">
        <f t="shared" si="21"/>
        <v>9.7181736022668606</v>
      </c>
      <c r="AJ51" s="192">
        <f t="shared" si="22"/>
        <v>3.2038973284110188</v>
      </c>
      <c r="AK51" s="132">
        <f t="shared" si="23"/>
        <v>39.060014948232258</v>
      </c>
      <c r="AL51" s="192">
        <f t="shared" si="24"/>
        <v>0.54264422985323413</v>
      </c>
      <c r="AM51" s="192">
        <f t="shared" si="25"/>
        <v>0</v>
      </c>
      <c r="AN51" s="192">
        <f t="shared" si="31"/>
        <v>0</v>
      </c>
      <c r="AO51" s="192">
        <f t="shared" si="26"/>
        <v>0</v>
      </c>
      <c r="AS51" s="132">
        <f t="shared" si="8"/>
        <v>802449.96348807006</v>
      </c>
      <c r="AT51" s="132">
        <f t="shared" si="9"/>
        <v>4247749.9898845656</v>
      </c>
      <c r="AU51" s="200" t="str">
        <f t="shared" si="10"/>
        <v>-</v>
      </c>
      <c r="AV51" s="132">
        <f t="shared" si="32"/>
        <v>-28</v>
      </c>
      <c r="AW51" s="132">
        <f t="shared" si="11"/>
        <v>14.349861329444252</v>
      </c>
      <c r="AX51" s="132">
        <f t="shared" si="27"/>
        <v>-594.79571526552081</v>
      </c>
      <c r="AY51" s="132">
        <f t="shared" si="12"/>
        <v>918850183.75152969</v>
      </c>
      <c r="AZ51" s="132">
        <f t="shared" si="28"/>
        <v>371058.33348521247</v>
      </c>
      <c r="BA51" s="167">
        <f t="shared" si="13"/>
        <v>0.73074276940707894</v>
      </c>
      <c r="BB51" s="167">
        <f t="shared" si="14"/>
        <v>0.85483493693641166</v>
      </c>
      <c r="BD51" s="211">
        <f t="shared" si="29"/>
        <v>42456</v>
      </c>
      <c r="BE51" s="210">
        <f>Operacional_10_dias!BE51</f>
        <v>0.63743608263733775</v>
      </c>
      <c r="BF51" s="209">
        <v>0.5</v>
      </c>
      <c r="BG51" s="209">
        <v>2</v>
      </c>
      <c r="BH51" s="210"/>
      <c r="BI51" s="209"/>
      <c r="BJ51" s="209"/>
      <c r="BL51" s="168"/>
    </row>
    <row r="52" spans="1:65" ht="13.5" thickBot="1" x14ac:dyDescent="0.25">
      <c r="A52" s="213">
        <f>A53-1</f>
        <v>42457</v>
      </c>
      <c r="B52" s="190">
        <f>VLOOKUP(A52,P_Q_obs!$A$4:$H$304,8,FALSE)</f>
        <v>2110</v>
      </c>
      <c r="C52" s="168">
        <f t="shared" si="6"/>
        <v>8.8092563544050722E-5</v>
      </c>
      <c r="D52" s="198">
        <f t="shared" si="7"/>
        <v>9.3857638764274654E-3</v>
      </c>
      <c r="E52" s="132">
        <f t="shared" si="15"/>
        <v>2090.196038220738</v>
      </c>
      <c r="F52" s="168">
        <f t="shared" si="16"/>
        <v>358.64357013483868</v>
      </c>
      <c r="G52" s="300"/>
      <c r="H52" s="127">
        <f>VLOOKUP(MONTH(A52),ETP_Parametros!$A$6:$D$17,4,FALSE)</f>
        <v>4.838709677419355</v>
      </c>
      <c r="I52" s="229">
        <f>VLOOKUP(A52,P_Q_obs!$A$4:$F$308,2,FALSE)*1</f>
        <v>1.23</v>
      </c>
      <c r="J52" s="229">
        <f t="shared" si="35"/>
        <v>1.23</v>
      </c>
      <c r="K52" s="229">
        <f t="shared" si="35"/>
        <v>1.23</v>
      </c>
      <c r="L52" s="229">
        <f t="shared" si="35"/>
        <v>1.23</v>
      </c>
      <c r="M52" s="229">
        <f t="shared" si="35"/>
        <v>1.23</v>
      </c>
      <c r="N52" s="229">
        <f t="shared" si="35"/>
        <v>1.23</v>
      </c>
      <c r="O52" s="229">
        <f t="shared" si="35"/>
        <v>1.23</v>
      </c>
      <c r="P52" s="229">
        <f t="shared" si="35"/>
        <v>1.23</v>
      </c>
      <c r="Q52" s="229">
        <f t="shared" si="35"/>
        <v>1.23</v>
      </c>
      <c r="R52" s="229">
        <f t="shared" si="35"/>
        <v>1.23</v>
      </c>
      <c r="S52" s="229">
        <f t="shared" si="35"/>
        <v>1.23</v>
      </c>
      <c r="T52" s="229">
        <f t="shared" si="35"/>
        <v>1.23</v>
      </c>
      <c r="U52" s="229">
        <f t="shared" si="35"/>
        <v>1.23</v>
      </c>
      <c r="V52" s="229">
        <f t="shared" si="35"/>
        <v>1.23</v>
      </c>
      <c r="W52" s="229">
        <f t="shared" si="35"/>
        <v>1.23</v>
      </c>
      <c r="X52" s="229">
        <f t="shared" si="35"/>
        <v>1.23</v>
      </c>
      <c r="Y52" s="229">
        <f t="shared" si="35"/>
        <v>1.23</v>
      </c>
      <c r="Z52" s="291">
        <f t="shared" si="34"/>
        <v>1.23</v>
      </c>
      <c r="AA52" s="300"/>
      <c r="AB52" s="191">
        <f t="shared" si="3"/>
        <v>1.2300000000000002</v>
      </c>
      <c r="AC52" s="139">
        <f t="shared" si="17"/>
        <v>6.0648584285925313</v>
      </c>
      <c r="AD52" s="132">
        <f t="shared" si="33"/>
        <v>66.310586360050351</v>
      </c>
      <c r="AE52" s="168">
        <f t="shared" si="18"/>
        <v>0.86126622476424164</v>
      </c>
      <c r="AF52" s="192">
        <f t="shared" si="19"/>
        <v>1.1097468833197004</v>
      </c>
      <c r="AG52" s="192">
        <f t="shared" si="30"/>
        <v>4.2461086097452263</v>
      </c>
      <c r="AH52" s="192">
        <f t="shared" si="20"/>
        <v>1.5955243510270438</v>
      </c>
      <c r="AI52" s="168">
        <f t="shared" si="21"/>
        <v>8.1432466664963385</v>
      </c>
      <c r="AJ52" s="192">
        <f t="shared" si="22"/>
        <v>2.684673819090222</v>
      </c>
      <c r="AK52" s="132">
        <f t="shared" si="23"/>
        <v>40.099482800324331</v>
      </c>
      <c r="AL52" s="192">
        <f t="shared" si="24"/>
        <v>0.55605649893496867</v>
      </c>
      <c r="AM52" s="192">
        <f t="shared" si="25"/>
        <v>0</v>
      </c>
      <c r="AN52" s="192">
        <f t="shared" si="31"/>
        <v>0</v>
      </c>
      <c r="AO52" s="192">
        <f t="shared" si="26"/>
        <v>0</v>
      </c>
      <c r="AS52" s="132">
        <f t="shared" si="8"/>
        <v>353781.94289822521</v>
      </c>
      <c r="AT52" s="132">
        <f t="shared" si="9"/>
        <v>3067249.3444300438</v>
      </c>
      <c r="AU52" s="200" t="str">
        <f t="shared" si="10"/>
        <v>-</v>
      </c>
      <c r="AV52" s="132">
        <f t="shared" si="32"/>
        <v>-29</v>
      </c>
      <c r="AW52" s="132">
        <f t="shared" si="11"/>
        <v>23.00046441797133</v>
      </c>
      <c r="AX52" s="132">
        <f t="shared" si="27"/>
        <v>2.2737367544323206E-12</v>
      </c>
      <c r="AY52" s="132">
        <f t="shared" si="12"/>
        <v>955263505.52732146</v>
      </c>
      <c r="AZ52" s="132">
        <f t="shared" si="28"/>
        <v>529.02136344226062</v>
      </c>
      <c r="BA52" s="167">
        <f t="shared" si="13"/>
        <v>0.6889443957750373</v>
      </c>
      <c r="BB52" s="167">
        <f t="shared" si="14"/>
        <v>0.83002674401192478</v>
      </c>
      <c r="BD52" s="211">
        <f t="shared" si="29"/>
        <v>42457</v>
      </c>
      <c r="BE52" s="210">
        <f>Operacional_10_dias!BE52</f>
        <v>2.1940665850840806</v>
      </c>
      <c r="BF52" s="209">
        <v>0.5</v>
      </c>
      <c r="BG52" s="209">
        <v>2</v>
      </c>
      <c r="BH52" s="210"/>
      <c r="BI52" s="209"/>
      <c r="BJ52" s="209"/>
      <c r="BL52" s="168"/>
    </row>
    <row r="53" spans="1:65" ht="13.5" thickBot="1" x14ac:dyDescent="0.25">
      <c r="A53" s="214">
        <f>Botoes!B5</f>
        <v>42458</v>
      </c>
      <c r="B53" s="190"/>
      <c r="C53" s="168"/>
      <c r="D53" s="198"/>
      <c r="E53" s="132">
        <f t="shared" si="15"/>
        <v>1670.4192927883753</v>
      </c>
      <c r="F53" s="168">
        <f t="shared" si="16"/>
        <v>368.18781792913114</v>
      </c>
      <c r="G53" s="300"/>
      <c r="H53" s="127">
        <f>VLOOKUP(MONTH(A53),ETP_Parametros!$A$6:$D$17,4,FALSE)</f>
        <v>4.838709677419355</v>
      </c>
      <c r="I53" s="229">
        <f>VLOOKUP(A53,P_Q_obs!$A$4:$F$308,2,FALSE)*1</f>
        <v>0.25</v>
      </c>
      <c r="J53" s="229">
        <f t="shared" si="35"/>
        <v>0.25</v>
      </c>
      <c r="K53" s="229">
        <f t="shared" si="35"/>
        <v>0.25</v>
      </c>
      <c r="L53" s="229">
        <f t="shared" si="35"/>
        <v>0.25</v>
      </c>
      <c r="M53" s="229">
        <f t="shared" si="35"/>
        <v>0.25</v>
      </c>
      <c r="N53" s="229">
        <f t="shared" si="35"/>
        <v>0.25</v>
      </c>
      <c r="O53" s="229">
        <f t="shared" si="35"/>
        <v>0.25</v>
      </c>
      <c r="P53" s="229">
        <f t="shared" si="35"/>
        <v>0.25</v>
      </c>
      <c r="Q53" s="229">
        <f t="shared" si="35"/>
        <v>0.25</v>
      </c>
      <c r="R53" s="229">
        <f t="shared" si="35"/>
        <v>0.25</v>
      </c>
      <c r="S53" s="229">
        <f t="shared" si="35"/>
        <v>0.25</v>
      </c>
      <c r="T53" s="229">
        <f t="shared" si="35"/>
        <v>0.25</v>
      </c>
      <c r="U53" s="229">
        <f t="shared" si="35"/>
        <v>0.25</v>
      </c>
      <c r="V53" s="229">
        <f t="shared" si="35"/>
        <v>0.25</v>
      </c>
      <c r="W53" s="229">
        <f t="shared" si="35"/>
        <v>0.25</v>
      </c>
      <c r="X53" s="229">
        <f t="shared" si="35"/>
        <v>0.25</v>
      </c>
      <c r="Y53" s="229">
        <f t="shared" ref="Y53:Y63" si="36">X53</f>
        <v>0.25</v>
      </c>
      <c r="Z53" s="291">
        <f t="shared" si="34"/>
        <v>0.25</v>
      </c>
      <c r="AA53" s="300"/>
      <c r="AB53" s="191">
        <f t="shared" si="3"/>
        <v>0.25000000000000006</v>
      </c>
      <c r="AC53" s="139">
        <f t="shared" si="17"/>
        <v>1.4801711811336007</v>
      </c>
      <c r="AD53" s="132">
        <f t="shared" si="33"/>
        <v>62.431796572554383</v>
      </c>
      <c r="AE53" s="168">
        <f t="shared" si="18"/>
        <v>0.84990366798203343</v>
      </c>
      <c r="AF53" s="192">
        <f t="shared" si="19"/>
        <v>0</v>
      </c>
      <c r="AG53" s="192">
        <f t="shared" si="30"/>
        <v>3.8309515471194144</v>
      </c>
      <c r="AH53" s="192">
        <f t="shared" si="20"/>
        <v>1.5280094215101581</v>
      </c>
      <c r="AI53" s="168">
        <f t="shared" si="21"/>
        <v>6.1242106792042543</v>
      </c>
      <c r="AJ53" s="192">
        <f t="shared" si="22"/>
        <v>2.0190359872920842</v>
      </c>
      <c r="AK53" s="132">
        <f t="shared" si="23"/>
        <v>41.056637908424641</v>
      </c>
      <c r="AL53" s="192">
        <f t="shared" si="24"/>
        <v>0.57085431340984338</v>
      </c>
      <c r="AM53" s="192">
        <f t="shared" si="25"/>
        <v>0</v>
      </c>
      <c r="AN53" s="192">
        <f t="shared" si="31"/>
        <v>0</v>
      </c>
      <c r="AO53" s="192">
        <f t="shared" si="26"/>
        <v>0</v>
      </c>
      <c r="AS53" s="132"/>
      <c r="AT53" s="132"/>
      <c r="AU53" s="200"/>
      <c r="AV53" s="132"/>
      <c r="AW53" s="132"/>
      <c r="AX53" s="132"/>
      <c r="AY53" s="132"/>
      <c r="AZ53" s="132"/>
      <c r="BA53" s="167"/>
      <c r="BB53" s="167"/>
      <c r="BD53" s="211">
        <f t="shared" si="29"/>
        <v>42458</v>
      </c>
      <c r="BE53" s="210">
        <v>1</v>
      </c>
      <c r="BF53" s="209">
        <v>0.5</v>
      </c>
      <c r="BG53" s="209">
        <v>2</v>
      </c>
      <c r="BH53" s="210"/>
      <c r="BI53" s="209"/>
      <c r="BJ53" s="209"/>
      <c r="BL53" s="168"/>
    </row>
    <row r="54" spans="1:65" ht="13.5" thickBot="1" x14ac:dyDescent="0.25">
      <c r="A54" s="215">
        <f>A53+1</f>
        <v>42459</v>
      </c>
      <c r="B54" s="190"/>
      <c r="C54" s="168"/>
      <c r="D54" s="198"/>
      <c r="E54" s="132">
        <f t="shared" si="15"/>
        <v>1356.3325791958575</v>
      </c>
      <c r="F54" s="168">
        <f t="shared" si="16"/>
        <v>376.9762816713199</v>
      </c>
      <c r="G54" s="300"/>
      <c r="H54" s="127">
        <f>VLOOKUP(MONTH(A54),ETP_Parametros!$A$6:$D$17,4,FALSE)</f>
        <v>4.838709677419355</v>
      </c>
      <c r="I54" s="230">
        <f>VLOOKUP(A54,P_Q_obs!$A$4:$F$308,6,FALSE)*1</f>
        <v>0.11</v>
      </c>
      <c r="J54" s="230">
        <f t="shared" ref="J54:X63" si="37">I54</f>
        <v>0.11</v>
      </c>
      <c r="K54" s="230">
        <f t="shared" si="37"/>
        <v>0.11</v>
      </c>
      <c r="L54" s="230">
        <f t="shared" si="37"/>
        <v>0.11</v>
      </c>
      <c r="M54" s="230">
        <f t="shared" si="37"/>
        <v>0.11</v>
      </c>
      <c r="N54" s="230">
        <f t="shared" si="37"/>
        <v>0.11</v>
      </c>
      <c r="O54" s="230">
        <f t="shared" si="37"/>
        <v>0.11</v>
      </c>
      <c r="P54" s="230">
        <f t="shared" si="37"/>
        <v>0.11</v>
      </c>
      <c r="Q54" s="230">
        <f t="shared" si="37"/>
        <v>0.11</v>
      </c>
      <c r="R54" s="230">
        <f t="shared" si="37"/>
        <v>0.11</v>
      </c>
      <c r="S54" s="230">
        <f t="shared" si="37"/>
        <v>0.11</v>
      </c>
      <c r="T54" s="230">
        <f t="shared" si="37"/>
        <v>0.11</v>
      </c>
      <c r="U54" s="230">
        <f t="shared" si="37"/>
        <v>0.11</v>
      </c>
      <c r="V54" s="230">
        <f t="shared" si="37"/>
        <v>0.11</v>
      </c>
      <c r="W54" s="230">
        <f t="shared" si="37"/>
        <v>0.11</v>
      </c>
      <c r="X54" s="230">
        <f t="shared" si="37"/>
        <v>0.11</v>
      </c>
      <c r="Y54" s="230">
        <f t="shared" si="36"/>
        <v>0.11</v>
      </c>
      <c r="Z54" s="292">
        <f t="shared" si="34"/>
        <v>0.11</v>
      </c>
      <c r="AA54" s="300"/>
      <c r="AB54" s="191">
        <f t="shared" si="3"/>
        <v>0.10999999999999997</v>
      </c>
      <c r="AC54" s="139">
        <f t="shared" si="17"/>
        <v>0.46888020443170064</v>
      </c>
      <c r="AD54" s="132">
        <f t="shared" si="33"/>
        <v>58.162077575547414</v>
      </c>
      <c r="AE54" s="168">
        <f t="shared" si="18"/>
        <v>0.80018916764834092</v>
      </c>
      <c r="AF54" s="192">
        <f t="shared" si="19"/>
        <v>0</v>
      </c>
      <c r="AG54" s="192">
        <f t="shared" si="30"/>
        <v>3.491377458097201</v>
      </c>
      <c r="AH54" s="192">
        <f t="shared" si="20"/>
        <v>1.2472217433414716</v>
      </c>
      <c r="AI54" s="168">
        <f t="shared" si="21"/>
        <v>4.6057743280195282</v>
      </c>
      <c r="AJ54" s="192">
        <f t="shared" si="22"/>
        <v>1.5184363511847265</v>
      </c>
      <c r="AK54" s="132">
        <f t="shared" si="23"/>
        <v>41.71937932415598</v>
      </c>
      <c r="AL54" s="192">
        <f t="shared" si="24"/>
        <v>0.58448032761012891</v>
      </c>
      <c r="AM54" s="192">
        <f t="shared" si="25"/>
        <v>0</v>
      </c>
      <c r="AN54" s="192">
        <f t="shared" si="31"/>
        <v>0</v>
      </c>
      <c r="AO54" s="192">
        <f t="shared" si="26"/>
        <v>0</v>
      </c>
      <c r="AS54" s="132"/>
      <c r="AT54" s="132"/>
      <c r="AU54" s="200"/>
      <c r="AV54" s="132"/>
      <c r="AW54" s="132"/>
      <c r="AX54" s="132"/>
      <c r="AY54" s="132"/>
      <c r="AZ54" s="132"/>
      <c r="BA54" s="167"/>
      <c r="BB54" s="167"/>
      <c r="BD54" s="211">
        <f t="shared" si="29"/>
        <v>42459</v>
      </c>
      <c r="BE54" s="210">
        <v>1</v>
      </c>
      <c r="BF54" s="209">
        <v>0.5</v>
      </c>
      <c r="BG54" s="209">
        <v>2</v>
      </c>
      <c r="BH54" s="210"/>
      <c r="BI54" s="209"/>
      <c r="BJ54" s="209"/>
      <c r="BK54" s="168">
        <f>I54</f>
        <v>0.11</v>
      </c>
      <c r="BL54" s="168">
        <f t="shared" ref="BL54:BL63" si="38">AC54</f>
        <v>0.46888020443170064</v>
      </c>
      <c r="BM54" s="168"/>
    </row>
    <row r="55" spans="1:65" ht="13.5" thickBot="1" x14ac:dyDescent="0.25">
      <c r="A55" s="215">
        <f t="shared" ref="A55:A118" si="39">A54+1</f>
        <v>42460</v>
      </c>
      <c r="B55" s="190"/>
      <c r="C55" s="168"/>
      <c r="D55" s="198"/>
      <c r="E55" s="132">
        <f t="shared" si="15"/>
        <v>1119.5962484666663</v>
      </c>
      <c r="F55" s="168">
        <f t="shared" si="16"/>
        <v>383.06148024917815</v>
      </c>
      <c r="G55" s="300"/>
      <c r="H55" s="127">
        <f>VLOOKUP(MONTH(A55),ETP_Parametros!$A$6:$D$17,4,FALSE)</f>
        <v>4.838709677419355</v>
      </c>
      <c r="I55" s="230">
        <f>VLOOKUP(A55,P_Q_obs!$A$4:$F$308,6,FALSE)*1</f>
        <v>1.03</v>
      </c>
      <c r="J55" s="230">
        <f t="shared" si="37"/>
        <v>1.03</v>
      </c>
      <c r="K55" s="230">
        <f t="shared" si="37"/>
        <v>1.03</v>
      </c>
      <c r="L55" s="230">
        <f t="shared" si="37"/>
        <v>1.03</v>
      </c>
      <c r="M55" s="230">
        <f t="shared" si="37"/>
        <v>1.03</v>
      </c>
      <c r="N55" s="230">
        <f t="shared" si="37"/>
        <v>1.03</v>
      </c>
      <c r="O55" s="230">
        <f t="shared" si="37"/>
        <v>1.03</v>
      </c>
      <c r="P55" s="230">
        <f t="shared" si="37"/>
        <v>1.03</v>
      </c>
      <c r="Q55" s="230">
        <f t="shared" si="37"/>
        <v>1.03</v>
      </c>
      <c r="R55" s="230">
        <f t="shared" si="37"/>
        <v>1.03</v>
      </c>
      <c r="S55" s="230">
        <f t="shared" si="37"/>
        <v>1.03</v>
      </c>
      <c r="T55" s="230">
        <f t="shared" si="37"/>
        <v>1.03</v>
      </c>
      <c r="U55" s="230">
        <f t="shared" si="37"/>
        <v>1.03</v>
      </c>
      <c r="V55" s="230">
        <f t="shared" si="37"/>
        <v>1.03</v>
      </c>
      <c r="W55" s="230">
        <f t="shared" si="37"/>
        <v>1.03</v>
      </c>
      <c r="X55" s="230">
        <f t="shared" si="37"/>
        <v>1.03</v>
      </c>
      <c r="Y55" s="230">
        <f t="shared" si="36"/>
        <v>1.03</v>
      </c>
      <c r="Z55" s="292">
        <f t="shared" si="34"/>
        <v>1.03</v>
      </c>
      <c r="AA55" s="300"/>
      <c r="AB55" s="191">
        <f t="shared" si="3"/>
        <v>1.0299999999999996</v>
      </c>
      <c r="AC55" s="139">
        <f t="shared" si="17"/>
        <v>0.73511848811006164</v>
      </c>
      <c r="AD55" s="132">
        <f t="shared" si="33"/>
        <v>54.579125760533401</v>
      </c>
      <c r="AE55" s="168">
        <f t="shared" si="18"/>
        <v>0.74546412243301097</v>
      </c>
      <c r="AF55" s="192">
        <f t="shared" si="19"/>
        <v>0</v>
      </c>
      <c r="AG55" s="192">
        <f t="shared" si="30"/>
        <v>3.3524356580057901</v>
      </c>
      <c r="AH55" s="192">
        <f t="shared" si="20"/>
        <v>0.96563464511828401</v>
      </c>
      <c r="AI55" s="168">
        <f t="shared" si="21"/>
        <v>3.4638189755091924</v>
      </c>
      <c r="AJ55" s="192">
        <f t="shared" si="22"/>
        <v>1.1419553525103359</v>
      </c>
      <c r="AK55" s="132">
        <f t="shared" si="23"/>
        <v>42.091098886664192</v>
      </c>
      <c r="AL55" s="192">
        <f t="shared" si="24"/>
        <v>0.5939150826100742</v>
      </c>
      <c r="AM55" s="192">
        <f t="shared" si="25"/>
        <v>0</v>
      </c>
      <c r="AN55" s="192">
        <f t="shared" si="31"/>
        <v>0</v>
      </c>
      <c r="AO55" s="192">
        <f t="shared" si="26"/>
        <v>0</v>
      </c>
      <c r="AS55" s="132"/>
      <c r="AT55" s="132"/>
      <c r="AU55" s="200"/>
      <c r="AV55" s="132"/>
      <c r="AW55" s="132"/>
      <c r="AX55" s="132"/>
      <c r="AY55" s="132"/>
      <c r="AZ55" s="132"/>
      <c r="BA55" s="167"/>
      <c r="BB55" s="167"/>
      <c r="BD55" s="211">
        <f t="shared" si="29"/>
        <v>42460</v>
      </c>
      <c r="BE55" s="210">
        <v>1</v>
      </c>
      <c r="BF55" s="209">
        <v>0.5</v>
      </c>
      <c r="BG55" s="209">
        <v>2</v>
      </c>
      <c r="BH55" s="210"/>
      <c r="BI55" s="209"/>
      <c r="BJ55" s="209"/>
      <c r="BK55" s="168">
        <f t="shared" ref="BK55:BK63" si="40">I55</f>
        <v>1.03</v>
      </c>
      <c r="BL55" s="168">
        <f t="shared" si="38"/>
        <v>0.73511848811006164</v>
      </c>
      <c r="BM55" s="168"/>
    </row>
    <row r="56" spans="1:65" ht="13.5" thickBot="1" x14ac:dyDescent="0.25">
      <c r="A56" s="215">
        <f t="shared" si="39"/>
        <v>42461</v>
      </c>
      <c r="B56" s="190"/>
      <c r="C56" s="168"/>
      <c r="D56" s="198"/>
      <c r="E56" s="132">
        <f t="shared" si="15"/>
        <v>940.39294831126585</v>
      </c>
      <c r="F56" s="168">
        <f t="shared" si="16"/>
        <v>386.47455705326007</v>
      </c>
      <c r="G56" s="300"/>
      <c r="H56" s="127">
        <f>VLOOKUP(MONTH(A56),ETP_Parametros!$A$6:$D$17,4,FALSE)</f>
        <v>3.6</v>
      </c>
      <c r="I56" s="230">
        <f>VLOOKUP(A56,P_Q_obs!$A$4:$F$308,6,FALSE)*1</f>
        <v>1.37</v>
      </c>
      <c r="J56" s="230">
        <f t="shared" si="37"/>
        <v>1.37</v>
      </c>
      <c r="K56" s="230">
        <f t="shared" si="37"/>
        <v>1.37</v>
      </c>
      <c r="L56" s="230">
        <f t="shared" si="37"/>
        <v>1.37</v>
      </c>
      <c r="M56" s="230">
        <f t="shared" si="37"/>
        <v>1.37</v>
      </c>
      <c r="N56" s="230">
        <f t="shared" si="37"/>
        <v>1.37</v>
      </c>
      <c r="O56" s="230">
        <f t="shared" si="37"/>
        <v>1.37</v>
      </c>
      <c r="P56" s="230">
        <f t="shared" si="37"/>
        <v>1.37</v>
      </c>
      <c r="Q56" s="230">
        <f t="shared" si="37"/>
        <v>1.37</v>
      </c>
      <c r="R56" s="230">
        <f t="shared" si="37"/>
        <v>1.37</v>
      </c>
      <c r="S56" s="230">
        <f t="shared" si="37"/>
        <v>1.37</v>
      </c>
      <c r="T56" s="230">
        <f t="shared" si="37"/>
        <v>1.37</v>
      </c>
      <c r="U56" s="230">
        <f t="shared" si="37"/>
        <v>1.37</v>
      </c>
      <c r="V56" s="230">
        <f t="shared" si="37"/>
        <v>1.37</v>
      </c>
      <c r="W56" s="230">
        <f t="shared" si="37"/>
        <v>1.37</v>
      </c>
      <c r="X56" s="230">
        <f t="shared" si="37"/>
        <v>1.37</v>
      </c>
      <c r="Y56" s="230">
        <f t="shared" si="36"/>
        <v>1.37</v>
      </c>
      <c r="Z56" s="292">
        <f t="shared" si="34"/>
        <v>1.37</v>
      </c>
      <c r="AA56" s="300"/>
      <c r="AB56" s="191">
        <f t="shared" si="3"/>
        <v>1.3699999999999997</v>
      </c>
      <c r="AC56" s="139">
        <f t="shared" si="17"/>
        <v>1.1831855775902631</v>
      </c>
      <c r="AD56" s="132">
        <f t="shared" si="33"/>
        <v>52.445309749462176</v>
      </c>
      <c r="AE56" s="168">
        <f t="shared" si="18"/>
        <v>0.69954138133027377</v>
      </c>
      <c r="AF56" s="192">
        <f t="shared" si="19"/>
        <v>0</v>
      </c>
      <c r="AG56" s="192">
        <f t="shared" si="30"/>
        <v>2.5654228437845332</v>
      </c>
      <c r="AH56" s="192">
        <f t="shared" si="20"/>
        <v>0.75157874487695675</v>
      </c>
      <c r="AI56" s="168">
        <f t="shared" si="21"/>
        <v>2.6049999501944074</v>
      </c>
      <c r="AJ56" s="192">
        <f t="shared" si="22"/>
        <v>0.85881902531478505</v>
      </c>
      <c r="AK56" s="132">
        <f t="shared" si="23"/>
        <v>42.243470767072111</v>
      </c>
      <c r="AL56" s="192">
        <f t="shared" si="24"/>
        <v>0.59920686446903915</v>
      </c>
      <c r="AM56" s="192">
        <f t="shared" si="25"/>
        <v>0</v>
      </c>
      <c r="AN56" s="192">
        <f t="shared" si="31"/>
        <v>0</v>
      </c>
      <c r="AO56" s="192">
        <f t="shared" si="26"/>
        <v>0</v>
      </c>
      <c r="AS56" s="132"/>
      <c r="AT56" s="132"/>
      <c r="AU56" s="200"/>
      <c r="AV56" s="132"/>
      <c r="AW56" s="132"/>
      <c r="AX56" s="132"/>
      <c r="AY56" s="132"/>
      <c r="AZ56" s="132"/>
      <c r="BA56" s="167"/>
      <c r="BB56" s="167"/>
      <c r="BD56" s="211">
        <f t="shared" si="29"/>
        <v>42461</v>
      </c>
      <c r="BE56" s="210">
        <v>1</v>
      </c>
      <c r="BF56" s="209">
        <v>0.5</v>
      </c>
      <c r="BG56" s="209">
        <v>2</v>
      </c>
      <c r="BH56" s="210"/>
      <c r="BI56" s="209"/>
      <c r="BJ56" s="209"/>
      <c r="BK56" s="168">
        <f t="shared" si="40"/>
        <v>1.37</v>
      </c>
      <c r="BL56" s="168">
        <f t="shared" si="38"/>
        <v>1.1831855775902631</v>
      </c>
      <c r="BM56" s="168"/>
    </row>
    <row r="57" spans="1:65" ht="13.5" thickBot="1" x14ac:dyDescent="0.25">
      <c r="A57" s="215">
        <f t="shared" si="39"/>
        <v>42462</v>
      </c>
      <c r="B57" s="190"/>
      <c r="C57" s="168"/>
      <c r="D57" s="198"/>
      <c r="E57" s="132">
        <f t="shared" si="15"/>
        <v>824.28666146461865</v>
      </c>
      <c r="F57" s="168">
        <f t="shared" si="16"/>
        <v>387.87361425408511</v>
      </c>
      <c r="G57" s="300"/>
      <c r="H57" s="127">
        <f>VLOOKUP(MONTH(A57),ETP_Parametros!$A$6:$D$17,4,FALSE)</f>
        <v>3.6</v>
      </c>
      <c r="I57" s="230">
        <f>VLOOKUP(A57,P_Q_obs!$A$4:$F$308,6,FALSE)*1</f>
        <v>1.26</v>
      </c>
      <c r="J57" s="230">
        <f t="shared" si="37"/>
        <v>1.26</v>
      </c>
      <c r="K57" s="230">
        <f t="shared" si="37"/>
        <v>1.26</v>
      </c>
      <c r="L57" s="230">
        <f t="shared" si="37"/>
        <v>1.26</v>
      </c>
      <c r="M57" s="230">
        <f t="shared" si="37"/>
        <v>1.26</v>
      </c>
      <c r="N57" s="230">
        <f t="shared" si="37"/>
        <v>1.26</v>
      </c>
      <c r="O57" s="230">
        <f t="shared" si="37"/>
        <v>1.26</v>
      </c>
      <c r="P57" s="230">
        <f t="shared" si="37"/>
        <v>1.26</v>
      </c>
      <c r="Q57" s="230">
        <f t="shared" si="37"/>
        <v>1.26</v>
      </c>
      <c r="R57" s="230">
        <f t="shared" si="37"/>
        <v>1.26</v>
      </c>
      <c r="S57" s="230">
        <f t="shared" si="37"/>
        <v>1.26</v>
      </c>
      <c r="T57" s="230">
        <f t="shared" si="37"/>
        <v>1.26</v>
      </c>
      <c r="U57" s="230">
        <f t="shared" si="37"/>
        <v>1.26</v>
      </c>
      <c r="V57" s="230">
        <f t="shared" si="37"/>
        <v>1.26</v>
      </c>
      <c r="W57" s="230">
        <f t="shared" si="37"/>
        <v>1.26</v>
      </c>
      <c r="X57" s="230">
        <f t="shared" si="37"/>
        <v>1.26</v>
      </c>
      <c r="Y57" s="230">
        <f t="shared" si="36"/>
        <v>1.26</v>
      </c>
      <c r="Z57" s="292">
        <f t="shared" si="34"/>
        <v>1.26</v>
      </c>
      <c r="AA57" s="300"/>
      <c r="AB57" s="191">
        <f t="shared" si="3"/>
        <v>1.2599999999999998</v>
      </c>
      <c r="AC57" s="139">
        <f t="shared" si="17"/>
        <v>3.8441017801190442</v>
      </c>
      <c r="AD57" s="132">
        <f t="shared" si="33"/>
        <v>52.372543734381303</v>
      </c>
      <c r="AE57" s="168">
        <f t="shared" si="18"/>
        <v>0.67219223311491705</v>
      </c>
      <c r="AF57" s="192">
        <f t="shared" si="19"/>
        <v>0.12402262414999861</v>
      </c>
      <c r="AG57" s="192">
        <f t="shared" si="30"/>
        <v>3.1591048056504483</v>
      </c>
      <c r="AH57" s="192">
        <f t="shared" si="20"/>
        <v>0.63374036539947043</v>
      </c>
      <c r="AI57" s="168">
        <f t="shared" si="21"/>
        <v>2.0523889153882617</v>
      </c>
      <c r="AJ57" s="192">
        <f t="shared" si="22"/>
        <v>0.67663365895614436</v>
      </c>
      <c r="AK57" s="132">
        <f t="shared" si="23"/>
        <v>42.275835109222953</v>
      </c>
      <c r="AL57" s="192">
        <f t="shared" si="24"/>
        <v>0.60137602324862638</v>
      </c>
      <c r="AM57" s="192">
        <f t="shared" si="25"/>
        <v>0</v>
      </c>
      <c r="AN57" s="192">
        <f t="shared" si="31"/>
        <v>0</v>
      </c>
      <c r="AO57" s="192">
        <f t="shared" si="26"/>
        <v>0</v>
      </c>
      <c r="AS57" s="132"/>
      <c r="AT57" s="132"/>
      <c r="AU57" s="200"/>
      <c r="AV57" s="132"/>
      <c r="AW57" s="132"/>
      <c r="AX57" s="132"/>
      <c r="AY57" s="132"/>
      <c r="AZ57" s="132"/>
      <c r="BA57" s="167"/>
      <c r="BB57" s="167"/>
      <c r="BD57" s="211">
        <f t="shared" si="29"/>
        <v>42462</v>
      </c>
      <c r="BE57" s="210">
        <v>1</v>
      </c>
      <c r="BF57" s="209">
        <v>0.5</v>
      </c>
      <c r="BG57" s="209">
        <v>2</v>
      </c>
      <c r="BH57" s="210"/>
      <c r="BI57" s="209"/>
      <c r="BJ57" s="209"/>
      <c r="BK57" s="168">
        <f t="shared" si="40"/>
        <v>1.26</v>
      </c>
      <c r="BL57" s="168">
        <f t="shared" si="38"/>
        <v>3.8441017801190442</v>
      </c>
      <c r="BM57" s="168"/>
    </row>
    <row r="58" spans="1:65" ht="13.5" thickBot="1" x14ac:dyDescent="0.25">
      <c r="A58" s="215">
        <f t="shared" si="39"/>
        <v>42463</v>
      </c>
      <c r="B58" s="190"/>
      <c r="C58" s="168"/>
      <c r="D58" s="198"/>
      <c r="E58" s="132">
        <f t="shared" si="15"/>
        <v>972.08745613345798</v>
      </c>
      <c r="F58" s="168">
        <f t="shared" si="16"/>
        <v>388.170779097197</v>
      </c>
      <c r="G58" s="300"/>
      <c r="H58" s="127">
        <f>VLOOKUP(MONTH(A58),ETP_Parametros!$A$6:$D$17,4,FALSE)</f>
        <v>3.6</v>
      </c>
      <c r="I58" s="230">
        <f>VLOOKUP(A58,P_Q_obs!$A$4:$F$308,6,FALSE)*1</f>
        <v>13.26</v>
      </c>
      <c r="J58" s="230">
        <f t="shared" si="37"/>
        <v>13.26</v>
      </c>
      <c r="K58" s="230">
        <f t="shared" si="37"/>
        <v>13.26</v>
      </c>
      <c r="L58" s="230">
        <f t="shared" si="37"/>
        <v>13.26</v>
      </c>
      <c r="M58" s="230">
        <f t="shared" si="37"/>
        <v>13.26</v>
      </c>
      <c r="N58" s="230">
        <f t="shared" si="37"/>
        <v>13.26</v>
      </c>
      <c r="O58" s="230">
        <f t="shared" si="37"/>
        <v>13.26</v>
      </c>
      <c r="P58" s="230">
        <f t="shared" si="37"/>
        <v>13.26</v>
      </c>
      <c r="Q58" s="230">
        <f t="shared" si="37"/>
        <v>13.26</v>
      </c>
      <c r="R58" s="230">
        <f t="shared" si="37"/>
        <v>13.26</v>
      </c>
      <c r="S58" s="230">
        <f t="shared" si="37"/>
        <v>13.26</v>
      </c>
      <c r="T58" s="230">
        <f t="shared" si="37"/>
        <v>13.26</v>
      </c>
      <c r="U58" s="230">
        <f t="shared" si="37"/>
        <v>13.26</v>
      </c>
      <c r="V58" s="230">
        <f t="shared" si="37"/>
        <v>13.26</v>
      </c>
      <c r="W58" s="230">
        <f t="shared" si="37"/>
        <v>13.26</v>
      </c>
      <c r="X58" s="230">
        <f t="shared" si="37"/>
        <v>13.26</v>
      </c>
      <c r="Y58" s="230">
        <f t="shared" si="36"/>
        <v>13.26</v>
      </c>
      <c r="Z58" s="292">
        <f t="shared" si="34"/>
        <v>13.26</v>
      </c>
      <c r="AA58" s="300"/>
      <c r="AB58" s="191">
        <f t="shared" si="3"/>
        <v>13.259999999999996</v>
      </c>
      <c r="AC58" s="139">
        <f t="shared" si="17"/>
        <v>9.2533486083234475</v>
      </c>
      <c r="AD58" s="132">
        <f t="shared" si="33"/>
        <v>56.237920306741671</v>
      </c>
      <c r="AE58" s="168">
        <f t="shared" si="18"/>
        <v>0.67125959013109737</v>
      </c>
      <c r="AF58" s="192">
        <f t="shared" si="19"/>
        <v>1.5990184001207639</v>
      </c>
      <c r="AG58" s="192">
        <f t="shared" si="30"/>
        <v>3.1591048056504483</v>
      </c>
      <c r="AH58" s="192">
        <f t="shared" si="20"/>
        <v>0.62984883019186721</v>
      </c>
      <c r="AI58" s="168">
        <f t="shared" si="21"/>
        <v>2.7460776507935796</v>
      </c>
      <c r="AJ58" s="192">
        <f t="shared" si="22"/>
        <v>0.90532966471544618</v>
      </c>
      <c r="AK58" s="132">
        <f t="shared" si="23"/>
        <v>42.303847178943982</v>
      </c>
      <c r="AL58" s="192">
        <f t="shared" si="24"/>
        <v>0.60183676047083634</v>
      </c>
      <c r="AM58" s="192">
        <f t="shared" si="25"/>
        <v>0</v>
      </c>
      <c r="AN58" s="192">
        <f t="shared" si="31"/>
        <v>0</v>
      </c>
      <c r="AO58" s="192">
        <f t="shared" si="26"/>
        <v>0</v>
      </c>
      <c r="AS58" s="132"/>
      <c r="AT58" s="132"/>
      <c r="AU58" s="200"/>
      <c r="AV58" s="132"/>
      <c r="AW58" s="132"/>
      <c r="AX58" s="132"/>
      <c r="AY58" s="132"/>
      <c r="AZ58" s="132"/>
      <c r="BA58" s="167"/>
      <c r="BB58" s="167"/>
      <c r="BD58" s="211">
        <f t="shared" si="29"/>
        <v>42463</v>
      </c>
      <c r="BE58" s="210">
        <v>1</v>
      </c>
      <c r="BF58" s="209">
        <v>0.5</v>
      </c>
      <c r="BG58" s="209">
        <v>2</v>
      </c>
      <c r="BH58" s="210"/>
      <c r="BI58" s="209"/>
      <c r="BJ58" s="209"/>
      <c r="BK58" s="168">
        <f t="shared" si="40"/>
        <v>13.26</v>
      </c>
      <c r="BL58" s="168">
        <f t="shared" si="38"/>
        <v>9.2533486083234475</v>
      </c>
      <c r="BM58" s="168"/>
    </row>
    <row r="59" spans="1:65" ht="13.5" thickBot="1" x14ac:dyDescent="0.25">
      <c r="A59" s="215">
        <f t="shared" si="39"/>
        <v>42464</v>
      </c>
      <c r="B59" s="190"/>
      <c r="C59" s="168"/>
      <c r="D59" s="198"/>
      <c r="E59" s="132">
        <f t="shared" si="15"/>
        <v>1630.6470637300861</v>
      </c>
      <c r="F59" s="168">
        <f t="shared" si="16"/>
        <v>388.42798198626224</v>
      </c>
      <c r="G59" s="300"/>
      <c r="H59" s="127">
        <f>VLOOKUP(MONTH(A59),ETP_Parametros!$A$6:$D$17,4,FALSE)</f>
        <v>3.6</v>
      </c>
      <c r="I59" s="230">
        <f>VLOOKUP(A59,P_Q_obs!$A$4:$F$308,6,FALSE)*1</f>
        <v>18.54</v>
      </c>
      <c r="J59" s="230">
        <f t="shared" si="37"/>
        <v>18.54</v>
      </c>
      <c r="K59" s="230">
        <f t="shared" si="37"/>
        <v>18.54</v>
      </c>
      <c r="L59" s="230">
        <f t="shared" si="37"/>
        <v>18.54</v>
      </c>
      <c r="M59" s="230">
        <f t="shared" si="37"/>
        <v>18.54</v>
      </c>
      <c r="N59" s="230">
        <f t="shared" si="37"/>
        <v>18.54</v>
      </c>
      <c r="O59" s="230">
        <f t="shared" si="37"/>
        <v>18.54</v>
      </c>
      <c r="P59" s="230">
        <f t="shared" si="37"/>
        <v>18.54</v>
      </c>
      <c r="Q59" s="230">
        <f t="shared" si="37"/>
        <v>18.54</v>
      </c>
      <c r="R59" s="230">
        <f t="shared" si="37"/>
        <v>18.54</v>
      </c>
      <c r="S59" s="230">
        <f t="shared" si="37"/>
        <v>18.54</v>
      </c>
      <c r="T59" s="230">
        <f t="shared" si="37"/>
        <v>18.54</v>
      </c>
      <c r="U59" s="230">
        <f t="shared" si="37"/>
        <v>18.54</v>
      </c>
      <c r="V59" s="230">
        <f t="shared" si="37"/>
        <v>18.54</v>
      </c>
      <c r="W59" s="230">
        <f t="shared" si="37"/>
        <v>18.54</v>
      </c>
      <c r="X59" s="230">
        <f t="shared" si="37"/>
        <v>18.54</v>
      </c>
      <c r="Y59" s="230">
        <f t="shared" si="36"/>
        <v>18.54</v>
      </c>
      <c r="Z59" s="292">
        <f t="shared" si="34"/>
        <v>18.54</v>
      </c>
      <c r="AA59" s="300"/>
      <c r="AB59" s="191">
        <f t="shared" si="3"/>
        <v>18.539999999999996</v>
      </c>
      <c r="AC59" s="139">
        <f t="shared" si="17"/>
        <v>15.267277305645143</v>
      </c>
      <c r="AD59" s="132">
        <f t="shared" si="33"/>
        <v>62.476042327975897</v>
      </c>
      <c r="AE59" s="168">
        <f t="shared" si="18"/>
        <v>0.72080217310786476</v>
      </c>
      <c r="AF59" s="192">
        <f t="shared" si="19"/>
        <v>5.0218933987173546</v>
      </c>
      <c r="AG59" s="192">
        <f t="shared" si="30"/>
        <v>3.1591048056504483</v>
      </c>
      <c r="AH59" s="192">
        <f t="shared" si="20"/>
        <v>0.84815708004310686</v>
      </c>
      <c r="AI59" s="168">
        <f t="shared" si="21"/>
        <v>5.8419808714492332</v>
      </c>
      <c r="AJ59" s="192">
        <f t="shared" si="22"/>
        <v>1.9259901780617013</v>
      </c>
      <c r="AK59" s="132">
        <f t="shared" si="23"/>
        <v>42.549768720035559</v>
      </c>
      <c r="AL59" s="192">
        <f t="shared" si="24"/>
        <v>0.60223553895153181</v>
      </c>
      <c r="AM59" s="192">
        <f t="shared" si="25"/>
        <v>0</v>
      </c>
      <c r="AN59" s="192">
        <f t="shared" si="31"/>
        <v>0</v>
      </c>
      <c r="AO59" s="192">
        <f t="shared" si="26"/>
        <v>0</v>
      </c>
      <c r="AS59" s="132"/>
      <c r="AT59" s="132"/>
      <c r="AU59" s="200"/>
      <c r="AV59" s="132"/>
      <c r="AW59" s="132"/>
      <c r="AX59" s="132"/>
      <c r="AY59" s="132"/>
      <c r="AZ59" s="132"/>
      <c r="BA59" s="167"/>
      <c r="BB59" s="167"/>
      <c r="BD59" s="211">
        <f t="shared" si="29"/>
        <v>42464</v>
      </c>
      <c r="BE59" s="210">
        <v>1</v>
      </c>
      <c r="BF59" s="209">
        <v>0.5</v>
      </c>
      <c r="BG59" s="209">
        <v>2</v>
      </c>
      <c r="BH59" s="210"/>
      <c r="BI59" s="209"/>
      <c r="BJ59" s="209"/>
      <c r="BK59" s="168">
        <f t="shared" si="40"/>
        <v>18.54</v>
      </c>
      <c r="BL59" s="168">
        <f t="shared" si="38"/>
        <v>15.267277305645143</v>
      </c>
      <c r="BM59" s="168"/>
    </row>
    <row r="60" spans="1:65" ht="13.5" thickBot="1" x14ac:dyDescent="0.25">
      <c r="A60" s="215">
        <f t="shared" si="39"/>
        <v>42465</v>
      </c>
      <c r="B60" s="190"/>
      <c r="C60" s="168"/>
      <c r="D60" s="198"/>
      <c r="E60" s="132">
        <f t="shared" si="15"/>
        <v>2091.6370123989941</v>
      </c>
      <c r="F60" s="168">
        <f t="shared" si="16"/>
        <v>390.68599902970271</v>
      </c>
      <c r="G60" s="300"/>
      <c r="H60" s="127">
        <f>VLOOKUP(MONTH(A60),ETP_Parametros!$A$6:$D$17,4,FALSE)</f>
        <v>3.6</v>
      </c>
      <c r="I60" s="230">
        <f>VLOOKUP(A60,P_Q_obs!$A$4:$F$308,6,FALSE)*1</f>
        <v>15.07</v>
      </c>
      <c r="J60" s="230">
        <f t="shared" si="37"/>
        <v>15.07</v>
      </c>
      <c r="K60" s="230">
        <f t="shared" si="37"/>
        <v>15.07</v>
      </c>
      <c r="L60" s="230">
        <f t="shared" si="37"/>
        <v>15.07</v>
      </c>
      <c r="M60" s="230">
        <f t="shared" si="37"/>
        <v>15.07</v>
      </c>
      <c r="N60" s="230">
        <f t="shared" si="37"/>
        <v>15.07</v>
      </c>
      <c r="O60" s="230">
        <f t="shared" si="37"/>
        <v>15.07</v>
      </c>
      <c r="P60" s="230">
        <f t="shared" si="37"/>
        <v>15.07</v>
      </c>
      <c r="Q60" s="230">
        <f t="shared" si="37"/>
        <v>15.07</v>
      </c>
      <c r="R60" s="230">
        <f t="shared" si="37"/>
        <v>15.07</v>
      </c>
      <c r="S60" s="230">
        <f t="shared" si="37"/>
        <v>15.07</v>
      </c>
      <c r="T60" s="230">
        <f t="shared" si="37"/>
        <v>15.07</v>
      </c>
      <c r="U60" s="230">
        <f t="shared" si="37"/>
        <v>15.07</v>
      </c>
      <c r="V60" s="230">
        <f t="shared" si="37"/>
        <v>15.07</v>
      </c>
      <c r="W60" s="230">
        <f t="shared" si="37"/>
        <v>15.07</v>
      </c>
      <c r="X60" s="230">
        <f t="shared" si="37"/>
        <v>15.07</v>
      </c>
      <c r="Y60" s="230">
        <f t="shared" si="36"/>
        <v>15.07</v>
      </c>
      <c r="Z60" s="292">
        <f t="shared" si="34"/>
        <v>15.07</v>
      </c>
      <c r="AA60" s="300"/>
      <c r="AB60" s="191">
        <f t="shared" si="3"/>
        <v>15.069999999999997</v>
      </c>
      <c r="AC60" s="139">
        <f t="shared" si="17"/>
        <v>13.357198013702236</v>
      </c>
      <c r="AD60" s="132">
        <f t="shared" si="33"/>
        <v>66.629265446455179</v>
      </c>
      <c r="AE60" s="168">
        <f t="shared" si="18"/>
        <v>0.80075626608449701</v>
      </c>
      <c r="AF60" s="192">
        <f t="shared" si="19"/>
        <v>4.794579476618078</v>
      </c>
      <c r="AG60" s="192">
        <f t="shared" si="30"/>
        <v>3.1591048056504483</v>
      </c>
      <c r="AH60" s="192">
        <f t="shared" si="20"/>
        <v>1.250290612954432</v>
      </c>
      <c r="AI60" s="168">
        <f t="shared" si="21"/>
        <v>7.9993323475808822</v>
      </c>
      <c r="AJ60" s="192">
        <f t="shared" si="22"/>
        <v>2.6372280004864295</v>
      </c>
      <c r="AK60" s="132">
        <f t="shared" si="23"/>
        <v>43.194322866777334</v>
      </c>
      <c r="AL60" s="192">
        <f t="shared" si="24"/>
        <v>0.6057364662126532</v>
      </c>
      <c r="AM60" s="192">
        <f t="shared" si="25"/>
        <v>0</v>
      </c>
      <c r="AN60" s="192">
        <f t="shared" si="31"/>
        <v>0</v>
      </c>
      <c r="AO60" s="192">
        <f t="shared" si="26"/>
        <v>0</v>
      </c>
      <c r="AS60" s="132"/>
      <c r="AT60" s="132"/>
      <c r="AU60" s="200"/>
      <c r="AV60" s="132"/>
      <c r="AW60" s="132"/>
      <c r="AX60" s="132"/>
      <c r="AY60" s="132"/>
      <c r="AZ60" s="132"/>
      <c r="BA60" s="167"/>
      <c r="BB60" s="167"/>
      <c r="BD60" s="211">
        <f t="shared" si="29"/>
        <v>42465</v>
      </c>
      <c r="BE60" s="210">
        <v>1</v>
      </c>
      <c r="BF60" s="209">
        <v>0.5</v>
      </c>
      <c r="BG60" s="209">
        <v>2</v>
      </c>
      <c r="BH60" s="210"/>
      <c r="BI60" s="209"/>
      <c r="BJ60" s="209"/>
      <c r="BK60" s="168">
        <f t="shared" si="40"/>
        <v>15.07</v>
      </c>
      <c r="BL60" s="168">
        <f t="shared" si="38"/>
        <v>13.357198013702236</v>
      </c>
      <c r="BM60" s="168"/>
    </row>
    <row r="61" spans="1:65" ht="13.5" thickBot="1" x14ac:dyDescent="0.25">
      <c r="A61" s="215">
        <f t="shared" si="39"/>
        <v>42466</v>
      </c>
      <c r="B61" s="190"/>
      <c r="C61" s="168"/>
      <c r="D61" s="198"/>
      <c r="E61" s="132">
        <f t="shared" si="15"/>
        <v>1975.0174366272831</v>
      </c>
      <c r="F61" s="168">
        <f t="shared" si="16"/>
        <v>396.60420465863183</v>
      </c>
      <c r="G61" s="300"/>
      <c r="H61" s="127">
        <f>VLOOKUP(MONTH(A61),ETP_Parametros!$A$6:$D$17,4,FALSE)</f>
        <v>3.6</v>
      </c>
      <c r="I61" s="230">
        <f>VLOOKUP(A61,P_Q_obs!$A$4:$F$308,6,FALSE)*1</f>
        <v>1.98</v>
      </c>
      <c r="J61" s="230">
        <f t="shared" si="37"/>
        <v>1.98</v>
      </c>
      <c r="K61" s="230">
        <f t="shared" si="37"/>
        <v>1.98</v>
      </c>
      <c r="L61" s="230">
        <f t="shared" si="37"/>
        <v>1.98</v>
      </c>
      <c r="M61" s="230">
        <f t="shared" si="37"/>
        <v>1.98</v>
      </c>
      <c r="N61" s="230">
        <f t="shared" si="37"/>
        <v>1.98</v>
      </c>
      <c r="O61" s="230">
        <f t="shared" si="37"/>
        <v>1.98</v>
      </c>
      <c r="P61" s="230">
        <f t="shared" si="37"/>
        <v>1.98</v>
      </c>
      <c r="Q61" s="230">
        <f t="shared" si="37"/>
        <v>1.98</v>
      </c>
      <c r="R61" s="230">
        <f t="shared" si="37"/>
        <v>1.98</v>
      </c>
      <c r="S61" s="230">
        <f t="shared" si="37"/>
        <v>1.98</v>
      </c>
      <c r="T61" s="230">
        <f t="shared" si="37"/>
        <v>1.98</v>
      </c>
      <c r="U61" s="230">
        <f t="shared" si="37"/>
        <v>1.98</v>
      </c>
      <c r="V61" s="230">
        <f t="shared" si="37"/>
        <v>1.98</v>
      </c>
      <c r="W61" s="230">
        <f t="shared" si="37"/>
        <v>1.98</v>
      </c>
      <c r="X61" s="230">
        <f t="shared" si="37"/>
        <v>1.98</v>
      </c>
      <c r="Y61" s="230">
        <f t="shared" si="36"/>
        <v>1.98</v>
      </c>
      <c r="Z61" s="292">
        <f t="shared" si="34"/>
        <v>1.98</v>
      </c>
      <c r="AA61" s="300"/>
      <c r="AB61" s="191">
        <f t="shared" si="3"/>
        <v>1.9799999999999991</v>
      </c>
      <c r="AC61" s="139">
        <f t="shared" si="17"/>
        <v>7.6460209658791349</v>
      </c>
      <c r="AD61" s="132">
        <f t="shared" si="33"/>
        <v>67.693083284634511</v>
      </c>
      <c r="AE61" s="168">
        <f t="shared" si="18"/>
        <v>0.85398818207415739</v>
      </c>
      <c r="AF61" s="192">
        <f t="shared" si="19"/>
        <v>1.8709622488323492</v>
      </c>
      <c r="AG61" s="192">
        <f t="shared" si="30"/>
        <v>3.1591048056504483</v>
      </c>
      <c r="AH61" s="192">
        <f t="shared" si="20"/>
        <v>1.5521360732170035</v>
      </c>
      <c r="AI61" s="168">
        <f t="shared" si="21"/>
        <v>7.4230544707610857</v>
      </c>
      <c r="AJ61" s="192">
        <f t="shared" si="22"/>
        <v>2.4472401256521454</v>
      </c>
      <c r="AK61" s="132">
        <f t="shared" si="23"/>
        <v>44.131546631870563</v>
      </c>
      <c r="AL61" s="192">
        <f t="shared" si="24"/>
        <v>0.6149123081237805</v>
      </c>
      <c r="AM61" s="192">
        <f t="shared" si="25"/>
        <v>0</v>
      </c>
      <c r="AN61" s="192">
        <f t="shared" si="31"/>
        <v>0</v>
      </c>
      <c r="AO61" s="192">
        <f t="shared" si="26"/>
        <v>0</v>
      </c>
      <c r="AS61" s="132"/>
      <c r="AT61" s="132"/>
      <c r="AU61" s="200"/>
      <c r="AV61" s="132"/>
      <c r="AW61" s="132"/>
      <c r="AX61" s="132"/>
      <c r="AY61" s="132"/>
      <c r="AZ61" s="132"/>
      <c r="BA61" s="167"/>
      <c r="BB61" s="167"/>
      <c r="BD61" s="211">
        <f t="shared" si="29"/>
        <v>42466</v>
      </c>
      <c r="BE61" s="210">
        <v>1</v>
      </c>
      <c r="BF61" s="209">
        <v>0.5</v>
      </c>
      <c r="BG61" s="209">
        <v>2</v>
      </c>
      <c r="BH61" s="210"/>
      <c r="BI61" s="209"/>
      <c r="BJ61" s="209"/>
      <c r="BK61" s="168">
        <f t="shared" si="40"/>
        <v>1.98</v>
      </c>
      <c r="BL61" s="168">
        <f t="shared" si="38"/>
        <v>7.6460209658791349</v>
      </c>
      <c r="BM61" s="168"/>
    </row>
    <row r="62" spans="1:65" ht="13.5" thickBot="1" x14ac:dyDescent="0.25">
      <c r="A62" s="215">
        <f t="shared" si="39"/>
        <v>42467</v>
      </c>
      <c r="B62" s="190"/>
      <c r="C62" s="168"/>
      <c r="D62" s="198"/>
      <c r="E62" s="132">
        <f t="shared" si="15"/>
        <v>1630.9529658125257</v>
      </c>
      <c r="F62" s="168">
        <f t="shared" si="16"/>
        <v>405.20966160926884</v>
      </c>
      <c r="G62" s="300"/>
      <c r="H62" s="127">
        <f>VLOOKUP(MONTH(A62),ETP_Parametros!$A$6:$D$17,4,FALSE)</f>
        <v>3.6</v>
      </c>
      <c r="I62" s="230">
        <f>VLOOKUP(A62,P_Q_obs!$A$4:$F$308,6,FALSE)*1</f>
        <v>2.5</v>
      </c>
      <c r="J62" s="230">
        <f t="shared" si="37"/>
        <v>2.5</v>
      </c>
      <c r="K62" s="230">
        <f t="shared" si="37"/>
        <v>2.5</v>
      </c>
      <c r="L62" s="230">
        <f t="shared" si="37"/>
        <v>2.5</v>
      </c>
      <c r="M62" s="230">
        <f t="shared" si="37"/>
        <v>2.5</v>
      </c>
      <c r="N62" s="230">
        <f t="shared" si="37"/>
        <v>2.5</v>
      </c>
      <c r="O62" s="230">
        <f t="shared" si="37"/>
        <v>2.5</v>
      </c>
      <c r="P62" s="230">
        <f t="shared" si="37"/>
        <v>2.5</v>
      </c>
      <c r="Q62" s="230">
        <f t="shared" si="37"/>
        <v>2.5</v>
      </c>
      <c r="R62" s="230">
        <f t="shared" si="37"/>
        <v>2.5</v>
      </c>
      <c r="S62" s="230">
        <f t="shared" si="37"/>
        <v>2.5</v>
      </c>
      <c r="T62" s="230">
        <f t="shared" si="37"/>
        <v>2.5</v>
      </c>
      <c r="U62" s="230">
        <f t="shared" si="37"/>
        <v>2.5</v>
      </c>
      <c r="V62" s="230">
        <f t="shared" si="37"/>
        <v>2.5</v>
      </c>
      <c r="W62" s="230">
        <f t="shared" si="37"/>
        <v>2.5</v>
      </c>
      <c r="X62" s="230">
        <f t="shared" si="37"/>
        <v>2.5</v>
      </c>
      <c r="Y62" s="230">
        <f t="shared" si="36"/>
        <v>2.5</v>
      </c>
      <c r="Z62" s="292">
        <f t="shared" si="34"/>
        <v>2.5</v>
      </c>
      <c r="AA62" s="300"/>
      <c r="AB62" s="191">
        <f t="shared" si="3"/>
        <v>2.4999999999999996</v>
      </c>
      <c r="AC62" s="139">
        <f t="shared" si="17"/>
        <v>3.7061585551638769</v>
      </c>
      <c r="AD62" s="132">
        <f t="shared" si="33"/>
        <v>66.324013259440378</v>
      </c>
      <c r="AE62" s="168">
        <f t="shared" si="18"/>
        <v>0.86762314946569963</v>
      </c>
      <c r="AF62" s="192">
        <f t="shared" si="19"/>
        <v>0.24188856635316208</v>
      </c>
      <c r="AG62" s="192">
        <f t="shared" si="30"/>
        <v>3.1995016114899273</v>
      </c>
      <c r="AH62" s="192">
        <f t="shared" si="20"/>
        <v>1.6338384025149191</v>
      </c>
      <c r="AI62" s="168">
        <f t="shared" si="21"/>
        <v>5.7644976169663558</v>
      </c>
      <c r="AJ62" s="192">
        <f t="shared" si="22"/>
        <v>1.9004454201478918</v>
      </c>
      <c r="AK62" s="132">
        <f t="shared" si="23"/>
        <v>45.137130453704273</v>
      </c>
      <c r="AL62" s="192">
        <f t="shared" si="24"/>
        <v>0.62825458068120499</v>
      </c>
      <c r="AM62" s="192">
        <f t="shared" si="25"/>
        <v>0</v>
      </c>
      <c r="AN62" s="192">
        <f t="shared" si="31"/>
        <v>0</v>
      </c>
      <c r="AO62" s="192">
        <f t="shared" si="26"/>
        <v>0</v>
      </c>
      <c r="AS62" s="132"/>
      <c r="AT62" s="132"/>
      <c r="AU62" s="200"/>
      <c r="AV62" s="132"/>
      <c r="AW62" s="132"/>
      <c r="AX62" s="132"/>
      <c r="AY62" s="132"/>
      <c r="AZ62" s="132"/>
      <c r="BA62" s="167"/>
      <c r="BB62" s="167"/>
      <c r="BD62" s="211">
        <f t="shared" si="29"/>
        <v>42467</v>
      </c>
      <c r="BE62" s="210">
        <v>1</v>
      </c>
      <c r="BF62" s="209">
        <v>0.5</v>
      </c>
      <c r="BG62" s="209">
        <v>2</v>
      </c>
      <c r="BH62" s="210"/>
      <c r="BI62" s="209"/>
      <c r="BJ62" s="209"/>
      <c r="BK62" s="168">
        <f t="shared" si="40"/>
        <v>2.5</v>
      </c>
      <c r="BL62" s="168">
        <f t="shared" si="38"/>
        <v>3.7061585551638769</v>
      </c>
      <c r="BM62" s="168"/>
    </row>
    <row r="63" spans="1:65" ht="13.5" thickBot="1" x14ac:dyDescent="0.25">
      <c r="A63" s="215">
        <f t="shared" si="39"/>
        <v>42468</v>
      </c>
      <c r="B63" s="190"/>
      <c r="C63" s="168"/>
      <c r="D63" s="198"/>
      <c r="E63" s="132">
        <f t="shared" si="15"/>
        <v>1523.1591402149256</v>
      </c>
      <c r="F63" s="168">
        <f t="shared" si="16"/>
        <v>414.44279099773058</v>
      </c>
      <c r="G63" s="300"/>
      <c r="H63" s="127">
        <f>VLOOKUP(MONTH(A63),ETP_Parametros!$A$6:$D$17,4,FALSE)</f>
        <v>3.6</v>
      </c>
      <c r="I63" s="230">
        <f>VLOOKUP(A63,P_Q_obs!$A$4:$F$308,6,FALSE)*1</f>
        <v>7.4</v>
      </c>
      <c r="J63" s="230">
        <f t="shared" si="37"/>
        <v>7.4</v>
      </c>
      <c r="K63" s="230">
        <f t="shared" si="37"/>
        <v>7.4</v>
      </c>
      <c r="L63" s="230">
        <f t="shared" si="37"/>
        <v>7.4</v>
      </c>
      <c r="M63" s="230">
        <f t="shared" si="37"/>
        <v>7.4</v>
      </c>
      <c r="N63" s="230">
        <f t="shared" si="37"/>
        <v>7.4</v>
      </c>
      <c r="O63" s="230">
        <f t="shared" si="37"/>
        <v>7.4</v>
      </c>
      <c r="P63" s="230">
        <f t="shared" si="37"/>
        <v>7.4</v>
      </c>
      <c r="Q63" s="230">
        <f t="shared" si="37"/>
        <v>7.4</v>
      </c>
      <c r="R63" s="230">
        <f t="shared" si="37"/>
        <v>7.4</v>
      </c>
      <c r="S63" s="230">
        <f t="shared" si="37"/>
        <v>7.4</v>
      </c>
      <c r="T63" s="230">
        <f t="shared" si="37"/>
        <v>7.4</v>
      </c>
      <c r="U63" s="230">
        <f t="shared" si="37"/>
        <v>7.4</v>
      </c>
      <c r="V63" s="230">
        <f t="shared" si="37"/>
        <v>7.4</v>
      </c>
      <c r="W63" s="230">
        <f t="shared" si="37"/>
        <v>7.4</v>
      </c>
      <c r="X63" s="230">
        <f t="shared" si="37"/>
        <v>7.4</v>
      </c>
      <c r="Y63" s="230">
        <f t="shared" si="36"/>
        <v>7.4</v>
      </c>
      <c r="Z63" s="292">
        <f t="shared" si="34"/>
        <v>7.4</v>
      </c>
      <c r="AA63" s="300"/>
      <c r="AB63" s="191">
        <f t="shared" si="3"/>
        <v>7.4000000000000021</v>
      </c>
      <c r="AC63" s="139">
        <f t="shared" si="17"/>
        <v>6.3274940323261433</v>
      </c>
      <c r="AD63" s="132">
        <f t="shared" si="33"/>
        <v>66.794739246241974</v>
      </c>
      <c r="AE63" s="168">
        <f t="shared" si="18"/>
        <v>0.85007576073022972</v>
      </c>
      <c r="AF63" s="192">
        <f t="shared" si="19"/>
        <v>1.1686405302503626</v>
      </c>
      <c r="AG63" s="192">
        <f t="shared" si="30"/>
        <v>3.1591048056504483</v>
      </c>
      <c r="AH63" s="192">
        <f t="shared" si="20"/>
        <v>1.5290227096237421</v>
      </c>
      <c r="AI63" s="168">
        <f t="shared" si="21"/>
        <v>5.2141363783410473</v>
      </c>
      <c r="AJ63" s="192">
        <f t="shared" si="22"/>
        <v>1.7190017688756711</v>
      </c>
      <c r="AK63" s="132">
        <f t="shared" si="23"/>
        <v>46.023583139601136</v>
      </c>
      <c r="AL63" s="192">
        <f t="shared" si="24"/>
        <v>0.64257002372687655</v>
      </c>
      <c r="AM63" s="192">
        <f t="shared" si="25"/>
        <v>0</v>
      </c>
      <c r="AN63" s="192">
        <f t="shared" si="31"/>
        <v>0</v>
      </c>
      <c r="AO63" s="192">
        <f t="shared" si="26"/>
        <v>0</v>
      </c>
      <c r="AS63" s="132"/>
      <c r="AT63" s="132"/>
      <c r="AU63" s="200"/>
      <c r="AV63" s="132"/>
      <c r="AW63" s="132"/>
      <c r="AX63" s="132"/>
      <c r="AY63" s="132"/>
      <c r="AZ63" s="132"/>
      <c r="BA63" s="167"/>
      <c r="BB63" s="167"/>
      <c r="BD63" s="211">
        <f t="shared" si="29"/>
        <v>42468</v>
      </c>
      <c r="BE63" s="210">
        <v>1</v>
      </c>
      <c r="BF63" s="209">
        <v>0.5</v>
      </c>
      <c r="BG63" s="209">
        <v>2</v>
      </c>
      <c r="BH63" s="210"/>
      <c r="BI63" s="209"/>
      <c r="BJ63" s="209"/>
      <c r="BK63" s="168">
        <f t="shared" si="40"/>
        <v>7.4</v>
      </c>
      <c r="BL63" s="168">
        <f t="shared" si="38"/>
        <v>6.3274940323261433</v>
      </c>
      <c r="BM63" s="168"/>
    </row>
    <row r="64" spans="1:65" ht="13.5" thickBot="1" x14ac:dyDescent="0.25">
      <c r="A64" s="215">
        <f t="shared" si="39"/>
        <v>42469</v>
      </c>
      <c r="B64" s="190"/>
      <c r="C64" s="168"/>
      <c r="D64" s="198"/>
      <c r="E64" s="132">
        <f t="shared" ref="E64:E127" si="41">(AJ64+AL64+AO64)*Y$9/86.4</f>
        <v>1500.2988392910479</v>
      </c>
      <c r="F64" s="168">
        <f t="shared" ref="F64:F127" si="42">(AL64*$Y$9)/86.4</f>
        <v>422.5820750314673</v>
      </c>
      <c r="G64" s="300"/>
      <c r="H64" s="127">
        <f>VLOOKUP(MONTH(A64),ETP_Parametros!$A$6:$D$17,4,FALSE)</f>
        <v>3.6</v>
      </c>
      <c r="I64" s="230">
        <f>VLOOKUP(A64,P_Q_obs!$A$4:$F$308,6,FALSE)*1</f>
        <v>10.83</v>
      </c>
      <c r="J64" s="230">
        <f t="shared" ref="J64:J127" si="43">I64</f>
        <v>10.83</v>
      </c>
      <c r="K64" s="230">
        <f t="shared" ref="K64:K127" si="44">J64</f>
        <v>10.83</v>
      </c>
      <c r="L64" s="230">
        <f t="shared" ref="L64:L127" si="45">K64</f>
        <v>10.83</v>
      </c>
      <c r="M64" s="230">
        <f t="shared" ref="M64:M127" si="46">L64</f>
        <v>10.83</v>
      </c>
      <c r="N64" s="230">
        <f t="shared" ref="N64:N127" si="47">M64</f>
        <v>10.83</v>
      </c>
      <c r="O64" s="230">
        <f t="shared" ref="O64:O127" si="48">N64</f>
        <v>10.83</v>
      </c>
      <c r="P64" s="230">
        <f t="shared" ref="P64:P127" si="49">O64</f>
        <v>10.83</v>
      </c>
      <c r="Q64" s="230">
        <f t="shared" ref="Q64:Q127" si="50">P64</f>
        <v>10.83</v>
      </c>
      <c r="R64" s="230">
        <f t="shared" ref="R64:R127" si="51">Q64</f>
        <v>10.83</v>
      </c>
      <c r="S64" s="230">
        <f t="shared" ref="S64:S127" si="52">R64</f>
        <v>10.83</v>
      </c>
      <c r="T64" s="230">
        <f t="shared" ref="T64:T127" si="53">S64</f>
        <v>10.83</v>
      </c>
      <c r="U64" s="230">
        <f t="shared" ref="U64:U127" si="54">T64</f>
        <v>10.83</v>
      </c>
      <c r="V64" s="230">
        <f t="shared" ref="V64:V127" si="55">U64</f>
        <v>10.83</v>
      </c>
      <c r="W64" s="230">
        <f t="shared" ref="W64:W127" si="56">V64</f>
        <v>10.83</v>
      </c>
      <c r="X64" s="230">
        <f t="shared" ref="X64:X127" si="57">W64</f>
        <v>10.83</v>
      </c>
      <c r="Y64" s="230">
        <f t="shared" ref="Y64:Y127" si="58">X64</f>
        <v>10.83</v>
      </c>
      <c r="Z64" s="292">
        <f t="shared" ref="Z64:Z127" si="59">Y64</f>
        <v>10.83</v>
      </c>
      <c r="AA64" s="300"/>
      <c r="AB64" s="191">
        <f t="shared" ref="AB64:AB127" si="60">SUMPRODUCT($I$17:$Z$17,I64:Z64)</f>
        <v>10.83</v>
      </c>
      <c r="AC64" s="139">
        <f t="shared" ref="AC64:AC127" si="61">(AB61*$J$5+AB62*$J$6+AB63*$J$7+AB64*$J$8+AB65*$J$9)*BE64</f>
        <v>6.9701559408082634</v>
      </c>
      <c r="AD64" s="132">
        <f t="shared" ref="AD64:AD127" si="62">AD63+AC64-AF64-AG64-AH64</f>
        <v>67.515911241297971</v>
      </c>
      <c r="AE64" s="168">
        <f t="shared" ref="AE64:AE127" si="63">AD63/$O$5</f>
        <v>0.85610906196850944</v>
      </c>
      <c r="AF64" s="192">
        <f t="shared" ref="AF64:AF127" si="64">IF(AC64&gt;O$8,(AC64-O$8)^2/(AC64-O$8+O$5-AD63),0)</f>
        <v>1.5251520027301009</v>
      </c>
      <c r="AG64" s="192">
        <f t="shared" si="30"/>
        <v>3.1591048056504483</v>
      </c>
      <c r="AH64" s="192">
        <f t="shared" ref="AH64:AH127" si="65">IF(AD63&gt;(P$9*O$5),(P$7*AE64*(AD63-(P$9*O$5))),0)</f>
        <v>1.5647271373717373</v>
      </c>
      <c r="AI64" s="168">
        <f t="shared" ref="AI64:AI127" si="66">AI63+AF64-AJ64</f>
        <v>5.0683497091401328</v>
      </c>
      <c r="AJ64" s="192">
        <f t="shared" ref="AJ64:AJ127" si="67">(AI63+AF64)*(1-P$6)</f>
        <v>1.6709386719310151</v>
      </c>
      <c r="AK64" s="132">
        <f t="shared" ref="AK64:AK127" si="68">AK63-AL64+AH64</f>
        <v>46.933120755336319</v>
      </c>
      <c r="AL64" s="192">
        <f t="shared" ref="AL64:AL127" si="69">AK63*(1-P$10)</f>
        <v>0.65518952163655708</v>
      </c>
      <c r="AM64" s="192">
        <f t="shared" si="25"/>
        <v>0</v>
      </c>
      <c r="AN64" s="192">
        <f t="shared" ref="AN64:AN127" si="70">AN63+AM64-AO64</f>
        <v>0</v>
      </c>
      <c r="AO64" s="192">
        <f t="shared" si="26"/>
        <v>0</v>
      </c>
      <c r="AS64" s="132"/>
      <c r="AT64" s="132"/>
      <c r="AU64" s="200"/>
      <c r="AV64" s="132"/>
      <c r="AW64" s="132"/>
      <c r="AX64" s="132"/>
      <c r="AY64" s="132"/>
      <c r="AZ64" s="132"/>
      <c r="BA64" s="167"/>
      <c r="BB64" s="167"/>
      <c r="BD64" s="211">
        <f t="shared" ref="BD64:BD127" si="71">A64</f>
        <v>42469</v>
      </c>
      <c r="BE64" s="210">
        <v>1</v>
      </c>
      <c r="BF64" s="209">
        <v>0.5</v>
      </c>
      <c r="BG64" s="209">
        <v>2</v>
      </c>
      <c r="BH64" s="210"/>
      <c r="BI64" s="209"/>
      <c r="BJ64" s="209"/>
      <c r="BK64" s="168">
        <f t="shared" ref="BK64:BK127" si="72">I64</f>
        <v>10.83</v>
      </c>
      <c r="BL64" s="168">
        <f t="shared" ref="BL64:BL127" si="73">AC64</f>
        <v>6.9701559408082634</v>
      </c>
    </row>
    <row r="65" spans="1:64" ht="13.5" thickBot="1" x14ac:dyDescent="0.25">
      <c r="A65" s="215">
        <f t="shared" si="39"/>
        <v>42470</v>
      </c>
      <c r="B65" s="190"/>
      <c r="C65" s="168"/>
      <c r="D65" s="198"/>
      <c r="E65" s="132">
        <f t="shared" si="41"/>
        <v>1375.0238405121861</v>
      </c>
      <c r="F65" s="168">
        <f t="shared" si="42"/>
        <v>430.93332164802706</v>
      </c>
      <c r="G65" s="300"/>
      <c r="H65" s="127">
        <f>VLOOKUP(MONTH(A65),ETP_Parametros!$A$6:$D$17,4,FALSE)</f>
        <v>3.6</v>
      </c>
      <c r="I65" s="230">
        <f>VLOOKUP(A65,P_Q_obs!$A$4:$F$308,6,FALSE)*1</f>
        <v>0.22</v>
      </c>
      <c r="J65" s="230">
        <f t="shared" si="43"/>
        <v>0.22</v>
      </c>
      <c r="K65" s="230">
        <f t="shared" si="44"/>
        <v>0.22</v>
      </c>
      <c r="L65" s="230">
        <f t="shared" si="45"/>
        <v>0.22</v>
      </c>
      <c r="M65" s="230">
        <f t="shared" si="46"/>
        <v>0.22</v>
      </c>
      <c r="N65" s="230">
        <f t="shared" si="47"/>
        <v>0.22</v>
      </c>
      <c r="O65" s="230">
        <f t="shared" si="48"/>
        <v>0.22</v>
      </c>
      <c r="P65" s="230">
        <f t="shared" si="49"/>
        <v>0.22</v>
      </c>
      <c r="Q65" s="230">
        <f t="shared" si="50"/>
        <v>0.22</v>
      </c>
      <c r="R65" s="230">
        <f t="shared" si="51"/>
        <v>0.22</v>
      </c>
      <c r="S65" s="230">
        <f t="shared" si="52"/>
        <v>0.22</v>
      </c>
      <c r="T65" s="230">
        <f t="shared" si="53"/>
        <v>0.22</v>
      </c>
      <c r="U65" s="230">
        <f t="shared" si="54"/>
        <v>0.22</v>
      </c>
      <c r="V65" s="230">
        <f t="shared" si="55"/>
        <v>0.22</v>
      </c>
      <c r="W65" s="230">
        <f t="shared" si="56"/>
        <v>0.22</v>
      </c>
      <c r="X65" s="230">
        <f t="shared" si="57"/>
        <v>0.22</v>
      </c>
      <c r="Y65" s="230">
        <f t="shared" si="58"/>
        <v>0.22</v>
      </c>
      <c r="Z65" s="292">
        <f t="shared" si="59"/>
        <v>0.22</v>
      </c>
      <c r="AA65" s="300"/>
      <c r="AB65" s="191">
        <f t="shared" si="60"/>
        <v>0.21999999999999995</v>
      </c>
      <c r="AC65" s="139">
        <f t="shared" si="61"/>
        <v>5.409312572508</v>
      </c>
      <c r="AD65" s="132">
        <f t="shared" si="62"/>
        <v>67.31067836472522</v>
      </c>
      <c r="AE65" s="168">
        <f t="shared" si="63"/>
        <v>0.86535233302806491</v>
      </c>
      <c r="AF65" s="192">
        <f t="shared" si="64"/>
        <v>0.83533340636921916</v>
      </c>
      <c r="AG65" s="192">
        <f t="shared" si="30"/>
        <v>3.1591048056504483</v>
      </c>
      <c r="AH65" s="192">
        <f t="shared" si="65"/>
        <v>1.6201072370610845</v>
      </c>
      <c r="AI65" s="168">
        <f t="shared" si="66"/>
        <v>4.4399243524568579</v>
      </c>
      <c r="AJ65" s="192">
        <f t="shared" si="67"/>
        <v>1.4637587630524949</v>
      </c>
      <c r="AK65" s="132">
        <f t="shared" si="68"/>
        <v>47.885090336897463</v>
      </c>
      <c r="AL65" s="192">
        <f t="shared" si="69"/>
        <v>0.66813765549993787</v>
      </c>
      <c r="AM65" s="192">
        <f t="shared" si="25"/>
        <v>0</v>
      </c>
      <c r="AN65" s="192">
        <f t="shared" si="70"/>
        <v>0</v>
      </c>
      <c r="AO65" s="192">
        <f t="shared" si="26"/>
        <v>0</v>
      </c>
      <c r="AS65" s="132"/>
      <c r="AT65" s="132"/>
      <c r="AU65" s="200"/>
      <c r="AV65" s="132"/>
      <c r="AW65" s="132"/>
      <c r="AX65" s="132"/>
      <c r="AY65" s="132"/>
      <c r="AZ65" s="132"/>
      <c r="BA65" s="167"/>
      <c r="BB65" s="167"/>
      <c r="BD65" s="211">
        <f t="shared" si="71"/>
        <v>42470</v>
      </c>
      <c r="BE65" s="210">
        <v>1</v>
      </c>
      <c r="BF65" s="209">
        <v>0.5</v>
      </c>
      <c r="BG65" s="209">
        <v>2</v>
      </c>
      <c r="BH65" s="210"/>
      <c r="BI65" s="209"/>
      <c r="BJ65" s="209"/>
      <c r="BK65" s="168">
        <f t="shared" si="72"/>
        <v>0.22</v>
      </c>
      <c r="BL65" s="168">
        <f t="shared" si="73"/>
        <v>5.409312572508</v>
      </c>
    </row>
    <row r="66" spans="1:64" ht="13.5" thickBot="1" x14ac:dyDescent="0.25">
      <c r="A66" s="215">
        <f t="shared" si="39"/>
        <v>42471</v>
      </c>
      <c r="B66" s="190"/>
      <c r="C66" s="168"/>
      <c r="D66" s="198"/>
      <c r="E66" s="132">
        <f t="shared" si="41"/>
        <v>1297.3332799734665</v>
      </c>
      <c r="F66" s="168">
        <f t="shared" si="42"/>
        <v>439.67417261399186</v>
      </c>
      <c r="G66" s="300"/>
      <c r="H66" s="127">
        <f>VLOOKUP(MONTH(A66),ETP_Parametros!$A$6:$D$17,4,FALSE)</f>
        <v>3.6</v>
      </c>
      <c r="I66" s="230">
        <f>VLOOKUP(A66,P_Q_obs!$A$4:$F$308,6,FALSE)*1</f>
        <v>4.17</v>
      </c>
      <c r="J66" s="230">
        <f t="shared" si="43"/>
        <v>4.17</v>
      </c>
      <c r="K66" s="230">
        <f t="shared" si="44"/>
        <v>4.17</v>
      </c>
      <c r="L66" s="230">
        <f t="shared" si="45"/>
        <v>4.17</v>
      </c>
      <c r="M66" s="230">
        <f t="shared" si="46"/>
        <v>4.17</v>
      </c>
      <c r="N66" s="230">
        <f t="shared" si="47"/>
        <v>4.17</v>
      </c>
      <c r="O66" s="230">
        <f t="shared" si="48"/>
        <v>4.17</v>
      </c>
      <c r="P66" s="230">
        <f t="shared" si="49"/>
        <v>4.17</v>
      </c>
      <c r="Q66" s="230">
        <f t="shared" si="50"/>
        <v>4.17</v>
      </c>
      <c r="R66" s="230">
        <f t="shared" si="51"/>
        <v>4.17</v>
      </c>
      <c r="S66" s="230">
        <f t="shared" si="52"/>
        <v>4.17</v>
      </c>
      <c r="T66" s="230">
        <f t="shared" si="53"/>
        <v>4.17</v>
      </c>
      <c r="U66" s="230">
        <f t="shared" si="54"/>
        <v>4.17</v>
      </c>
      <c r="V66" s="230">
        <f t="shared" si="55"/>
        <v>4.17</v>
      </c>
      <c r="W66" s="230">
        <f t="shared" si="56"/>
        <v>4.17</v>
      </c>
      <c r="X66" s="230">
        <f t="shared" si="57"/>
        <v>4.17</v>
      </c>
      <c r="Y66" s="230">
        <f t="shared" si="58"/>
        <v>4.17</v>
      </c>
      <c r="Z66" s="292">
        <f t="shared" si="59"/>
        <v>4.17</v>
      </c>
      <c r="AA66" s="300"/>
      <c r="AB66" s="191">
        <f t="shared" si="60"/>
        <v>4.1699999999999982</v>
      </c>
      <c r="AC66" s="139">
        <f t="shared" si="61"/>
        <v>5.639999469504021</v>
      </c>
      <c r="AD66" s="132">
        <f t="shared" si="62"/>
        <v>67.264032644447511</v>
      </c>
      <c r="AE66" s="168">
        <f t="shared" si="63"/>
        <v>0.86272186051734723</v>
      </c>
      <c r="AF66" s="192">
        <f t="shared" si="64"/>
        <v>0.9232770459352132</v>
      </c>
      <c r="AG66" s="192">
        <f t="shared" si="30"/>
        <v>3.1591048056504483</v>
      </c>
      <c r="AH66" s="192">
        <f t="shared" si="65"/>
        <v>1.6042633381960749</v>
      </c>
      <c r="AI66" s="168">
        <f t="shared" si="66"/>
        <v>4.0334496330427081</v>
      </c>
      <c r="AJ66" s="192">
        <f t="shared" si="67"/>
        <v>1.3297517653493631</v>
      </c>
      <c r="AK66" s="132">
        <f t="shared" si="68"/>
        <v>48.807663826300356</v>
      </c>
      <c r="AL66" s="192">
        <f t="shared" si="69"/>
        <v>0.68168984879318273</v>
      </c>
      <c r="AM66" s="192">
        <f t="shared" si="25"/>
        <v>0</v>
      </c>
      <c r="AN66" s="192">
        <f t="shared" si="70"/>
        <v>0</v>
      </c>
      <c r="AO66" s="192">
        <f t="shared" si="26"/>
        <v>0</v>
      </c>
      <c r="AS66" s="132"/>
      <c r="AT66" s="132"/>
      <c r="AU66" s="200"/>
      <c r="AV66" s="132"/>
      <c r="AW66" s="132"/>
      <c r="AX66" s="132"/>
      <c r="AY66" s="132"/>
      <c r="AZ66" s="132"/>
      <c r="BA66" s="167"/>
      <c r="BB66" s="167"/>
      <c r="BD66" s="211">
        <f t="shared" si="71"/>
        <v>42471</v>
      </c>
      <c r="BE66" s="210">
        <v>1</v>
      </c>
      <c r="BF66" s="209">
        <v>0.5</v>
      </c>
      <c r="BG66" s="209">
        <v>2</v>
      </c>
      <c r="BH66" s="210"/>
      <c r="BI66" s="209"/>
      <c r="BJ66" s="209"/>
      <c r="BK66" s="168">
        <f t="shared" si="72"/>
        <v>4.17</v>
      </c>
      <c r="BL66" s="168">
        <f t="shared" si="73"/>
        <v>5.639999469504021</v>
      </c>
    </row>
    <row r="67" spans="1:64" ht="13.5" thickBot="1" x14ac:dyDescent="0.25">
      <c r="A67" s="215">
        <f t="shared" si="39"/>
        <v>42472</v>
      </c>
      <c r="B67" s="190"/>
      <c r="C67" s="168"/>
      <c r="D67" s="198"/>
      <c r="E67" s="132">
        <f t="shared" si="41"/>
        <v>1500.366921231793</v>
      </c>
      <c r="F67" s="168">
        <f t="shared" si="42"/>
        <v>448.14511279129931</v>
      </c>
      <c r="G67" s="300"/>
      <c r="H67" s="127">
        <f>VLOOKUP(MONTH(A67),ETP_Parametros!$A$6:$D$17,4,FALSE)</f>
        <v>3.6</v>
      </c>
      <c r="I67" s="230">
        <f>VLOOKUP(A67,P_Q_obs!$A$4:$F$308,6,FALSE)*1</f>
        <v>18.170000000000002</v>
      </c>
      <c r="J67" s="230">
        <f t="shared" si="43"/>
        <v>18.170000000000002</v>
      </c>
      <c r="K67" s="230">
        <f t="shared" si="44"/>
        <v>18.170000000000002</v>
      </c>
      <c r="L67" s="230">
        <f t="shared" si="45"/>
        <v>18.170000000000002</v>
      </c>
      <c r="M67" s="230">
        <f t="shared" si="46"/>
        <v>18.170000000000002</v>
      </c>
      <c r="N67" s="230">
        <f t="shared" si="47"/>
        <v>18.170000000000002</v>
      </c>
      <c r="O67" s="230">
        <f t="shared" si="48"/>
        <v>18.170000000000002</v>
      </c>
      <c r="P67" s="230">
        <f t="shared" si="49"/>
        <v>18.170000000000002</v>
      </c>
      <c r="Q67" s="230">
        <f t="shared" si="50"/>
        <v>18.170000000000002</v>
      </c>
      <c r="R67" s="230">
        <f t="shared" si="51"/>
        <v>18.170000000000002</v>
      </c>
      <c r="S67" s="230">
        <f t="shared" si="52"/>
        <v>18.170000000000002</v>
      </c>
      <c r="T67" s="230">
        <f t="shared" si="53"/>
        <v>18.170000000000002</v>
      </c>
      <c r="U67" s="230">
        <f t="shared" si="54"/>
        <v>18.170000000000002</v>
      </c>
      <c r="V67" s="230">
        <f t="shared" si="55"/>
        <v>18.170000000000002</v>
      </c>
      <c r="W67" s="230">
        <f t="shared" si="56"/>
        <v>18.170000000000002</v>
      </c>
      <c r="X67" s="230">
        <f t="shared" si="57"/>
        <v>18.170000000000002</v>
      </c>
      <c r="Y67" s="230">
        <f t="shared" si="58"/>
        <v>18.170000000000002</v>
      </c>
      <c r="Z67" s="292">
        <f t="shared" si="59"/>
        <v>18.170000000000002</v>
      </c>
      <c r="AA67" s="300"/>
      <c r="AB67" s="191">
        <f t="shared" si="60"/>
        <v>18.169999999999998</v>
      </c>
      <c r="AC67" s="139">
        <f t="shared" si="61"/>
        <v>8.6596207902264606</v>
      </c>
      <c r="AD67" s="132">
        <f t="shared" si="62"/>
        <v>68.617465945543344</v>
      </c>
      <c r="AE67" s="168">
        <f t="shared" si="63"/>
        <v>0.86212400169968528</v>
      </c>
      <c r="AF67" s="192">
        <f t="shared" si="64"/>
        <v>2.5464110902007953</v>
      </c>
      <c r="AG67" s="192">
        <f t="shared" si="30"/>
        <v>3.1591048056504483</v>
      </c>
      <c r="AH67" s="192">
        <f t="shared" si="65"/>
        <v>1.6006715932793931</v>
      </c>
      <c r="AI67" s="168">
        <f t="shared" si="66"/>
        <v>4.9484505332198401</v>
      </c>
      <c r="AJ67" s="192">
        <f t="shared" si="67"/>
        <v>1.6314101900236633</v>
      </c>
      <c r="AK67" s="132">
        <f t="shared" si="68"/>
        <v>49.713511858851035</v>
      </c>
      <c r="AL67" s="192">
        <f t="shared" si="69"/>
        <v>0.69482356072871299</v>
      </c>
      <c r="AM67" s="192">
        <f t="shared" si="25"/>
        <v>0</v>
      </c>
      <c r="AN67" s="192">
        <f t="shared" si="70"/>
        <v>0</v>
      </c>
      <c r="AO67" s="192">
        <f t="shared" si="26"/>
        <v>0</v>
      </c>
      <c r="AS67" s="132"/>
      <c r="AT67" s="132"/>
      <c r="AU67" s="200"/>
      <c r="AV67" s="132"/>
      <c r="AW67" s="132"/>
      <c r="AX67" s="132"/>
      <c r="AY67" s="132"/>
      <c r="AZ67" s="132"/>
      <c r="BA67" s="167"/>
      <c r="BB67" s="167"/>
      <c r="BD67" s="211">
        <f t="shared" si="71"/>
        <v>42472</v>
      </c>
      <c r="BE67" s="210">
        <v>1</v>
      </c>
      <c r="BF67" s="209">
        <v>0.5</v>
      </c>
      <c r="BG67" s="209">
        <v>2</v>
      </c>
      <c r="BH67" s="210"/>
      <c r="BI67" s="209"/>
      <c r="BJ67" s="209"/>
      <c r="BK67" s="168">
        <f t="shared" si="72"/>
        <v>18.170000000000002</v>
      </c>
      <c r="BL67" s="168">
        <f t="shared" si="73"/>
        <v>8.6596207902264606</v>
      </c>
    </row>
    <row r="68" spans="1:64" ht="13.5" thickBot="1" x14ac:dyDescent="0.25">
      <c r="A68" s="215">
        <f t="shared" si="39"/>
        <v>42473</v>
      </c>
      <c r="B68" s="190"/>
      <c r="C68" s="168"/>
      <c r="D68" s="198"/>
      <c r="E68" s="132">
        <f t="shared" si="41"/>
        <v>1594.656302100771</v>
      </c>
      <c r="F68" s="168">
        <f t="shared" si="42"/>
        <v>456.46248217336858</v>
      </c>
      <c r="G68" s="300"/>
      <c r="H68" s="127">
        <f>VLOOKUP(MONTH(A68),ETP_Parametros!$A$6:$D$17,4,FALSE)</f>
        <v>3.6</v>
      </c>
      <c r="I68" s="230">
        <f>VLOOKUP(A68,P_Q_obs!$A$4:$F$308,6,FALSE)*1</f>
        <v>0.97</v>
      </c>
      <c r="J68" s="230">
        <f t="shared" si="43"/>
        <v>0.97</v>
      </c>
      <c r="K68" s="230">
        <f t="shared" si="44"/>
        <v>0.97</v>
      </c>
      <c r="L68" s="230">
        <f t="shared" si="45"/>
        <v>0.97</v>
      </c>
      <c r="M68" s="230">
        <f t="shared" si="46"/>
        <v>0.97</v>
      </c>
      <c r="N68" s="230">
        <f t="shared" si="47"/>
        <v>0.97</v>
      </c>
      <c r="O68" s="230">
        <f t="shared" si="48"/>
        <v>0.97</v>
      </c>
      <c r="P68" s="230">
        <f t="shared" si="49"/>
        <v>0.97</v>
      </c>
      <c r="Q68" s="230">
        <f t="shared" si="50"/>
        <v>0.97</v>
      </c>
      <c r="R68" s="230">
        <f t="shared" si="51"/>
        <v>0.97</v>
      </c>
      <c r="S68" s="230">
        <f t="shared" si="52"/>
        <v>0.97</v>
      </c>
      <c r="T68" s="230">
        <f t="shared" si="53"/>
        <v>0.97</v>
      </c>
      <c r="U68" s="230">
        <f t="shared" si="54"/>
        <v>0.97</v>
      </c>
      <c r="V68" s="230">
        <f t="shared" si="55"/>
        <v>0.97</v>
      </c>
      <c r="W68" s="230">
        <f t="shared" si="56"/>
        <v>0.97</v>
      </c>
      <c r="X68" s="230">
        <f t="shared" si="57"/>
        <v>0.97</v>
      </c>
      <c r="Y68" s="230">
        <f t="shared" si="58"/>
        <v>0.97</v>
      </c>
      <c r="Z68" s="292">
        <f t="shared" si="59"/>
        <v>0.97</v>
      </c>
      <c r="AA68" s="300"/>
      <c r="AB68" s="191">
        <f t="shared" si="60"/>
        <v>0.96999999999999986</v>
      </c>
      <c r="AC68" s="139">
        <f t="shared" si="61"/>
        <v>7.7292108731617439</v>
      </c>
      <c r="AD68" s="132">
        <f t="shared" si="62"/>
        <v>69.312268230368076</v>
      </c>
      <c r="AE68" s="168">
        <f t="shared" si="63"/>
        <v>0.8794709743342598</v>
      </c>
      <c r="AF68" s="192">
        <f t="shared" si="64"/>
        <v>2.1690191400979377</v>
      </c>
      <c r="AG68" s="192">
        <f t="shared" si="30"/>
        <v>3.1591048056504483</v>
      </c>
      <c r="AH68" s="192">
        <f t="shared" si="65"/>
        <v>1.7062846425886247</v>
      </c>
      <c r="AI68" s="168">
        <f t="shared" si="66"/>
        <v>5.3527647592430636</v>
      </c>
      <c r="AJ68" s="192">
        <f t="shared" si="67"/>
        <v>1.7647049140747149</v>
      </c>
      <c r="AK68" s="132">
        <f t="shared" si="68"/>
        <v>50.712077331576779</v>
      </c>
      <c r="AL68" s="192">
        <f t="shared" si="69"/>
        <v>0.70771916986288352</v>
      </c>
      <c r="AM68" s="192">
        <f t="shared" si="25"/>
        <v>0</v>
      </c>
      <c r="AN68" s="192">
        <f t="shared" si="70"/>
        <v>0</v>
      </c>
      <c r="AO68" s="192">
        <f t="shared" si="26"/>
        <v>0</v>
      </c>
      <c r="AS68" s="132"/>
      <c r="AT68" s="132"/>
      <c r="AU68" s="200"/>
      <c r="AV68" s="132"/>
      <c r="AW68" s="132"/>
      <c r="AX68" s="132"/>
      <c r="AY68" s="132"/>
      <c r="AZ68" s="132"/>
      <c r="BA68" s="167"/>
      <c r="BB68" s="167"/>
      <c r="BD68" s="211">
        <f t="shared" si="71"/>
        <v>42473</v>
      </c>
      <c r="BE68" s="210">
        <v>1</v>
      </c>
      <c r="BF68" s="209">
        <v>0.5</v>
      </c>
      <c r="BG68" s="209">
        <v>2</v>
      </c>
      <c r="BH68" s="210"/>
      <c r="BI68" s="209"/>
      <c r="BJ68" s="209"/>
      <c r="BK68" s="168">
        <f t="shared" si="72"/>
        <v>0.97</v>
      </c>
      <c r="BL68" s="168">
        <f t="shared" si="73"/>
        <v>7.7292108731617439</v>
      </c>
    </row>
    <row r="69" spans="1:64" ht="13.5" thickBot="1" x14ac:dyDescent="0.25">
      <c r="A69" s="215">
        <f t="shared" si="39"/>
        <v>42474</v>
      </c>
      <c r="B69" s="190"/>
      <c r="C69" s="168"/>
      <c r="D69" s="198"/>
      <c r="E69" s="132">
        <f t="shared" si="41"/>
        <v>1321.62129691363</v>
      </c>
      <c r="F69" s="168">
        <f t="shared" si="42"/>
        <v>465.63117006625299</v>
      </c>
      <c r="G69" s="300"/>
      <c r="H69" s="127">
        <f>VLOOKUP(MONTH(A69),ETP_Parametros!$A$6:$D$17,4,FALSE)</f>
        <v>3.6</v>
      </c>
      <c r="I69" s="230">
        <f>VLOOKUP(A69,P_Q_obs!$A$4:$F$308,6,FALSE)*1</f>
        <v>0.12</v>
      </c>
      <c r="J69" s="230">
        <f t="shared" si="43"/>
        <v>0.12</v>
      </c>
      <c r="K69" s="230">
        <f t="shared" si="44"/>
        <v>0.12</v>
      </c>
      <c r="L69" s="230">
        <f t="shared" si="45"/>
        <v>0.12</v>
      </c>
      <c r="M69" s="230">
        <f t="shared" si="46"/>
        <v>0.12</v>
      </c>
      <c r="N69" s="230">
        <f t="shared" si="47"/>
        <v>0.12</v>
      </c>
      <c r="O69" s="230">
        <f t="shared" si="48"/>
        <v>0.12</v>
      </c>
      <c r="P69" s="230">
        <f t="shared" si="49"/>
        <v>0.12</v>
      </c>
      <c r="Q69" s="230">
        <f t="shared" si="50"/>
        <v>0.12</v>
      </c>
      <c r="R69" s="230">
        <f t="shared" si="51"/>
        <v>0.12</v>
      </c>
      <c r="S69" s="230">
        <f t="shared" si="52"/>
        <v>0.12</v>
      </c>
      <c r="T69" s="230">
        <f t="shared" si="53"/>
        <v>0.12</v>
      </c>
      <c r="U69" s="230">
        <f t="shared" si="54"/>
        <v>0.12</v>
      </c>
      <c r="V69" s="230">
        <f t="shared" si="55"/>
        <v>0.12</v>
      </c>
      <c r="W69" s="230">
        <f t="shared" si="56"/>
        <v>0.12</v>
      </c>
      <c r="X69" s="230">
        <f t="shared" si="57"/>
        <v>0.12</v>
      </c>
      <c r="Y69" s="230">
        <f t="shared" si="58"/>
        <v>0.12</v>
      </c>
      <c r="Z69" s="292">
        <f t="shared" si="59"/>
        <v>0.12</v>
      </c>
      <c r="AA69" s="300"/>
      <c r="AB69" s="191">
        <f t="shared" si="60"/>
        <v>0.12000000000000001</v>
      </c>
      <c r="AC69" s="139">
        <f t="shared" si="61"/>
        <v>0.5612425189190936</v>
      </c>
      <c r="AD69" s="132">
        <f t="shared" si="62"/>
        <v>65.242761724062447</v>
      </c>
      <c r="AE69" s="168">
        <f t="shared" si="63"/>
        <v>0.88837626446679585</v>
      </c>
      <c r="AF69" s="192">
        <f t="shared" si="64"/>
        <v>0</v>
      </c>
      <c r="AG69" s="192">
        <f t="shared" si="30"/>
        <v>2.8691217128046627</v>
      </c>
      <c r="AH69" s="192">
        <f t="shared" si="65"/>
        <v>1.761627312420059</v>
      </c>
      <c r="AI69" s="168">
        <f t="shared" si="66"/>
        <v>4.025600653446606</v>
      </c>
      <c r="AJ69" s="192">
        <f t="shared" si="67"/>
        <v>1.3271641057964574</v>
      </c>
      <c r="AK69" s="132">
        <f t="shared" si="68"/>
        <v>51.751769943969485</v>
      </c>
      <c r="AL69" s="192">
        <f t="shared" si="69"/>
        <v>0.72193470002735283</v>
      </c>
      <c r="AM69" s="192">
        <f t="shared" si="25"/>
        <v>0</v>
      </c>
      <c r="AN69" s="192">
        <f t="shared" si="70"/>
        <v>0</v>
      </c>
      <c r="AO69" s="192">
        <f t="shared" si="26"/>
        <v>0</v>
      </c>
      <c r="AS69" s="132"/>
      <c r="AT69" s="132"/>
      <c r="AU69" s="200"/>
      <c r="AV69" s="132"/>
      <c r="AW69" s="132"/>
      <c r="AX69" s="132"/>
      <c r="AY69" s="132"/>
      <c r="AZ69" s="132"/>
      <c r="BA69" s="167"/>
      <c r="BB69" s="167"/>
      <c r="BD69" s="211">
        <f t="shared" si="71"/>
        <v>42474</v>
      </c>
      <c r="BE69" s="210">
        <v>1</v>
      </c>
      <c r="BF69" s="209">
        <v>0.5</v>
      </c>
      <c r="BG69" s="209">
        <v>2</v>
      </c>
      <c r="BH69" s="210"/>
      <c r="BI69" s="209"/>
      <c r="BJ69" s="209"/>
      <c r="BK69" s="168">
        <f t="shared" si="72"/>
        <v>0.12</v>
      </c>
      <c r="BL69" s="168">
        <f t="shared" si="73"/>
        <v>0.5612425189190936</v>
      </c>
    </row>
    <row r="70" spans="1:64" ht="13.5" thickBot="1" x14ac:dyDescent="0.25">
      <c r="A70" s="215">
        <f t="shared" si="39"/>
        <v>42475</v>
      </c>
      <c r="B70" s="190"/>
      <c r="C70" s="168"/>
      <c r="D70" s="198"/>
      <c r="E70" s="132">
        <f t="shared" si="41"/>
        <v>1118.9334785197007</v>
      </c>
      <c r="F70" s="168">
        <f t="shared" si="42"/>
        <v>475.17748157805175</v>
      </c>
      <c r="G70" s="300"/>
      <c r="H70" s="127">
        <f>VLOOKUP(MONTH(A70),ETP_Parametros!$A$6:$D$17,4,FALSE)</f>
        <v>3.6</v>
      </c>
      <c r="I70" s="230">
        <f>VLOOKUP(A70,P_Q_obs!$A$4:$F$308,6,FALSE)*1</f>
        <v>0.14000000000000001</v>
      </c>
      <c r="J70" s="230">
        <f t="shared" si="43"/>
        <v>0.14000000000000001</v>
      </c>
      <c r="K70" s="230">
        <f t="shared" si="44"/>
        <v>0.14000000000000001</v>
      </c>
      <c r="L70" s="230">
        <f t="shared" si="45"/>
        <v>0.14000000000000001</v>
      </c>
      <c r="M70" s="230">
        <f t="shared" si="46"/>
        <v>0.14000000000000001</v>
      </c>
      <c r="N70" s="230">
        <f t="shared" si="47"/>
        <v>0.14000000000000001</v>
      </c>
      <c r="O70" s="230">
        <f t="shared" si="48"/>
        <v>0.14000000000000001</v>
      </c>
      <c r="P70" s="230">
        <f t="shared" si="49"/>
        <v>0.14000000000000001</v>
      </c>
      <c r="Q70" s="230">
        <f t="shared" si="50"/>
        <v>0.14000000000000001</v>
      </c>
      <c r="R70" s="230">
        <f t="shared" si="51"/>
        <v>0.14000000000000001</v>
      </c>
      <c r="S70" s="230">
        <f t="shared" si="52"/>
        <v>0.14000000000000001</v>
      </c>
      <c r="T70" s="230">
        <f t="shared" si="53"/>
        <v>0.14000000000000001</v>
      </c>
      <c r="U70" s="230">
        <f t="shared" si="54"/>
        <v>0.14000000000000001</v>
      </c>
      <c r="V70" s="230">
        <f t="shared" si="55"/>
        <v>0.14000000000000001</v>
      </c>
      <c r="W70" s="230">
        <f t="shared" si="56"/>
        <v>0.14000000000000001</v>
      </c>
      <c r="X70" s="230">
        <f t="shared" si="57"/>
        <v>0.14000000000000001</v>
      </c>
      <c r="Y70" s="230">
        <f t="shared" si="58"/>
        <v>0.14000000000000001</v>
      </c>
      <c r="Z70" s="292">
        <f t="shared" si="59"/>
        <v>0.14000000000000001</v>
      </c>
      <c r="AA70" s="300"/>
      <c r="AB70" s="191">
        <f t="shared" si="60"/>
        <v>0.13999999999999996</v>
      </c>
      <c r="AC70" s="139">
        <f t="shared" si="61"/>
        <v>0.56348616618781167</v>
      </c>
      <c r="AD70" s="132">
        <f t="shared" si="62"/>
        <v>61.623923911359249</v>
      </c>
      <c r="AE70" s="168">
        <f t="shared" si="63"/>
        <v>0.83621734540964765</v>
      </c>
      <c r="AF70" s="192">
        <f t="shared" si="64"/>
        <v>0</v>
      </c>
      <c r="AG70" s="192">
        <f t="shared" si="30"/>
        <v>2.7339874945750591</v>
      </c>
      <c r="AH70" s="192">
        <f t="shared" si="65"/>
        <v>1.4483364843159552</v>
      </c>
      <c r="AI70" s="168">
        <f t="shared" si="66"/>
        <v>3.0274935196893207</v>
      </c>
      <c r="AJ70" s="192">
        <f t="shared" si="67"/>
        <v>0.99810713375728521</v>
      </c>
      <c r="AK70" s="132">
        <f t="shared" si="68"/>
        <v>52.463370714106354</v>
      </c>
      <c r="AL70" s="192">
        <f t="shared" si="69"/>
        <v>0.73673571417908468</v>
      </c>
      <c r="AM70" s="192">
        <f t="shared" si="25"/>
        <v>0</v>
      </c>
      <c r="AN70" s="192">
        <f t="shared" si="70"/>
        <v>0</v>
      </c>
      <c r="AO70" s="192">
        <f t="shared" si="26"/>
        <v>0</v>
      </c>
      <c r="AS70" s="132"/>
      <c r="AT70" s="132"/>
      <c r="AU70" s="200"/>
      <c r="AV70" s="132"/>
      <c r="AW70" s="132"/>
      <c r="AX70" s="132"/>
      <c r="AY70" s="132"/>
      <c r="AZ70" s="132"/>
      <c r="BA70" s="167"/>
      <c r="BB70" s="167"/>
      <c r="BD70" s="211">
        <f t="shared" si="71"/>
        <v>42475</v>
      </c>
      <c r="BE70" s="210">
        <v>1</v>
      </c>
      <c r="BF70" s="209">
        <v>0.5</v>
      </c>
      <c r="BG70" s="209">
        <v>2</v>
      </c>
      <c r="BH70" s="210"/>
      <c r="BI70" s="209"/>
      <c r="BJ70" s="209"/>
      <c r="BK70" s="168">
        <f t="shared" si="72"/>
        <v>0.14000000000000001</v>
      </c>
      <c r="BL70" s="168">
        <f t="shared" si="73"/>
        <v>0.56348616618781167</v>
      </c>
    </row>
    <row r="71" spans="1:64" ht="13.5" thickBot="1" x14ac:dyDescent="0.25">
      <c r="A71" s="215">
        <f t="shared" si="39"/>
        <v>42476</v>
      </c>
      <c r="B71" s="190"/>
      <c r="C71" s="168"/>
      <c r="D71" s="198"/>
      <c r="E71" s="132">
        <f t="shared" si="41"/>
        <v>965.85448168090568</v>
      </c>
      <c r="F71" s="168">
        <f t="shared" si="42"/>
        <v>481.71129988433836</v>
      </c>
      <c r="G71" s="300"/>
      <c r="H71" s="127">
        <f>VLOOKUP(MONTH(A71),ETP_Parametros!$A$6:$D$17,4,FALSE)</f>
        <v>3.6</v>
      </c>
      <c r="I71" s="230">
        <f>VLOOKUP(A71,P_Q_obs!$A$4:$F$308,6,FALSE)*1</f>
        <v>0.22</v>
      </c>
      <c r="J71" s="230">
        <f t="shared" si="43"/>
        <v>0.22</v>
      </c>
      <c r="K71" s="230">
        <f t="shared" si="44"/>
        <v>0.22</v>
      </c>
      <c r="L71" s="230">
        <f t="shared" si="45"/>
        <v>0.22</v>
      </c>
      <c r="M71" s="230">
        <f t="shared" si="46"/>
        <v>0.22</v>
      </c>
      <c r="N71" s="230">
        <f t="shared" si="47"/>
        <v>0.22</v>
      </c>
      <c r="O71" s="230">
        <f t="shared" si="48"/>
        <v>0.22</v>
      </c>
      <c r="P71" s="230">
        <f t="shared" si="49"/>
        <v>0.22</v>
      </c>
      <c r="Q71" s="230">
        <f t="shared" si="50"/>
        <v>0.22</v>
      </c>
      <c r="R71" s="230">
        <f t="shared" si="51"/>
        <v>0.22</v>
      </c>
      <c r="S71" s="230">
        <f t="shared" si="52"/>
        <v>0.22</v>
      </c>
      <c r="T71" s="230">
        <f t="shared" si="53"/>
        <v>0.22</v>
      </c>
      <c r="U71" s="230">
        <f t="shared" si="54"/>
        <v>0.22</v>
      </c>
      <c r="V71" s="230">
        <f t="shared" si="55"/>
        <v>0.22</v>
      </c>
      <c r="W71" s="230">
        <f t="shared" si="56"/>
        <v>0.22</v>
      </c>
      <c r="X71" s="230">
        <f t="shared" si="57"/>
        <v>0.22</v>
      </c>
      <c r="Y71" s="230">
        <f t="shared" si="58"/>
        <v>0.22</v>
      </c>
      <c r="Z71" s="292">
        <f t="shared" si="59"/>
        <v>0.22</v>
      </c>
      <c r="AA71" s="300"/>
      <c r="AB71" s="191">
        <f t="shared" si="60"/>
        <v>0.21999999999999995</v>
      </c>
      <c r="AC71" s="139">
        <f t="shared" si="61"/>
        <v>0.70097767200160033</v>
      </c>
      <c r="AD71" s="132">
        <f t="shared" si="62"/>
        <v>58.490677804955588</v>
      </c>
      <c r="AE71" s="168">
        <f t="shared" si="63"/>
        <v>0.78983465299687927</v>
      </c>
      <c r="AF71" s="192">
        <f t="shared" si="64"/>
        <v>0</v>
      </c>
      <c r="AG71" s="192">
        <f t="shared" si="30"/>
        <v>2.6424916636293512</v>
      </c>
      <c r="AH71" s="192">
        <f t="shared" si="65"/>
        <v>1.1917321147759121</v>
      </c>
      <c r="AI71" s="168">
        <f t="shared" si="66"/>
        <v>2.2768569962133234</v>
      </c>
      <c r="AJ71" s="192">
        <f t="shared" si="67"/>
        <v>0.75063652347599719</v>
      </c>
      <c r="AK71" s="132">
        <f t="shared" si="68"/>
        <v>52.908236800277898</v>
      </c>
      <c r="AL71" s="192">
        <f t="shared" si="69"/>
        <v>0.7468660286043648</v>
      </c>
      <c r="AM71" s="192">
        <f t="shared" si="25"/>
        <v>0</v>
      </c>
      <c r="AN71" s="192">
        <f t="shared" si="70"/>
        <v>0</v>
      </c>
      <c r="AO71" s="192">
        <f t="shared" si="26"/>
        <v>0</v>
      </c>
      <c r="AS71" s="132"/>
      <c r="AT71" s="132"/>
      <c r="AU71" s="200"/>
      <c r="AV71" s="132"/>
      <c r="AW71" s="132"/>
      <c r="AX71" s="132"/>
      <c r="AY71" s="132"/>
      <c r="AZ71" s="132"/>
      <c r="BA71" s="167"/>
      <c r="BB71" s="167"/>
      <c r="BD71" s="211">
        <f t="shared" si="71"/>
        <v>42476</v>
      </c>
      <c r="BE71" s="210">
        <v>1</v>
      </c>
      <c r="BF71" s="209">
        <v>0.5</v>
      </c>
      <c r="BG71" s="209">
        <v>2</v>
      </c>
      <c r="BH71" s="210"/>
      <c r="BI71" s="209"/>
      <c r="BJ71" s="209"/>
      <c r="BK71" s="168">
        <f t="shared" si="72"/>
        <v>0.22</v>
      </c>
      <c r="BL71" s="168">
        <f t="shared" si="73"/>
        <v>0.70097767200160033</v>
      </c>
    </row>
    <row r="72" spans="1:64" ht="13.5" thickBot="1" x14ac:dyDescent="0.25">
      <c r="A72" s="215">
        <f t="shared" si="39"/>
        <v>42477</v>
      </c>
      <c r="B72" s="190"/>
      <c r="C72" s="168"/>
      <c r="D72" s="198"/>
      <c r="E72" s="132">
        <f t="shared" si="41"/>
        <v>876.61158132788159</v>
      </c>
      <c r="F72" s="168">
        <f t="shared" si="42"/>
        <v>485.79599779313151</v>
      </c>
      <c r="G72" s="300"/>
      <c r="H72" s="127">
        <f>VLOOKUP(MONTH(A72),ETP_Parametros!$A$6:$D$17,4,FALSE)</f>
        <v>3.6</v>
      </c>
      <c r="I72" s="230">
        <f>VLOOKUP(A72,P_Q_obs!$A$4:$F$308,6,FALSE)*1</f>
        <v>2.54</v>
      </c>
      <c r="J72" s="230">
        <f t="shared" si="43"/>
        <v>2.54</v>
      </c>
      <c r="K72" s="230">
        <f t="shared" si="44"/>
        <v>2.54</v>
      </c>
      <c r="L72" s="230">
        <f t="shared" si="45"/>
        <v>2.54</v>
      </c>
      <c r="M72" s="230">
        <f t="shared" si="46"/>
        <v>2.54</v>
      </c>
      <c r="N72" s="230">
        <f t="shared" si="47"/>
        <v>2.54</v>
      </c>
      <c r="O72" s="230">
        <f t="shared" si="48"/>
        <v>2.54</v>
      </c>
      <c r="P72" s="230">
        <f t="shared" si="49"/>
        <v>2.54</v>
      </c>
      <c r="Q72" s="230">
        <f t="shared" si="50"/>
        <v>2.54</v>
      </c>
      <c r="R72" s="230">
        <f t="shared" si="51"/>
        <v>2.54</v>
      </c>
      <c r="S72" s="230">
        <f t="shared" si="52"/>
        <v>2.54</v>
      </c>
      <c r="T72" s="230">
        <f t="shared" si="53"/>
        <v>2.54</v>
      </c>
      <c r="U72" s="230">
        <f t="shared" si="54"/>
        <v>2.54</v>
      </c>
      <c r="V72" s="230">
        <f t="shared" si="55"/>
        <v>2.54</v>
      </c>
      <c r="W72" s="230">
        <f t="shared" si="56"/>
        <v>2.54</v>
      </c>
      <c r="X72" s="230">
        <f t="shared" si="57"/>
        <v>2.54</v>
      </c>
      <c r="Y72" s="230">
        <f t="shared" si="58"/>
        <v>2.54</v>
      </c>
      <c r="Z72" s="292">
        <f t="shared" si="59"/>
        <v>2.54</v>
      </c>
      <c r="AA72" s="300"/>
      <c r="AB72" s="191">
        <f t="shared" si="60"/>
        <v>2.54</v>
      </c>
      <c r="AC72" s="139">
        <f t="shared" si="61"/>
        <v>3.8916058845074026</v>
      </c>
      <c r="AD72" s="132">
        <f t="shared" si="62"/>
        <v>58.069865887417059</v>
      </c>
      <c r="AE72" s="168">
        <f t="shared" si="63"/>
        <v>0.74967579594706091</v>
      </c>
      <c r="AF72" s="192">
        <f t="shared" si="64"/>
        <v>0.16703086802230926</v>
      </c>
      <c r="AG72" s="192">
        <f t="shared" si="30"/>
        <v>3.1591048056504483</v>
      </c>
      <c r="AH72" s="192">
        <f t="shared" si="65"/>
        <v>0.98628212837317908</v>
      </c>
      <c r="AI72" s="168">
        <f t="shared" si="66"/>
        <v>1.8379504846031016</v>
      </c>
      <c r="AJ72" s="192">
        <f t="shared" si="67"/>
        <v>0.60593737963253091</v>
      </c>
      <c r="AK72" s="132">
        <f t="shared" si="68"/>
        <v>53.141319807786012</v>
      </c>
      <c r="AL72" s="192">
        <f t="shared" si="69"/>
        <v>0.75319912086506413</v>
      </c>
      <c r="AM72" s="192">
        <f t="shared" si="25"/>
        <v>0</v>
      </c>
      <c r="AN72" s="192">
        <f t="shared" si="70"/>
        <v>0</v>
      </c>
      <c r="AO72" s="192">
        <f t="shared" si="26"/>
        <v>0</v>
      </c>
      <c r="AS72" s="132"/>
      <c r="AT72" s="132"/>
      <c r="AU72" s="200"/>
      <c r="AV72" s="132"/>
      <c r="AW72" s="132"/>
      <c r="AX72" s="132"/>
      <c r="AY72" s="132"/>
      <c r="AZ72" s="132"/>
      <c r="BA72" s="167"/>
      <c r="BB72" s="167"/>
      <c r="BD72" s="211">
        <f t="shared" si="71"/>
        <v>42477</v>
      </c>
      <c r="BE72" s="210">
        <v>1</v>
      </c>
      <c r="BF72" s="209">
        <v>0.5</v>
      </c>
      <c r="BG72" s="209">
        <v>2</v>
      </c>
      <c r="BH72" s="210"/>
      <c r="BI72" s="209"/>
      <c r="BJ72" s="209"/>
      <c r="BK72" s="168">
        <f t="shared" si="72"/>
        <v>2.54</v>
      </c>
      <c r="BL72" s="168">
        <f t="shared" si="73"/>
        <v>3.8916058845074026</v>
      </c>
    </row>
    <row r="73" spans="1:64" ht="13.5" thickBot="1" x14ac:dyDescent="0.25">
      <c r="A73" s="215">
        <f t="shared" si="39"/>
        <v>42478</v>
      </c>
      <c r="B73" s="190"/>
      <c r="C73" s="168"/>
      <c r="D73" s="198"/>
      <c r="E73" s="132">
        <f t="shared" si="41"/>
        <v>1518.8428578188712</v>
      </c>
      <c r="F73" s="168">
        <f t="shared" si="42"/>
        <v>487.93613322475551</v>
      </c>
      <c r="G73" s="300"/>
      <c r="H73" s="127">
        <f>VLOOKUP(MONTH(A73),ETP_Parametros!$A$6:$D$17,4,FALSE)</f>
        <v>3.6</v>
      </c>
      <c r="I73" s="230">
        <f>VLOOKUP(A73,P_Q_obs!$A$4:$F$308,6,FALSE)*1</f>
        <v>13.51</v>
      </c>
      <c r="J73" s="230">
        <f t="shared" si="43"/>
        <v>13.51</v>
      </c>
      <c r="K73" s="230">
        <f t="shared" si="44"/>
        <v>13.51</v>
      </c>
      <c r="L73" s="230">
        <f t="shared" si="45"/>
        <v>13.51</v>
      </c>
      <c r="M73" s="230">
        <f t="shared" si="46"/>
        <v>13.51</v>
      </c>
      <c r="N73" s="230">
        <f t="shared" si="47"/>
        <v>13.51</v>
      </c>
      <c r="O73" s="230">
        <f t="shared" si="48"/>
        <v>13.51</v>
      </c>
      <c r="P73" s="230">
        <f t="shared" si="49"/>
        <v>13.51</v>
      </c>
      <c r="Q73" s="230">
        <f t="shared" si="50"/>
        <v>13.51</v>
      </c>
      <c r="R73" s="230">
        <f t="shared" si="51"/>
        <v>13.51</v>
      </c>
      <c r="S73" s="230">
        <f t="shared" si="52"/>
        <v>13.51</v>
      </c>
      <c r="T73" s="230">
        <f t="shared" si="53"/>
        <v>13.51</v>
      </c>
      <c r="U73" s="230">
        <f t="shared" si="54"/>
        <v>13.51</v>
      </c>
      <c r="V73" s="230">
        <f t="shared" si="55"/>
        <v>13.51</v>
      </c>
      <c r="W73" s="230">
        <f t="shared" si="56"/>
        <v>13.51</v>
      </c>
      <c r="X73" s="230">
        <f t="shared" si="57"/>
        <v>13.51</v>
      </c>
      <c r="Y73" s="230">
        <f t="shared" si="58"/>
        <v>13.51</v>
      </c>
      <c r="Z73" s="292">
        <f t="shared" si="59"/>
        <v>13.51</v>
      </c>
      <c r="AA73" s="300"/>
      <c r="AB73" s="191">
        <f t="shared" si="60"/>
        <v>13.51</v>
      </c>
      <c r="AC73" s="139">
        <f t="shared" si="61"/>
        <v>14.166278716989066</v>
      </c>
      <c r="AD73" s="132">
        <f t="shared" si="62"/>
        <v>63.508547989803134</v>
      </c>
      <c r="AE73" s="168">
        <f t="shared" si="63"/>
        <v>0.74428224399889087</v>
      </c>
      <c r="AF73" s="192">
        <f t="shared" si="64"/>
        <v>4.6086205825161946</v>
      </c>
      <c r="AG73" s="192">
        <f t="shared" si="30"/>
        <v>3.1591048056504483</v>
      </c>
      <c r="AH73" s="192">
        <f t="shared" si="65"/>
        <v>0.95987122643634892</v>
      </c>
      <c r="AI73" s="168">
        <f t="shared" si="66"/>
        <v>4.8482087047582514</v>
      </c>
      <c r="AJ73" s="192">
        <f t="shared" si="67"/>
        <v>1.5983623623610452</v>
      </c>
      <c r="AK73" s="132">
        <f t="shared" si="68"/>
        <v>53.344673754844351</v>
      </c>
      <c r="AL73" s="192">
        <f t="shared" si="69"/>
        <v>0.75651727937800806</v>
      </c>
      <c r="AM73" s="192">
        <f t="shared" si="25"/>
        <v>0</v>
      </c>
      <c r="AN73" s="192">
        <f t="shared" si="70"/>
        <v>0</v>
      </c>
      <c r="AO73" s="192">
        <f t="shared" si="26"/>
        <v>0</v>
      </c>
      <c r="AS73" s="132"/>
      <c r="AT73" s="132"/>
      <c r="AU73" s="200"/>
      <c r="AV73" s="132"/>
      <c r="AW73" s="132"/>
      <c r="AX73" s="132"/>
      <c r="AY73" s="132"/>
      <c r="AZ73" s="132"/>
      <c r="BA73" s="167"/>
      <c r="BB73" s="167"/>
      <c r="BD73" s="211">
        <f t="shared" si="71"/>
        <v>42478</v>
      </c>
      <c r="BE73" s="210">
        <v>1</v>
      </c>
      <c r="BF73" s="209">
        <v>0.5</v>
      </c>
      <c r="BG73" s="209">
        <v>2</v>
      </c>
      <c r="BH73" s="210"/>
      <c r="BI73" s="209"/>
      <c r="BJ73" s="209"/>
      <c r="BK73" s="168">
        <f t="shared" si="72"/>
        <v>13.51</v>
      </c>
      <c r="BL73" s="168">
        <f t="shared" si="73"/>
        <v>14.166278716989066</v>
      </c>
    </row>
    <row r="74" spans="1:64" ht="13.5" thickBot="1" x14ac:dyDescent="0.25">
      <c r="A74" s="215">
        <f t="shared" si="39"/>
        <v>42479</v>
      </c>
      <c r="B74" s="190"/>
      <c r="C74" s="168"/>
      <c r="D74" s="198"/>
      <c r="E74" s="132">
        <f t="shared" si="41"/>
        <v>3525.2346708135688</v>
      </c>
      <c r="F74" s="168">
        <f t="shared" si="42"/>
        <v>489.80330059964439</v>
      </c>
      <c r="G74" s="300"/>
      <c r="H74" s="127">
        <f>VLOOKUP(MONTH(A74),ETP_Parametros!$A$6:$D$17,4,FALSE)</f>
        <v>3.6</v>
      </c>
      <c r="I74" s="230">
        <f>VLOOKUP(A74,P_Q_obs!$A$4:$F$308,6,FALSE)*1</f>
        <v>38.770000000000003</v>
      </c>
      <c r="J74" s="230">
        <f t="shared" si="43"/>
        <v>38.770000000000003</v>
      </c>
      <c r="K74" s="230">
        <f t="shared" si="44"/>
        <v>38.770000000000003</v>
      </c>
      <c r="L74" s="230">
        <f t="shared" si="45"/>
        <v>38.770000000000003</v>
      </c>
      <c r="M74" s="230">
        <f t="shared" si="46"/>
        <v>38.770000000000003</v>
      </c>
      <c r="N74" s="230">
        <f t="shared" si="47"/>
        <v>38.770000000000003</v>
      </c>
      <c r="O74" s="230">
        <f t="shared" si="48"/>
        <v>38.770000000000003</v>
      </c>
      <c r="P74" s="230">
        <f t="shared" si="49"/>
        <v>38.770000000000003</v>
      </c>
      <c r="Q74" s="230">
        <f t="shared" si="50"/>
        <v>38.770000000000003</v>
      </c>
      <c r="R74" s="230">
        <f t="shared" si="51"/>
        <v>38.770000000000003</v>
      </c>
      <c r="S74" s="230">
        <f t="shared" si="52"/>
        <v>38.770000000000003</v>
      </c>
      <c r="T74" s="230">
        <f t="shared" si="53"/>
        <v>38.770000000000003</v>
      </c>
      <c r="U74" s="230">
        <f t="shared" si="54"/>
        <v>38.770000000000003</v>
      </c>
      <c r="V74" s="230">
        <f t="shared" si="55"/>
        <v>38.770000000000003</v>
      </c>
      <c r="W74" s="230">
        <f t="shared" si="56"/>
        <v>38.770000000000003</v>
      </c>
      <c r="X74" s="230">
        <f t="shared" si="57"/>
        <v>38.770000000000003</v>
      </c>
      <c r="Y74" s="230">
        <f t="shared" si="58"/>
        <v>38.770000000000003</v>
      </c>
      <c r="Z74" s="292">
        <f t="shared" si="59"/>
        <v>38.770000000000003</v>
      </c>
      <c r="AA74" s="300"/>
      <c r="AB74" s="191">
        <f t="shared" si="60"/>
        <v>38.770000000000003</v>
      </c>
      <c r="AC74" s="139">
        <f t="shared" si="61"/>
        <v>25.036906260491566</v>
      </c>
      <c r="AD74" s="132">
        <f t="shared" si="62"/>
        <v>69.930305553870269</v>
      </c>
      <c r="AE74" s="168">
        <f t="shared" si="63"/>
        <v>0.81398990489496403</v>
      </c>
      <c r="AF74" s="192">
        <f t="shared" si="64"/>
        <v>14.133260307534441</v>
      </c>
      <c r="AG74" s="192">
        <f t="shared" si="30"/>
        <v>3.1591048056504483</v>
      </c>
      <c r="AH74" s="192">
        <f t="shared" si="65"/>
        <v>1.3227835832395396</v>
      </c>
      <c r="AI74" s="168">
        <f t="shared" si="66"/>
        <v>14.275204963437883</v>
      </c>
      <c r="AJ74" s="192">
        <f t="shared" si="67"/>
        <v>4.7062640488548082</v>
      </c>
      <c r="AK74" s="132">
        <f t="shared" si="68"/>
        <v>53.908045121671279</v>
      </c>
      <c r="AL74" s="192">
        <f t="shared" si="69"/>
        <v>0.75941221641261314</v>
      </c>
      <c r="AM74" s="192">
        <f t="shared" si="25"/>
        <v>0</v>
      </c>
      <c r="AN74" s="192">
        <f t="shared" si="70"/>
        <v>0</v>
      </c>
      <c r="AO74" s="192">
        <f t="shared" si="26"/>
        <v>0</v>
      </c>
      <c r="AS74" s="132"/>
      <c r="AT74" s="132"/>
      <c r="AU74" s="200"/>
      <c r="AV74" s="132"/>
      <c r="AW74" s="132"/>
      <c r="AX74" s="132"/>
      <c r="AY74" s="132"/>
      <c r="AZ74" s="132"/>
      <c r="BA74" s="167"/>
      <c r="BB74" s="167"/>
      <c r="BD74" s="211">
        <f t="shared" si="71"/>
        <v>42479</v>
      </c>
      <c r="BE74" s="210">
        <v>1</v>
      </c>
      <c r="BF74" s="209">
        <v>0.5</v>
      </c>
      <c r="BG74" s="209">
        <v>2</v>
      </c>
      <c r="BH74" s="210"/>
      <c r="BI74" s="209"/>
      <c r="BJ74" s="209"/>
      <c r="BK74" s="168">
        <f t="shared" si="72"/>
        <v>38.770000000000003</v>
      </c>
      <c r="BL74" s="168">
        <f t="shared" si="73"/>
        <v>25.036906260491566</v>
      </c>
    </row>
    <row r="75" spans="1:64" ht="13.5" thickBot="1" x14ac:dyDescent="0.25">
      <c r="A75" s="215">
        <f t="shared" si="39"/>
        <v>42480</v>
      </c>
      <c r="B75" s="190"/>
      <c r="C75" s="168"/>
      <c r="D75" s="198"/>
      <c r="E75" s="132">
        <f t="shared" si="41"/>
        <v>5536.6077408235496</v>
      </c>
      <c r="F75" s="168">
        <f t="shared" si="42"/>
        <v>494.97609734788784</v>
      </c>
      <c r="G75" s="300"/>
      <c r="H75" s="127">
        <f>VLOOKUP(MONTH(A75),ETP_Parametros!$A$6:$D$17,4,FALSE)</f>
        <v>3.6</v>
      </c>
      <c r="I75" s="230">
        <f>VLOOKUP(A75,P_Q_obs!$A$4:$F$308,6,FALSE)*1</f>
        <v>26.48</v>
      </c>
      <c r="J75" s="230">
        <f t="shared" si="43"/>
        <v>26.48</v>
      </c>
      <c r="K75" s="230">
        <f t="shared" si="44"/>
        <v>26.48</v>
      </c>
      <c r="L75" s="230">
        <f t="shared" si="45"/>
        <v>26.48</v>
      </c>
      <c r="M75" s="230">
        <f t="shared" si="46"/>
        <v>26.48</v>
      </c>
      <c r="N75" s="230">
        <f t="shared" si="47"/>
        <v>26.48</v>
      </c>
      <c r="O75" s="230">
        <f t="shared" si="48"/>
        <v>26.48</v>
      </c>
      <c r="P75" s="230">
        <f t="shared" si="49"/>
        <v>26.48</v>
      </c>
      <c r="Q75" s="230">
        <f t="shared" si="50"/>
        <v>26.48</v>
      </c>
      <c r="R75" s="230">
        <f t="shared" si="51"/>
        <v>26.48</v>
      </c>
      <c r="S75" s="230">
        <f t="shared" si="52"/>
        <v>26.48</v>
      </c>
      <c r="T75" s="230">
        <f t="shared" si="53"/>
        <v>26.48</v>
      </c>
      <c r="U75" s="230">
        <f t="shared" si="54"/>
        <v>26.48</v>
      </c>
      <c r="V75" s="230">
        <f t="shared" si="55"/>
        <v>26.48</v>
      </c>
      <c r="W75" s="230">
        <f t="shared" si="56"/>
        <v>26.48</v>
      </c>
      <c r="X75" s="230">
        <f t="shared" si="57"/>
        <v>26.48</v>
      </c>
      <c r="Y75" s="230">
        <f t="shared" si="58"/>
        <v>26.48</v>
      </c>
      <c r="Z75" s="292">
        <f t="shared" si="59"/>
        <v>26.48</v>
      </c>
      <c r="AA75" s="300"/>
      <c r="AB75" s="191">
        <f t="shared" si="60"/>
        <v>26.47999999999999</v>
      </c>
      <c r="AC75" s="139">
        <f t="shared" si="61"/>
        <v>25.254136572387065</v>
      </c>
      <c r="AD75" s="132">
        <f t="shared" si="62"/>
        <v>72.962200318361127</v>
      </c>
      <c r="AE75" s="168">
        <f t="shared" si="63"/>
        <v>0.89629765706830611</v>
      </c>
      <c r="AF75" s="192">
        <f t="shared" si="64"/>
        <v>17.251640199687387</v>
      </c>
      <c r="AG75" s="192">
        <f t="shared" si="30"/>
        <v>3.1591048056504483</v>
      </c>
      <c r="AH75" s="192">
        <f t="shared" si="65"/>
        <v>1.8114968025583773</v>
      </c>
      <c r="AI75" s="168">
        <f t="shared" si="66"/>
        <v>23.710081462226277</v>
      </c>
      <c r="AJ75" s="192">
        <f t="shared" si="67"/>
        <v>7.8167637008989921</v>
      </c>
      <c r="AK75" s="132">
        <f t="shared" si="68"/>
        <v>54.952109580066121</v>
      </c>
      <c r="AL75" s="192">
        <f t="shared" si="69"/>
        <v>0.76743234416354145</v>
      </c>
      <c r="AM75" s="192">
        <f t="shared" si="25"/>
        <v>0</v>
      </c>
      <c r="AN75" s="192">
        <f t="shared" si="70"/>
        <v>0</v>
      </c>
      <c r="AO75" s="192">
        <f t="shared" si="26"/>
        <v>0</v>
      </c>
      <c r="AS75" s="132"/>
      <c r="AT75" s="132"/>
      <c r="AU75" s="200"/>
      <c r="AV75" s="132"/>
      <c r="AW75" s="132"/>
      <c r="AX75" s="132"/>
      <c r="AY75" s="132"/>
      <c r="AZ75" s="132"/>
      <c r="BA75" s="167"/>
      <c r="BB75" s="167"/>
      <c r="BD75" s="211">
        <f t="shared" si="71"/>
        <v>42480</v>
      </c>
      <c r="BE75" s="210">
        <v>1</v>
      </c>
      <c r="BF75" s="209">
        <v>0.5</v>
      </c>
      <c r="BG75" s="209">
        <v>2</v>
      </c>
      <c r="BH75" s="210"/>
      <c r="BI75" s="209"/>
      <c r="BJ75" s="209"/>
      <c r="BK75" s="168">
        <f t="shared" si="72"/>
        <v>26.48</v>
      </c>
      <c r="BL75" s="168">
        <f t="shared" si="73"/>
        <v>25.254136572387065</v>
      </c>
    </row>
    <row r="76" spans="1:64" ht="13.5" thickBot="1" x14ac:dyDescent="0.25">
      <c r="A76" s="215">
        <f t="shared" si="39"/>
        <v>42481</v>
      </c>
      <c r="B76" s="190"/>
      <c r="C76" s="168"/>
      <c r="D76" s="198"/>
      <c r="E76" s="132">
        <f t="shared" si="41"/>
        <v>5225.3973801534266</v>
      </c>
      <c r="F76" s="168">
        <f t="shared" si="42"/>
        <v>504.56255053552462</v>
      </c>
      <c r="G76" s="300"/>
      <c r="H76" s="127">
        <f>VLOOKUP(MONTH(A76),ETP_Parametros!$A$6:$D$17,4,FALSE)</f>
        <v>3.6</v>
      </c>
      <c r="I76" s="230">
        <f>VLOOKUP(A76,P_Q_obs!$A$4:$F$308,6,FALSE)*1</f>
        <v>7.0000000000000007E-2</v>
      </c>
      <c r="J76" s="230">
        <f t="shared" si="43"/>
        <v>7.0000000000000007E-2</v>
      </c>
      <c r="K76" s="230">
        <f t="shared" si="44"/>
        <v>7.0000000000000007E-2</v>
      </c>
      <c r="L76" s="230">
        <f t="shared" si="45"/>
        <v>7.0000000000000007E-2</v>
      </c>
      <c r="M76" s="230">
        <f t="shared" si="46"/>
        <v>7.0000000000000007E-2</v>
      </c>
      <c r="N76" s="230">
        <f t="shared" si="47"/>
        <v>7.0000000000000007E-2</v>
      </c>
      <c r="O76" s="230">
        <f t="shared" si="48"/>
        <v>7.0000000000000007E-2</v>
      </c>
      <c r="P76" s="230">
        <f t="shared" si="49"/>
        <v>7.0000000000000007E-2</v>
      </c>
      <c r="Q76" s="230">
        <f t="shared" si="50"/>
        <v>7.0000000000000007E-2</v>
      </c>
      <c r="R76" s="230">
        <f t="shared" si="51"/>
        <v>7.0000000000000007E-2</v>
      </c>
      <c r="S76" s="230">
        <f t="shared" si="52"/>
        <v>7.0000000000000007E-2</v>
      </c>
      <c r="T76" s="230">
        <f t="shared" si="53"/>
        <v>7.0000000000000007E-2</v>
      </c>
      <c r="U76" s="230">
        <f t="shared" si="54"/>
        <v>7.0000000000000007E-2</v>
      </c>
      <c r="V76" s="230">
        <f t="shared" si="55"/>
        <v>7.0000000000000007E-2</v>
      </c>
      <c r="W76" s="230">
        <f t="shared" si="56"/>
        <v>7.0000000000000007E-2</v>
      </c>
      <c r="X76" s="230">
        <f t="shared" si="57"/>
        <v>7.0000000000000007E-2</v>
      </c>
      <c r="Y76" s="230">
        <f t="shared" si="58"/>
        <v>7.0000000000000007E-2</v>
      </c>
      <c r="Z76" s="292">
        <f t="shared" si="59"/>
        <v>7.0000000000000007E-2</v>
      </c>
      <c r="AA76" s="300"/>
      <c r="AB76" s="191">
        <f t="shared" si="60"/>
        <v>6.9999999999999979E-2</v>
      </c>
      <c r="AC76" s="139">
        <f t="shared" si="61"/>
        <v>11.056633966573449</v>
      </c>
      <c r="AD76" s="132">
        <f t="shared" si="62"/>
        <v>72.984117503463963</v>
      </c>
      <c r="AE76" s="168">
        <f t="shared" si="63"/>
        <v>0.93515749261982439</v>
      </c>
      <c r="AF76" s="192">
        <f t="shared" si="64"/>
        <v>5.8107243480625712</v>
      </c>
      <c r="AG76" s="192">
        <f t="shared" si="30"/>
        <v>3.1591048056504483</v>
      </c>
      <c r="AH76" s="192">
        <f t="shared" si="65"/>
        <v>2.064887627757606</v>
      </c>
      <c r="AI76" s="168">
        <f t="shared" si="66"/>
        <v>22.20141936089383</v>
      </c>
      <c r="AJ76" s="192">
        <f t="shared" si="67"/>
        <v>7.3193864493950169</v>
      </c>
      <c r="AK76" s="132">
        <f t="shared" si="68"/>
        <v>56.234701612118506</v>
      </c>
      <c r="AL76" s="192">
        <f t="shared" si="69"/>
        <v>0.78229559570522433</v>
      </c>
      <c r="AM76" s="192">
        <f t="shared" si="25"/>
        <v>0</v>
      </c>
      <c r="AN76" s="192">
        <f t="shared" si="70"/>
        <v>0</v>
      </c>
      <c r="AO76" s="192">
        <f t="shared" si="26"/>
        <v>0</v>
      </c>
      <c r="AS76" s="132"/>
      <c r="AT76" s="132"/>
      <c r="AU76" s="200"/>
      <c r="AV76" s="132"/>
      <c r="AW76" s="132"/>
      <c r="AX76" s="132"/>
      <c r="AY76" s="132"/>
      <c r="AZ76" s="132"/>
      <c r="BA76" s="167"/>
      <c r="BB76" s="167"/>
      <c r="BD76" s="211">
        <f t="shared" si="71"/>
        <v>42481</v>
      </c>
      <c r="BE76" s="210">
        <v>1</v>
      </c>
      <c r="BF76" s="209">
        <v>0.5</v>
      </c>
      <c r="BG76" s="209">
        <v>2</v>
      </c>
      <c r="BH76" s="210"/>
      <c r="BI76" s="209"/>
      <c r="BJ76" s="209"/>
      <c r="BK76" s="168">
        <f t="shared" si="72"/>
        <v>7.0000000000000007E-2</v>
      </c>
      <c r="BL76" s="168">
        <f t="shared" si="73"/>
        <v>11.056633966573449</v>
      </c>
    </row>
    <row r="77" spans="1:64" ht="13.5" thickBot="1" x14ac:dyDescent="0.25">
      <c r="A77" s="215">
        <f t="shared" si="39"/>
        <v>42482</v>
      </c>
      <c r="B77" s="190"/>
      <c r="C77" s="168"/>
      <c r="D77" s="198"/>
      <c r="E77" s="132">
        <f t="shared" si="41"/>
        <v>4066.6905150909679</v>
      </c>
      <c r="F77" s="168">
        <f t="shared" si="42"/>
        <v>516.33913039632125</v>
      </c>
      <c r="G77" s="300"/>
      <c r="H77" s="127">
        <f>VLOOKUP(MONTH(A77),ETP_Parametros!$A$6:$D$17,4,FALSE)</f>
        <v>3.6</v>
      </c>
      <c r="I77" s="230">
        <f>VLOOKUP(A77,P_Q_obs!$A$4:$F$308,6,FALSE)*1</f>
        <v>0.04</v>
      </c>
      <c r="J77" s="230">
        <f t="shared" si="43"/>
        <v>0.04</v>
      </c>
      <c r="K77" s="230">
        <f t="shared" si="44"/>
        <v>0.04</v>
      </c>
      <c r="L77" s="230">
        <f t="shared" si="45"/>
        <v>0.04</v>
      </c>
      <c r="M77" s="230">
        <f t="shared" si="46"/>
        <v>0.04</v>
      </c>
      <c r="N77" s="230">
        <f t="shared" si="47"/>
        <v>0.04</v>
      </c>
      <c r="O77" s="230">
        <f t="shared" si="48"/>
        <v>0.04</v>
      </c>
      <c r="P77" s="230">
        <f t="shared" si="49"/>
        <v>0.04</v>
      </c>
      <c r="Q77" s="230">
        <f t="shared" si="50"/>
        <v>0.04</v>
      </c>
      <c r="R77" s="230">
        <f t="shared" si="51"/>
        <v>0.04</v>
      </c>
      <c r="S77" s="230">
        <f t="shared" si="52"/>
        <v>0.04</v>
      </c>
      <c r="T77" s="230">
        <f t="shared" si="53"/>
        <v>0.04</v>
      </c>
      <c r="U77" s="230">
        <f t="shared" si="54"/>
        <v>0.04</v>
      </c>
      <c r="V77" s="230">
        <f t="shared" si="55"/>
        <v>0.04</v>
      </c>
      <c r="W77" s="230">
        <f t="shared" si="56"/>
        <v>0.04</v>
      </c>
      <c r="X77" s="230">
        <f t="shared" si="57"/>
        <v>0.04</v>
      </c>
      <c r="Y77" s="230">
        <f t="shared" si="58"/>
        <v>0.04</v>
      </c>
      <c r="Z77" s="292">
        <f t="shared" si="59"/>
        <v>0.04</v>
      </c>
      <c r="AA77" s="300"/>
      <c r="AB77" s="191">
        <f t="shared" si="60"/>
        <v>0.04</v>
      </c>
      <c r="AC77" s="139">
        <f t="shared" si="61"/>
        <v>0.94673098478798012</v>
      </c>
      <c r="AD77" s="132">
        <f t="shared" si="62"/>
        <v>68.847805802525073</v>
      </c>
      <c r="AE77" s="168">
        <f t="shared" si="63"/>
        <v>0.93543840547300894</v>
      </c>
      <c r="AF77" s="192">
        <f t="shared" si="64"/>
        <v>0</v>
      </c>
      <c r="AG77" s="192">
        <f t="shared" si="30"/>
        <v>3.0162704240857958</v>
      </c>
      <c r="AH77" s="192">
        <f t="shared" si="65"/>
        <v>2.0667722616410722</v>
      </c>
      <c r="AI77" s="168">
        <f t="shared" si="66"/>
        <v>16.69680105637498</v>
      </c>
      <c r="AJ77" s="192">
        <f t="shared" si="67"/>
        <v>5.5046183045188517</v>
      </c>
      <c r="AK77" s="132">
        <f t="shared" si="68"/>
        <v>57.500919359417217</v>
      </c>
      <c r="AL77" s="192">
        <f t="shared" si="69"/>
        <v>0.80055451434235647</v>
      </c>
      <c r="AM77" s="192">
        <f t="shared" si="25"/>
        <v>0</v>
      </c>
      <c r="AN77" s="192">
        <f t="shared" si="70"/>
        <v>0</v>
      </c>
      <c r="AO77" s="192">
        <f t="shared" si="26"/>
        <v>0</v>
      </c>
      <c r="AS77" s="132"/>
      <c r="AT77" s="132"/>
      <c r="AU77" s="200"/>
      <c r="AV77" s="132"/>
      <c r="AW77" s="132"/>
      <c r="AX77" s="132"/>
      <c r="AY77" s="132"/>
      <c r="AZ77" s="132"/>
      <c r="BA77" s="167"/>
      <c r="BB77" s="167"/>
      <c r="BD77" s="211">
        <f t="shared" si="71"/>
        <v>42482</v>
      </c>
      <c r="BE77" s="210">
        <v>1</v>
      </c>
      <c r="BF77" s="209">
        <v>0.5</v>
      </c>
      <c r="BG77" s="209">
        <v>2</v>
      </c>
      <c r="BH77" s="210"/>
      <c r="BI77" s="209"/>
      <c r="BJ77" s="209"/>
      <c r="BK77" s="168">
        <f t="shared" si="72"/>
        <v>0.04</v>
      </c>
      <c r="BL77" s="168">
        <f t="shared" si="73"/>
        <v>0.94673098478798012</v>
      </c>
    </row>
    <row r="78" spans="1:64" ht="13.5" thickBot="1" x14ac:dyDescent="0.25">
      <c r="A78" s="215">
        <f t="shared" si="39"/>
        <v>42483</v>
      </c>
      <c r="B78" s="190"/>
      <c r="C78" s="168"/>
      <c r="D78" s="198"/>
      <c r="E78" s="132">
        <f t="shared" si="41"/>
        <v>3198.0428840034219</v>
      </c>
      <c r="F78" s="168">
        <f t="shared" si="42"/>
        <v>527.96536387475601</v>
      </c>
      <c r="G78" s="300"/>
      <c r="H78" s="127">
        <f>VLOOKUP(MONTH(A78),ETP_Parametros!$A$6:$D$17,4,FALSE)</f>
        <v>3.6</v>
      </c>
      <c r="I78" s="230">
        <f>VLOOKUP(A78,P_Q_obs!$A$4:$F$308,6,FALSE)*1</f>
        <v>0.06</v>
      </c>
      <c r="J78" s="230">
        <f t="shared" si="43"/>
        <v>0.06</v>
      </c>
      <c r="K78" s="230">
        <f t="shared" si="44"/>
        <v>0.06</v>
      </c>
      <c r="L78" s="230">
        <f t="shared" si="45"/>
        <v>0.06</v>
      </c>
      <c r="M78" s="230">
        <f t="shared" si="46"/>
        <v>0.06</v>
      </c>
      <c r="N78" s="230">
        <f t="shared" si="47"/>
        <v>0.06</v>
      </c>
      <c r="O78" s="230">
        <f t="shared" si="48"/>
        <v>0.06</v>
      </c>
      <c r="P78" s="230">
        <f t="shared" si="49"/>
        <v>0.06</v>
      </c>
      <c r="Q78" s="230">
        <f t="shared" si="50"/>
        <v>0.06</v>
      </c>
      <c r="R78" s="230">
        <f t="shared" si="51"/>
        <v>0.06</v>
      </c>
      <c r="S78" s="230">
        <f t="shared" si="52"/>
        <v>0.06</v>
      </c>
      <c r="T78" s="230">
        <f t="shared" si="53"/>
        <v>0.06</v>
      </c>
      <c r="U78" s="230">
        <f t="shared" si="54"/>
        <v>0.06</v>
      </c>
      <c r="V78" s="230">
        <f t="shared" si="55"/>
        <v>0.06</v>
      </c>
      <c r="W78" s="230">
        <f t="shared" si="56"/>
        <v>0.06</v>
      </c>
      <c r="X78" s="230">
        <f t="shared" si="57"/>
        <v>0.06</v>
      </c>
      <c r="Y78" s="230">
        <f t="shared" si="58"/>
        <v>0.06</v>
      </c>
      <c r="Z78" s="292">
        <f t="shared" si="59"/>
        <v>0.06</v>
      </c>
      <c r="AA78" s="300"/>
      <c r="AB78" s="191">
        <f t="shared" si="60"/>
        <v>6.0000000000000005E-2</v>
      </c>
      <c r="AC78" s="139">
        <f t="shared" si="61"/>
        <v>0.67207715343132779</v>
      </c>
      <c r="AD78" s="132">
        <f t="shared" si="62"/>
        <v>64.928647592660667</v>
      </c>
      <c r="AE78" s="168">
        <f t="shared" si="63"/>
        <v>0.88242324334705757</v>
      </c>
      <c r="AF78" s="192">
        <f t="shared" si="64"/>
        <v>0</v>
      </c>
      <c r="AG78" s="192">
        <f t="shared" si="30"/>
        <v>2.8666881605963419</v>
      </c>
      <c r="AH78" s="192">
        <f t="shared" si="65"/>
        <v>1.7245472026993955</v>
      </c>
      <c r="AI78" s="168">
        <f t="shared" si="66"/>
        <v>12.55699741464371</v>
      </c>
      <c r="AJ78" s="192">
        <f t="shared" si="67"/>
        <v>4.1398036417312705</v>
      </c>
      <c r="AK78" s="132">
        <f t="shared" si="68"/>
        <v>58.406886232669336</v>
      </c>
      <c r="AL78" s="192">
        <f t="shared" si="69"/>
        <v>0.81858032944727643</v>
      </c>
      <c r="AM78" s="192">
        <f t="shared" si="25"/>
        <v>0</v>
      </c>
      <c r="AN78" s="192">
        <f t="shared" si="70"/>
        <v>0</v>
      </c>
      <c r="AO78" s="192">
        <f t="shared" si="26"/>
        <v>0</v>
      </c>
      <c r="AS78" s="132"/>
      <c r="AT78" s="132"/>
      <c r="AU78" s="200"/>
      <c r="AV78" s="132"/>
      <c r="AW78" s="132"/>
      <c r="AX78" s="132"/>
      <c r="AY78" s="132"/>
      <c r="AZ78" s="132"/>
      <c r="BA78" s="167"/>
      <c r="BB78" s="167"/>
      <c r="BD78" s="211">
        <f t="shared" si="71"/>
        <v>42483</v>
      </c>
      <c r="BE78" s="210">
        <v>1</v>
      </c>
      <c r="BF78" s="209">
        <v>0.5</v>
      </c>
      <c r="BG78" s="209">
        <v>2</v>
      </c>
      <c r="BH78" s="210"/>
      <c r="BI78" s="209"/>
      <c r="BJ78" s="209"/>
      <c r="BK78" s="168">
        <f t="shared" si="72"/>
        <v>0.06</v>
      </c>
      <c r="BL78" s="168">
        <f t="shared" si="73"/>
        <v>0.67207715343132779</v>
      </c>
    </row>
    <row r="79" spans="1:64" ht="13.5" thickBot="1" x14ac:dyDescent="0.25">
      <c r="A79" s="215">
        <f t="shared" si="39"/>
        <v>42484</v>
      </c>
      <c r="B79" s="190"/>
      <c r="C79" s="168"/>
      <c r="D79" s="198"/>
      <c r="E79" s="132">
        <f t="shared" si="41"/>
        <v>2544.3425180708177</v>
      </c>
      <c r="F79" s="168">
        <f t="shared" si="42"/>
        <v>536.28382443545127</v>
      </c>
      <c r="G79" s="300"/>
      <c r="H79" s="127">
        <f>VLOOKUP(MONTH(A79),ETP_Parametros!$A$6:$D$17,4,FALSE)</f>
        <v>3.6</v>
      </c>
      <c r="I79" s="230">
        <f>VLOOKUP(A79,P_Q_obs!$A$4:$F$308,6,FALSE)*1</f>
        <v>0.12</v>
      </c>
      <c r="J79" s="230">
        <f t="shared" si="43"/>
        <v>0.12</v>
      </c>
      <c r="K79" s="230">
        <f t="shared" si="44"/>
        <v>0.12</v>
      </c>
      <c r="L79" s="230">
        <f t="shared" si="45"/>
        <v>0.12</v>
      </c>
      <c r="M79" s="230">
        <f t="shared" si="46"/>
        <v>0.12</v>
      </c>
      <c r="N79" s="230">
        <f t="shared" si="47"/>
        <v>0.12</v>
      </c>
      <c r="O79" s="230">
        <f t="shared" si="48"/>
        <v>0.12</v>
      </c>
      <c r="P79" s="230">
        <f t="shared" si="49"/>
        <v>0.12</v>
      </c>
      <c r="Q79" s="230">
        <f t="shared" si="50"/>
        <v>0.12</v>
      </c>
      <c r="R79" s="230">
        <f t="shared" si="51"/>
        <v>0.12</v>
      </c>
      <c r="S79" s="230">
        <f t="shared" si="52"/>
        <v>0.12</v>
      </c>
      <c r="T79" s="230">
        <f t="shared" si="53"/>
        <v>0.12</v>
      </c>
      <c r="U79" s="230">
        <f t="shared" si="54"/>
        <v>0.12</v>
      </c>
      <c r="V79" s="230">
        <f t="shared" si="55"/>
        <v>0.12</v>
      </c>
      <c r="W79" s="230">
        <f t="shared" si="56"/>
        <v>0.12</v>
      </c>
      <c r="X79" s="230">
        <f t="shared" si="57"/>
        <v>0.12</v>
      </c>
      <c r="Y79" s="230">
        <f t="shared" si="58"/>
        <v>0.12</v>
      </c>
      <c r="Z79" s="292">
        <f t="shared" si="59"/>
        <v>0.12</v>
      </c>
      <c r="AA79" s="300"/>
      <c r="AB79" s="191">
        <f t="shared" si="60"/>
        <v>0.12000000000000001</v>
      </c>
      <c r="AC79" s="139">
        <f t="shared" si="61"/>
        <v>7.1055763481513837E-2</v>
      </c>
      <c r="AD79" s="132">
        <f t="shared" si="62"/>
        <v>60.933557129053654</v>
      </c>
      <c r="AE79" s="168">
        <f t="shared" si="63"/>
        <v>0.83219134040655807</v>
      </c>
      <c r="AF79" s="192">
        <f t="shared" si="64"/>
        <v>0</v>
      </c>
      <c r="AG79" s="192">
        <f t="shared" si="30"/>
        <v>2.6409034351252672</v>
      </c>
      <c r="AH79" s="192">
        <f t="shared" si="65"/>
        <v>1.4252427919632564</v>
      </c>
      <c r="AI79" s="168">
        <f t="shared" si="66"/>
        <v>9.443616387293897</v>
      </c>
      <c r="AJ79" s="192">
        <f t="shared" si="67"/>
        <v>3.1133810273498135</v>
      </c>
      <c r="AK79" s="132">
        <f t="shared" si="68"/>
        <v>59.00065139424062</v>
      </c>
      <c r="AL79" s="192">
        <f t="shared" si="69"/>
        <v>0.83147763039197131</v>
      </c>
      <c r="AM79" s="192">
        <f t="shared" si="25"/>
        <v>0</v>
      </c>
      <c r="AN79" s="192">
        <f t="shared" si="70"/>
        <v>0</v>
      </c>
      <c r="AO79" s="192">
        <f t="shared" si="26"/>
        <v>0</v>
      </c>
      <c r="AS79" s="132"/>
      <c r="AT79" s="132"/>
      <c r="AU79" s="200"/>
      <c r="AV79" s="132"/>
      <c r="AW79" s="132"/>
      <c r="AX79" s="132"/>
      <c r="AY79" s="132"/>
      <c r="AZ79" s="132"/>
      <c r="BA79" s="167"/>
      <c r="BB79" s="167"/>
      <c r="BD79" s="211">
        <f t="shared" si="71"/>
        <v>42484</v>
      </c>
      <c r="BE79" s="210">
        <v>1</v>
      </c>
      <c r="BF79" s="209">
        <v>0.5</v>
      </c>
      <c r="BG79" s="209">
        <v>2</v>
      </c>
      <c r="BH79" s="210"/>
      <c r="BI79" s="209"/>
      <c r="BJ79" s="209"/>
      <c r="BK79" s="168">
        <f t="shared" si="72"/>
        <v>0.12</v>
      </c>
      <c r="BL79" s="168">
        <f t="shared" si="73"/>
        <v>7.1055763481513837E-2</v>
      </c>
    </row>
    <row r="80" spans="1:64" ht="13.5" thickBot="1" x14ac:dyDescent="0.25">
      <c r="A80" s="215">
        <f t="shared" si="39"/>
        <v>42485</v>
      </c>
      <c r="B80" s="190"/>
      <c r="C80" s="168"/>
      <c r="D80" s="198"/>
      <c r="E80" s="132">
        <f t="shared" si="41"/>
        <v>2051.9164596576461</v>
      </c>
      <c r="F80" s="168">
        <f t="shared" si="42"/>
        <v>541.7356927373412</v>
      </c>
      <c r="G80" s="300"/>
      <c r="H80" s="127">
        <f>VLOOKUP(MONTH(A80),ETP_Parametros!$A$6:$D$17,4,FALSE)</f>
        <v>3.6</v>
      </c>
      <c r="I80" s="230">
        <f>VLOOKUP(A80,P_Q_obs!$A$4:$F$308,6,FALSE)*1</f>
        <v>0.01</v>
      </c>
      <c r="J80" s="230">
        <f t="shared" si="43"/>
        <v>0.01</v>
      </c>
      <c r="K80" s="230">
        <f t="shared" si="44"/>
        <v>0.01</v>
      </c>
      <c r="L80" s="230">
        <f t="shared" si="45"/>
        <v>0.01</v>
      </c>
      <c r="M80" s="230">
        <f t="shared" si="46"/>
        <v>0.01</v>
      </c>
      <c r="N80" s="230">
        <f t="shared" si="47"/>
        <v>0.01</v>
      </c>
      <c r="O80" s="230">
        <f t="shared" si="48"/>
        <v>0.01</v>
      </c>
      <c r="P80" s="230">
        <f t="shared" si="49"/>
        <v>0.01</v>
      </c>
      <c r="Q80" s="230">
        <f t="shared" si="50"/>
        <v>0.01</v>
      </c>
      <c r="R80" s="230">
        <f t="shared" si="51"/>
        <v>0.01</v>
      </c>
      <c r="S80" s="230">
        <f t="shared" si="52"/>
        <v>0.01</v>
      </c>
      <c r="T80" s="230">
        <f t="shared" si="53"/>
        <v>0.01</v>
      </c>
      <c r="U80" s="230">
        <f t="shared" si="54"/>
        <v>0.01</v>
      </c>
      <c r="V80" s="230">
        <f t="shared" si="55"/>
        <v>0.01</v>
      </c>
      <c r="W80" s="230">
        <f t="shared" si="56"/>
        <v>0.01</v>
      </c>
      <c r="X80" s="230">
        <f t="shared" si="57"/>
        <v>0.01</v>
      </c>
      <c r="Y80" s="230">
        <f t="shared" si="58"/>
        <v>0.01</v>
      </c>
      <c r="Z80" s="292">
        <f t="shared" si="59"/>
        <v>0.01</v>
      </c>
      <c r="AA80" s="300"/>
      <c r="AB80" s="191">
        <f t="shared" si="60"/>
        <v>0.01</v>
      </c>
      <c r="AC80" s="139">
        <f t="shared" si="61"/>
        <v>8.0850207545745179E-2</v>
      </c>
      <c r="AD80" s="132">
        <f t="shared" si="62"/>
        <v>57.38435166242607</v>
      </c>
      <c r="AE80" s="168">
        <f t="shared" si="63"/>
        <v>0.78098621275916824</v>
      </c>
      <c r="AF80" s="192">
        <f t="shared" si="64"/>
        <v>0</v>
      </c>
      <c r="AG80" s="192">
        <f t="shared" si="30"/>
        <v>2.4849246080280327</v>
      </c>
      <c r="AH80" s="192">
        <f t="shared" si="65"/>
        <v>1.1451310661452971</v>
      </c>
      <c r="AI80" s="168">
        <f t="shared" si="66"/>
        <v>7.1021668258339972</v>
      </c>
      <c r="AJ80" s="192">
        <f t="shared" si="67"/>
        <v>2.3414495614598994</v>
      </c>
      <c r="AK80" s="132">
        <f t="shared" si="68"/>
        <v>59.305852017639154</v>
      </c>
      <c r="AL80" s="192">
        <f t="shared" si="69"/>
        <v>0.83993044274676598</v>
      </c>
      <c r="AM80" s="192">
        <f t="shared" si="25"/>
        <v>0</v>
      </c>
      <c r="AN80" s="192">
        <f t="shared" si="70"/>
        <v>0</v>
      </c>
      <c r="AO80" s="192">
        <f t="shared" si="26"/>
        <v>0</v>
      </c>
      <c r="AS80" s="132"/>
      <c r="AT80" s="132"/>
      <c r="AU80" s="200"/>
      <c r="AV80" s="132"/>
      <c r="AW80" s="132"/>
      <c r="AX80" s="132"/>
      <c r="AY80" s="132"/>
      <c r="AZ80" s="132"/>
      <c r="BA80" s="167"/>
      <c r="BB80" s="167"/>
      <c r="BD80" s="211">
        <f t="shared" si="71"/>
        <v>42485</v>
      </c>
      <c r="BE80" s="210">
        <v>1</v>
      </c>
      <c r="BF80" s="209">
        <v>0.5</v>
      </c>
      <c r="BG80" s="209">
        <v>2</v>
      </c>
      <c r="BH80" s="210"/>
      <c r="BI80" s="209"/>
      <c r="BJ80" s="209"/>
      <c r="BK80" s="168">
        <f t="shared" si="72"/>
        <v>0.01</v>
      </c>
      <c r="BL80" s="168">
        <f t="shared" si="73"/>
        <v>8.0850207545745179E-2</v>
      </c>
    </row>
    <row r="81" spans="1:64" ht="13.5" thickBot="1" x14ac:dyDescent="0.25">
      <c r="A81" s="215">
        <f t="shared" si="39"/>
        <v>42486</v>
      </c>
      <c r="B81" s="190"/>
      <c r="C81" s="168"/>
      <c r="D81" s="198"/>
      <c r="E81" s="132">
        <f t="shared" si="41"/>
        <v>1680.2846591961256</v>
      </c>
      <c r="F81" s="168">
        <f t="shared" si="42"/>
        <v>544.53800198704585</v>
      </c>
      <c r="G81" s="300"/>
      <c r="H81" s="127">
        <f>VLOOKUP(MONTH(A81),ETP_Parametros!$A$6:$D$17,4,FALSE)</f>
        <v>3.6</v>
      </c>
      <c r="I81" s="230">
        <f>VLOOKUP(A81,P_Q_obs!$A$4:$F$308,6,FALSE)*1</f>
        <v>0.13</v>
      </c>
      <c r="J81" s="230">
        <f t="shared" si="43"/>
        <v>0.13</v>
      </c>
      <c r="K81" s="230">
        <f t="shared" si="44"/>
        <v>0.13</v>
      </c>
      <c r="L81" s="230">
        <f t="shared" si="45"/>
        <v>0.13</v>
      </c>
      <c r="M81" s="230">
        <f t="shared" si="46"/>
        <v>0.13</v>
      </c>
      <c r="N81" s="230">
        <f t="shared" si="47"/>
        <v>0.13</v>
      </c>
      <c r="O81" s="230">
        <f t="shared" si="48"/>
        <v>0.13</v>
      </c>
      <c r="P81" s="230">
        <f t="shared" si="49"/>
        <v>0.13</v>
      </c>
      <c r="Q81" s="230">
        <f t="shared" si="50"/>
        <v>0.13</v>
      </c>
      <c r="R81" s="230">
        <f t="shared" si="51"/>
        <v>0.13</v>
      </c>
      <c r="S81" s="230">
        <f t="shared" si="52"/>
        <v>0.13</v>
      </c>
      <c r="T81" s="230">
        <f t="shared" si="53"/>
        <v>0.13</v>
      </c>
      <c r="U81" s="230">
        <f t="shared" si="54"/>
        <v>0.13</v>
      </c>
      <c r="V81" s="230">
        <f t="shared" si="55"/>
        <v>0.13</v>
      </c>
      <c r="W81" s="230">
        <f t="shared" si="56"/>
        <v>0.13</v>
      </c>
      <c r="X81" s="230">
        <f t="shared" si="57"/>
        <v>0.13</v>
      </c>
      <c r="Y81" s="230">
        <f t="shared" si="58"/>
        <v>0.13</v>
      </c>
      <c r="Z81" s="292">
        <f t="shared" si="59"/>
        <v>0.13</v>
      </c>
      <c r="AA81" s="300"/>
      <c r="AB81" s="191">
        <f t="shared" si="60"/>
        <v>0.13000000000000003</v>
      </c>
      <c r="AC81" s="139">
        <f t="shared" si="61"/>
        <v>5.6323172220703044E-2</v>
      </c>
      <c r="AD81" s="132">
        <f t="shared" si="62"/>
        <v>54.184821590594915</v>
      </c>
      <c r="AE81" s="168">
        <f t="shared" si="63"/>
        <v>0.73549599905286955</v>
      </c>
      <c r="AF81" s="192">
        <f t="shared" si="64"/>
        <v>0</v>
      </c>
      <c r="AG81" s="192">
        <f t="shared" si="30"/>
        <v>2.3384066495430078</v>
      </c>
      <c r="AH81" s="192">
        <f t="shared" si="65"/>
        <v>0.91744659450884258</v>
      </c>
      <c r="AI81" s="168">
        <f t="shared" si="66"/>
        <v>5.3412560986534254</v>
      </c>
      <c r="AJ81" s="192">
        <f t="shared" si="67"/>
        <v>1.7609107271805715</v>
      </c>
      <c r="AK81" s="132">
        <f t="shared" si="68"/>
        <v>59.37902334796825</v>
      </c>
      <c r="AL81" s="192">
        <f t="shared" si="69"/>
        <v>0.84427526417975018</v>
      </c>
      <c r="AM81" s="192">
        <f t="shared" si="25"/>
        <v>0</v>
      </c>
      <c r="AN81" s="192">
        <f t="shared" si="70"/>
        <v>0</v>
      </c>
      <c r="AO81" s="192">
        <f t="shared" si="26"/>
        <v>0</v>
      </c>
      <c r="AS81" s="132"/>
      <c r="AT81" s="132"/>
      <c r="AU81" s="200"/>
      <c r="AV81" s="132"/>
      <c r="AW81" s="132"/>
      <c r="AX81" s="132"/>
      <c r="AY81" s="132"/>
      <c r="AZ81" s="132"/>
      <c r="BA81" s="167"/>
      <c r="BB81" s="167"/>
      <c r="BD81" s="211">
        <f t="shared" si="71"/>
        <v>42486</v>
      </c>
      <c r="BE81" s="210">
        <v>1</v>
      </c>
      <c r="BF81" s="209">
        <v>0.5</v>
      </c>
      <c r="BG81" s="209">
        <v>2</v>
      </c>
      <c r="BH81" s="210"/>
      <c r="BI81" s="209"/>
      <c r="BJ81" s="209"/>
      <c r="BK81" s="168">
        <f t="shared" si="72"/>
        <v>0.13</v>
      </c>
      <c r="BL81" s="168">
        <f t="shared" si="73"/>
        <v>5.6323172220703044E-2</v>
      </c>
    </row>
    <row r="82" spans="1:64" ht="13.5" thickBot="1" x14ac:dyDescent="0.25">
      <c r="A82" s="215">
        <f t="shared" si="39"/>
        <v>42487</v>
      </c>
      <c r="B82" s="190"/>
      <c r="C82" s="168"/>
      <c r="D82" s="198"/>
      <c r="E82" s="132">
        <f t="shared" si="41"/>
        <v>1399.3595643388492</v>
      </c>
      <c r="F82" s="168">
        <f t="shared" si="42"/>
        <v>545.20985086307724</v>
      </c>
      <c r="G82" s="300"/>
      <c r="H82" s="127">
        <f>VLOOKUP(MONTH(A82),ETP_Parametros!$A$6:$D$17,4,FALSE)</f>
        <v>3.6</v>
      </c>
      <c r="I82" s="230">
        <f>VLOOKUP(A82,P_Q_obs!$A$4:$F$308,6,FALSE)*1</f>
        <v>0.02</v>
      </c>
      <c r="J82" s="230">
        <f t="shared" si="43"/>
        <v>0.02</v>
      </c>
      <c r="K82" s="230">
        <f t="shared" si="44"/>
        <v>0.02</v>
      </c>
      <c r="L82" s="230">
        <f t="shared" si="45"/>
        <v>0.02</v>
      </c>
      <c r="M82" s="230">
        <f t="shared" si="46"/>
        <v>0.02</v>
      </c>
      <c r="N82" s="230">
        <f t="shared" si="47"/>
        <v>0.02</v>
      </c>
      <c r="O82" s="230">
        <f t="shared" si="48"/>
        <v>0.02</v>
      </c>
      <c r="P82" s="230">
        <f t="shared" si="49"/>
        <v>0.02</v>
      </c>
      <c r="Q82" s="230">
        <f t="shared" si="50"/>
        <v>0.02</v>
      </c>
      <c r="R82" s="230">
        <f t="shared" si="51"/>
        <v>0.02</v>
      </c>
      <c r="S82" s="230">
        <f t="shared" si="52"/>
        <v>0.02</v>
      </c>
      <c r="T82" s="230">
        <f t="shared" si="53"/>
        <v>0.02</v>
      </c>
      <c r="U82" s="230">
        <f t="shared" si="54"/>
        <v>0.02</v>
      </c>
      <c r="V82" s="230">
        <f t="shared" si="55"/>
        <v>0.02</v>
      </c>
      <c r="W82" s="230">
        <f t="shared" si="56"/>
        <v>0.02</v>
      </c>
      <c r="X82" s="230">
        <f t="shared" si="57"/>
        <v>0.02</v>
      </c>
      <c r="Y82" s="230">
        <f t="shared" si="58"/>
        <v>0.02</v>
      </c>
      <c r="Z82" s="292">
        <f t="shared" si="59"/>
        <v>0.02</v>
      </c>
      <c r="AA82" s="300"/>
      <c r="AB82" s="191">
        <f t="shared" si="60"/>
        <v>0.02</v>
      </c>
      <c r="AC82" s="139">
        <f t="shared" si="61"/>
        <v>6.8937343176206353E-2</v>
      </c>
      <c r="AD82" s="132">
        <f t="shared" si="62"/>
        <v>51.309477220944281</v>
      </c>
      <c r="AE82" s="168">
        <f t="shared" si="63"/>
        <v>0.69448757953591611</v>
      </c>
      <c r="AF82" s="192">
        <f t="shared" si="64"/>
        <v>0</v>
      </c>
      <c r="AG82" s="192">
        <f t="shared" si="30"/>
        <v>2.2150202645505863</v>
      </c>
      <c r="AH82" s="192">
        <f t="shared" si="65"/>
        <v>0.72926144827625572</v>
      </c>
      <c r="AI82" s="168">
        <f t="shared" si="66"/>
        <v>4.016945449328035</v>
      </c>
      <c r="AJ82" s="192">
        <f t="shared" si="67"/>
        <v>1.3243106493253902</v>
      </c>
      <c r="AK82" s="132">
        <f t="shared" si="68"/>
        <v>59.262967868516519</v>
      </c>
      <c r="AL82" s="192">
        <f t="shared" si="69"/>
        <v>0.84531692772798828</v>
      </c>
      <c r="AM82" s="192">
        <f t="shared" si="25"/>
        <v>0</v>
      </c>
      <c r="AN82" s="192">
        <f t="shared" si="70"/>
        <v>0</v>
      </c>
      <c r="AO82" s="192">
        <f t="shared" si="26"/>
        <v>0</v>
      </c>
      <c r="AS82" s="132"/>
      <c r="AT82" s="132"/>
      <c r="AU82" s="200"/>
      <c r="AV82" s="132"/>
      <c r="AW82" s="132"/>
      <c r="AX82" s="132"/>
      <c r="AY82" s="132"/>
      <c r="AZ82" s="132"/>
      <c r="BA82" s="167"/>
      <c r="BB82" s="167"/>
      <c r="BD82" s="211">
        <f t="shared" si="71"/>
        <v>42487</v>
      </c>
      <c r="BE82" s="210">
        <v>1</v>
      </c>
      <c r="BF82" s="209">
        <v>0.5</v>
      </c>
      <c r="BG82" s="209">
        <v>2</v>
      </c>
      <c r="BH82" s="210"/>
      <c r="BI82" s="209"/>
      <c r="BJ82" s="209"/>
      <c r="BK82" s="168">
        <f t="shared" si="72"/>
        <v>0.02</v>
      </c>
      <c r="BL82" s="168">
        <f t="shared" si="73"/>
        <v>6.8937343176206353E-2</v>
      </c>
    </row>
    <row r="83" spans="1:64" ht="13.5" thickBot="1" x14ac:dyDescent="0.25">
      <c r="A83" s="215">
        <f t="shared" si="39"/>
        <v>42488</v>
      </c>
      <c r="B83" s="190"/>
      <c r="C83" s="168"/>
      <c r="D83" s="198"/>
      <c r="E83" s="132">
        <f t="shared" si="41"/>
        <v>1186.5161412819186</v>
      </c>
      <c r="F83" s="168">
        <f t="shared" si="42"/>
        <v>544.14424575413284</v>
      </c>
      <c r="G83" s="300"/>
      <c r="H83" s="127">
        <f>VLOOKUP(MONTH(A83),ETP_Parametros!$A$6:$D$17,4,FALSE)</f>
        <v>3.6</v>
      </c>
      <c r="I83" s="230">
        <f>VLOOKUP(A83,P_Q_obs!$A$4:$F$308,6,FALSE)*1</f>
        <v>0.03</v>
      </c>
      <c r="J83" s="230">
        <f t="shared" si="43"/>
        <v>0.03</v>
      </c>
      <c r="K83" s="230">
        <f t="shared" si="44"/>
        <v>0.03</v>
      </c>
      <c r="L83" s="230">
        <f t="shared" si="45"/>
        <v>0.03</v>
      </c>
      <c r="M83" s="230">
        <f t="shared" si="46"/>
        <v>0.03</v>
      </c>
      <c r="N83" s="230">
        <f t="shared" si="47"/>
        <v>0.03</v>
      </c>
      <c r="O83" s="230">
        <f t="shared" si="48"/>
        <v>0.03</v>
      </c>
      <c r="P83" s="230">
        <f t="shared" si="49"/>
        <v>0.03</v>
      </c>
      <c r="Q83" s="230">
        <f t="shared" si="50"/>
        <v>0.03</v>
      </c>
      <c r="R83" s="230">
        <f t="shared" si="51"/>
        <v>0.03</v>
      </c>
      <c r="S83" s="230">
        <f t="shared" si="52"/>
        <v>0.03</v>
      </c>
      <c r="T83" s="230">
        <f t="shared" si="53"/>
        <v>0.03</v>
      </c>
      <c r="U83" s="230">
        <f t="shared" si="54"/>
        <v>0.03</v>
      </c>
      <c r="V83" s="230">
        <f t="shared" si="55"/>
        <v>0.03</v>
      </c>
      <c r="W83" s="230">
        <f t="shared" si="56"/>
        <v>0.03</v>
      </c>
      <c r="X83" s="230">
        <f t="shared" si="57"/>
        <v>0.03</v>
      </c>
      <c r="Y83" s="230">
        <f t="shared" si="58"/>
        <v>0.03</v>
      </c>
      <c r="Z83" s="292">
        <f t="shared" si="59"/>
        <v>0.03</v>
      </c>
      <c r="AA83" s="300"/>
      <c r="AB83" s="191">
        <f t="shared" si="60"/>
        <v>3.0000000000000002E-2</v>
      </c>
      <c r="AC83" s="139">
        <f t="shared" si="61"/>
        <v>0.45102933378629401</v>
      </c>
      <c r="AD83" s="132">
        <f t="shared" si="62"/>
        <v>48.954603722246326</v>
      </c>
      <c r="AE83" s="168">
        <f t="shared" si="63"/>
        <v>0.6576342524787776</v>
      </c>
      <c r="AF83" s="192">
        <f t="shared" si="64"/>
        <v>0</v>
      </c>
      <c r="AG83" s="192">
        <f t="shared" si="30"/>
        <v>2.23195252238179</v>
      </c>
      <c r="AH83" s="192">
        <f t="shared" si="65"/>
        <v>0.57395031010246134</v>
      </c>
      <c r="AI83" s="168">
        <f t="shared" si="66"/>
        <v>3.020984286251541</v>
      </c>
      <c r="AJ83" s="192">
        <f t="shared" si="67"/>
        <v>0.99596116307649385</v>
      </c>
      <c r="AK83" s="132">
        <f t="shared" si="68"/>
        <v>58.993253411128812</v>
      </c>
      <c r="AL83" s="192">
        <f t="shared" si="69"/>
        <v>0.84366476749016761</v>
      </c>
      <c r="AM83" s="192">
        <f t="shared" si="25"/>
        <v>0</v>
      </c>
      <c r="AN83" s="192">
        <f t="shared" si="70"/>
        <v>0</v>
      </c>
      <c r="AO83" s="192">
        <f t="shared" si="26"/>
        <v>0</v>
      </c>
      <c r="AS83" s="132"/>
      <c r="AT83" s="132"/>
      <c r="AU83" s="200"/>
      <c r="AV83" s="132"/>
      <c r="AW83" s="132"/>
      <c r="AX83" s="132"/>
      <c r="AY83" s="132"/>
      <c r="AZ83" s="132"/>
      <c r="BA83" s="167"/>
      <c r="BB83" s="167"/>
      <c r="BD83" s="211">
        <f t="shared" si="71"/>
        <v>42488</v>
      </c>
      <c r="BE83" s="210">
        <v>1</v>
      </c>
      <c r="BF83" s="209">
        <v>0.5</v>
      </c>
      <c r="BG83" s="209">
        <v>2</v>
      </c>
      <c r="BH83" s="210"/>
      <c r="BI83" s="209"/>
      <c r="BJ83" s="209"/>
      <c r="BK83" s="168">
        <f t="shared" si="72"/>
        <v>0.03</v>
      </c>
      <c r="BL83" s="168">
        <f t="shared" si="73"/>
        <v>0.45102933378629401</v>
      </c>
    </row>
    <row r="84" spans="1:64" ht="13.5" thickBot="1" x14ac:dyDescent="0.25">
      <c r="A84" s="215">
        <f t="shared" si="39"/>
        <v>42489</v>
      </c>
      <c r="B84" s="190"/>
      <c r="C84" s="168"/>
      <c r="D84" s="198"/>
      <c r="E84" s="132">
        <f t="shared" si="41"/>
        <v>1058.7288535044495</v>
      </c>
      <c r="F84" s="168">
        <f t="shared" si="42"/>
        <v>541.66776549567146</v>
      </c>
      <c r="G84" s="300"/>
      <c r="H84" s="127">
        <f>VLOOKUP(MONTH(A84),ETP_Parametros!$A$6:$D$17,4,FALSE)</f>
        <v>3.6</v>
      </c>
      <c r="I84" s="230">
        <f>VLOOKUP(A84,P_Q_obs!$A$4:$F$308,6,FALSE)*1</f>
        <v>2.02</v>
      </c>
      <c r="J84" s="230">
        <f t="shared" si="43"/>
        <v>2.02</v>
      </c>
      <c r="K84" s="230">
        <f t="shared" si="44"/>
        <v>2.02</v>
      </c>
      <c r="L84" s="230">
        <f t="shared" si="45"/>
        <v>2.02</v>
      </c>
      <c r="M84" s="230">
        <f t="shared" si="46"/>
        <v>2.02</v>
      </c>
      <c r="N84" s="230">
        <f t="shared" si="47"/>
        <v>2.02</v>
      </c>
      <c r="O84" s="230">
        <f t="shared" si="48"/>
        <v>2.02</v>
      </c>
      <c r="P84" s="230">
        <f t="shared" si="49"/>
        <v>2.02</v>
      </c>
      <c r="Q84" s="230">
        <f t="shared" si="50"/>
        <v>2.02</v>
      </c>
      <c r="R84" s="230">
        <f t="shared" si="51"/>
        <v>2.02</v>
      </c>
      <c r="S84" s="230">
        <f t="shared" si="52"/>
        <v>2.02</v>
      </c>
      <c r="T84" s="230">
        <f t="shared" si="53"/>
        <v>2.02</v>
      </c>
      <c r="U84" s="230">
        <f t="shared" si="54"/>
        <v>2.02</v>
      </c>
      <c r="V84" s="230">
        <f t="shared" si="55"/>
        <v>2.02</v>
      </c>
      <c r="W84" s="230">
        <f t="shared" si="56"/>
        <v>2.02</v>
      </c>
      <c r="X84" s="230">
        <f t="shared" si="57"/>
        <v>2.02</v>
      </c>
      <c r="Y84" s="230">
        <f t="shared" si="58"/>
        <v>2.02</v>
      </c>
      <c r="Z84" s="292">
        <f t="shared" si="59"/>
        <v>2.02</v>
      </c>
      <c r="AA84" s="300"/>
      <c r="AB84" s="191">
        <f t="shared" si="60"/>
        <v>2.02</v>
      </c>
      <c r="AC84" s="139">
        <f t="shared" si="61"/>
        <v>4.5928874278621157</v>
      </c>
      <c r="AD84" s="132">
        <f t="shared" si="62"/>
        <v>49.719543998603271</v>
      </c>
      <c r="AE84" s="168">
        <f t="shared" si="63"/>
        <v>0.62745180750219609</v>
      </c>
      <c r="AF84" s="192">
        <f t="shared" si="64"/>
        <v>0.21235484169233221</v>
      </c>
      <c r="AG84" s="192">
        <f t="shared" si="30"/>
        <v>3.1591048056504483</v>
      </c>
      <c r="AH84" s="192">
        <f t="shared" si="65"/>
        <v>0.4564875041623902</v>
      </c>
      <c r="AI84" s="168">
        <f t="shared" si="66"/>
        <v>2.4316652593016159</v>
      </c>
      <c r="AJ84" s="192">
        <f t="shared" si="67"/>
        <v>0.80167386864225731</v>
      </c>
      <c r="AK84" s="132">
        <f t="shared" si="68"/>
        <v>58.609915789877107</v>
      </c>
      <c r="AL84" s="192">
        <f t="shared" si="69"/>
        <v>0.83982512541409771</v>
      </c>
      <c r="AM84" s="192">
        <f t="shared" si="25"/>
        <v>0</v>
      </c>
      <c r="AN84" s="192">
        <f t="shared" si="70"/>
        <v>0</v>
      </c>
      <c r="AO84" s="192">
        <f t="shared" si="26"/>
        <v>0</v>
      </c>
      <c r="AS84" s="132"/>
      <c r="AT84" s="132"/>
      <c r="AU84" s="200"/>
      <c r="AV84" s="132"/>
      <c r="AW84" s="132"/>
      <c r="AX84" s="132"/>
      <c r="AY84" s="132"/>
      <c r="AZ84" s="132"/>
      <c r="BA84" s="167"/>
      <c r="BB84" s="167"/>
      <c r="BD84" s="211">
        <f t="shared" si="71"/>
        <v>42489</v>
      </c>
      <c r="BE84" s="210">
        <v>1</v>
      </c>
      <c r="BF84" s="209">
        <v>0.5</v>
      </c>
      <c r="BG84" s="209">
        <v>2</v>
      </c>
      <c r="BH84" s="210"/>
      <c r="BI84" s="209"/>
      <c r="BJ84" s="209"/>
      <c r="BK84" s="168">
        <f t="shared" si="72"/>
        <v>2.02</v>
      </c>
      <c r="BL84" s="168">
        <f t="shared" si="73"/>
        <v>4.5928874278621157</v>
      </c>
    </row>
    <row r="85" spans="1:64" ht="13.5" thickBot="1" x14ac:dyDescent="0.25">
      <c r="A85" s="215">
        <f t="shared" si="39"/>
        <v>42490</v>
      </c>
      <c r="B85" s="190"/>
      <c r="C85" s="168"/>
      <c r="D85" s="198"/>
      <c r="E85" s="132">
        <f t="shared" si="41"/>
        <v>1166.9321409923896</v>
      </c>
      <c r="F85" s="168">
        <f t="shared" si="42"/>
        <v>538.14801330830232</v>
      </c>
      <c r="G85" s="300"/>
      <c r="H85" s="127">
        <f>VLOOKUP(MONTH(A85),ETP_Parametros!$A$6:$D$17,4,FALSE)</f>
        <v>3.6</v>
      </c>
      <c r="I85" s="230">
        <f>VLOOKUP(A85,P_Q_obs!$A$4:$F$308,6,FALSE)*1</f>
        <v>18.02</v>
      </c>
      <c r="J85" s="230">
        <f t="shared" si="43"/>
        <v>18.02</v>
      </c>
      <c r="K85" s="230">
        <f t="shared" si="44"/>
        <v>18.02</v>
      </c>
      <c r="L85" s="230">
        <f t="shared" si="45"/>
        <v>18.02</v>
      </c>
      <c r="M85" s="230">
        <f t="shared" si="46"/>
        <v>18.02</v>
      </c>
      <c r="N85" s="230">
        <f t="shared" si="47"/>
        <v>18.02</v>
      </c>
      <c r="O85" s="230">
        <f t="shared" si="48"/>
        <v>18.02</v>
      </c>
      <c r="P85" s="230">
        <f t="shared" si="49"/>
        <v>18.02</v>
      </c>
      <c r="Q85" s="230">
        <f t="shared" si="50"/>
        <v>18.02</v>
      </c>
      <c r="R85" s="230">
        <f t="shared" si="51"/>
        <v>18.02</v>
      </c>
      <c r="S85" s="230">
        <f t="shared" si="52"/>
        <v>18.02</v>
      </c>
      <c r="T85" s="230">
        <f t="shared" si="53"/>
        <v>18.02</v>
      </c>
      <c r="U85" s="230">
        <f t="shared" si="54"/>
        <v>18.02</v>
      </c>
      <c r="V85" s="230">
        <f t="shared" si="55"/>
        <v>18.02</v>
      </c>
      <c r="W85" s="230">
        <f t="shared" si="56"/>
        <v>18.02</v>
      </c>
      <c r="X85" s="230">
        <f t="shared" si="57"/>
        <v>18.02</v>
      </c>
      <c r="Y85" s="230">
        <f t="shared" si="58"/>
        <v>18.02</v>
      </c>
      <c r="Z85" s="292">
        <f t="shared" si="59"/>
        <v>18.02</v>
      </c>
      <c r="AA85" s="300"/>
      <c r="AB85" s="191">
        <f t="shared" si="60"/>
        <v>18.02</v>
      </c>
      <c r="AC85" s="139">
        <f t="shared" si="61"/>
        <v>9.3094383838147117</v>
      </c>
      <c r="AD85" s="132">
        <f t="shared" si="62"/>
        <v>53.875883831352063</v>
      </c>
      <c r="AE85" s="168">
        <f t="shared" si="63"/>
        <v>0.63725605720574918</v>
      </c>
      <c r="AF85" s="192">
        <f t="shared" si="64"/>
        <v>1.500311774399478</v>
      </c>
      <c r="AG85" s="192">
        <f t="shared" si="30"/>
        <v>3.1591048056504483</v>
      </c>
      <c r="AH85" s="192">
        <f t="shared" si="65"/>
        <v>0.49368197101598849</v>
      </c>
      <c r="AI85" s="168">
        <f t="shared" si="66"/>
        <v>2.9570829334264443</v>
      </c>
      <c r="AJ85" s="192">
        <f t="shared" si="67"/>
        <v>0.97489410027464984</v>
      </c>
      <c r="AK85" s="132">
        <f t="shared" si="68"/>
        <v>58.269229811464868</v>
      </c>
      <c r="AL85" s="192">
        <f t="shared" si="69"/>
        <v>0.83436794942822601</v>
      </c>
      <c r="AM85" s="192">
        <f t="shared" si="25"/>
        <v>0</v>
      </c>
      <c r="AN85" s="192">
        <f t="shared" si="70"/>
        <v>0</v>
      </c>
      <c r="AO85" s="192">
        <f t="shared" si="26"/>
        <v>0</v>
      </c>
      <c r="AS85" s="132"/>
      <c r="AT85" s="132"/>
      <c r="AU85" s="200"/>
      <c r="AV85" s="132"/>
      <c r="AW85" s="132"/>
      <c r="AX85" s="132"/>
      <c r="AY85" s="132"/>
      <c r="AZ85" s="132"/>
      <c r="BA85" s="167"/>
      <c r="BB85" s="167"/>
      <c r="BD85" s="211">
        <f t="shared" si="71"/>
        <v>42490</v>
      </c>
      <c r="BE85" s="210">
        <v>1</v>
      </c>
      <c r="BF85" s="209">
        <v>0.5</v>
      </c>
      <c r="BG85" s="209">
        <v>2</v>
      </c>
      <c r="BH85" s="210"/>
      <c r="BI85" s="209"/>
      <c r="BJ85" s="209"/>
      <c r="BK85" s="168">
        <f t="shared" si="72"/>
        <v>18.02</v>
      </c>
      <c r="BL85" s="168">
        <f t="shared" si="73"/>
        <v>9.3094383838147117</v>
      </c>
    </row>
    <row r="86" spans="1:64" ht="13.5" thickBot="1" x14ac:dyDescent="0.25">
      <c r="A86" s="215">
        <f t="shared" si="39"/>
        <v>42491</v>
      </c>
      <c r="B86" s="190"/>
      <c r="C86" s="168"/>
      <c r="D86" s="198"/>
      <c r="E86" s="132">
        <f t="shared" si="41"/>
        <v>1479.5368293329045</v>
      </c>
      <c r="F86" s="168">
        <f t="shared" si="42"/>
        <v>535.01988251381636</v>
      </c>
      <c r="G86" s="300"/>
      <c r="H86" s="127">
        <f>VLOOKUP(MONTH(A86),ETP_Parametros!$A$6:$D$17,4,FALSE)</f>
        <v>2.4193548387096775</v>
      </c>
      <c r="I86" s="230">
        <f>VLOOKUP(A86,P_Q_obs!$A$4:$F$308,6,FALSE)*1</f>
        <v>9.49</v>
      </c>
      <c r="J86" s="230">
        <f t="shared" si="43"/>
        <v>9.49</v>
      </c>
      <c r="K86" s="230">
        <f t="shared" si="44"/>
        <v>9.49</v>
      </c>
      <c r="L86" s="230">
        <f t="shared" si="45"/>
        <v>9.49</v>
      </c>
      <c r="M86" s="230">
        <f t="shared" si="46"/>
        <v>9.49</v>
      </c>
      <c r="N86" s="230">
        <f t="shared" si="47"/>
        <v>9.49</v>
      </c>
      <c r="O86" s="230">
        <f t="shared" si="48"/>
        <v>9.49</v>
      </c>
      <c r="P86" s="230">
        <f t="shared" si="49"/>
        <v>9.49</v>
      </c>
      <c r="Q86" s="230">
        <f t="shared" si="50"/>
        <v>9.49</v>
      </c>
      <c r="R86" s="230">
        <f t="shared" si="51"/>
        <v>9.49</v>
      </c>
      <c r="S86" s="230">
        <f t="shared" si="52"/>
        <v>9.49</v>
      </c>
      <c r="T86" s="230">
        <f t="shared" si="53"/>
        <v>9.49</v>
      </c>
      <c r="U86" s="230">
        <f t="shared" si="54"/>
        <v>9.49</v>
      </c>
      <c r="V86" s="230">
        <f t="shared" si="55"/>
        <v>9.49</v>
      </c>
      <c r="W86" s="230">
        <f t="shared" si="56"/>
        <v>9.49</v>
      </c>
      <c r="X86" s="230">
        <f t="shared" si="57"/>
        <v>9.49</v>
      </c>
      <c r="Y86" s="230">
        <f t="shared" si="58"/>
        <v>9.49</v>
      </c>
      <c r="Z86" s="292">
        <f t="shared" si="59"/>
        <v>9.49</v>
      </c>
      <c r="AA86" s="300"/>
      <c r="AB86" s="191">
        <f t="shared" si="60"/>
        <v>9.49</v>
      </c>
      <c r="AC86" s="139">
        <f t="shared" si="61"/>
        <v>12.041185063562413</v>
      </c>
      <c r="AD86" s="132">
        <f t="shared" si="62"/>
        <v>60.132800278837102</v>
      </c>
      <c r="AE86" s="168">
        <f t="shared" si="63"/>
        <v>0.69052792016368592</v>
      </c>
      <c r="AF86" s="192">
        <f t="shared" si="64"/>
        <v>2.9492667648598698</v>
      </c>
      <c r="AG86" s="192">
        <f t="shared" si="30"/>
        <v>2.1230543048726132</v>
      </c>
      <c r="AH86" s="192">
        <f t="shared" si="65"/>
        <v>0.71194754634489721</v>
      </c>
      <c r="AI86" s="168">
        <f t="shared" si="66"/>
        <v>4.441929782893693</v>
      </c>
      <c r="AJ86" s="192">
        <f t="shared" si="67"/>
        <v>1.4644199153926214</v>
      </c>
      <c r="AK86" s="132">
        <f t="shared" si="68"/>
        <v>58.151659397626119</v>
      </c>
      <c r="AL86" s="192">
        <f t="shared" si="69"/>
        <v>0.82951796018364388</v>
      </c>
      <c r="AM86" s="192">
        <f t="shared" si="25"/>
        <v>0</v>
      </c>
      <c r="AN86" s="192">
        <f t="shared" si="70"/>
        <v>0</v>
      </c>
      <c r="AO86" s="192">
        <f t="shared" si="26"/>
        <v>0</v>
      </c>
      <c r="AS86" s="132"/>
      <c r="AT86" s="132"/>
      <c r="AU86" s="200"/>
      <c r="AV86" s="132"/>
      <c r="AW86" s="132"/>
      <c r="AX86" s="132"/>
      <c r="AY86" s="132"/>
      <c r="AZ86" s="132"/>
      <c r="BA86" s="167"/>
      <c r="BB86" s="167"/>
      <c r="BD86" s="211">
        <f t="shared" si="71"/>
        <v>42491</v>
      </c>
      <c r="BE86" s="210">
        <v>1</v>
      </c>
      <c r="BF86" s="209">
        <v>0.5</v>
      </c>
      <c r="BG86" s="209">
        <v>2</v>
      </c>
      <c r="BH86" s="210"/>
      <c r="BI86" s="209"/>
      <c r="BJ86" s="209"/>
      <c r="BK86" s="168">
        <f t="shared" si="72"/>
        <v>9.49</v>
      </c>
      <c r="BL86" s="168">
        <f t="shared" si="73"/>
        <v>12.041185063562413</v>
      </c>
    </row>
    <row r="87" spans="1:64" ht="13.5" thickBot="1" x14ac:dyDescent="0.25">
      <c r="A87" s="215">
        <f t="shared" si="39"/>
        <v>42492</v>
      </c>
      <c r="B87" s="190"/>
      <c r="C87" s="168"/>
      <c r="D87" s="198"/>
      <c r="E87" s="132">
        <f t="shared" si="41"/>
        <v>1370.3699262837938</v>
      </c>
      <c r="F87" s="168">
        <f t="shared" si="42"/>
        <v>533.94036749014731</v>
      </c>
      <c r="G87" s="300"/>
      <c r="H87" s="127">
        <f>VLOOKUP(MONTH(A87),ETP_Parametros!$A$6:$D$17,4,FALSE)</f>
        <v>2.4193548387096775</v>
      </c>
      <c r="I87" s="230">
        <f>VLOOKUP(A87,P_Q_obs!$A$4:$F$308,6,FALSE)*1</f>
        <v>6.3</v>
      </c>
      <c r="J87" s="230">
        <f t="shared" si="43"/>
        <v>6.3</v>
      </c>
      <c r="K87" s="230">
        <f t="shared" si="44"/>
        <v>6.3</v>
      </c>
      <c r="L87" s="230">
        <f t="shared" si="45"/>
        <v>6.3</v>
      </c>
      <c r="M87" s="230">
        <f t="shared" si="46"/>
        <v>6.3</v>
      </c>
      <c r="N87" s="230">
        <f t="shared" si="47"/>
        <v>6.3</v>
      </c>
      <c r="O87" s="230">
        <f t="shared" si="48"/>
        <v>6.3</v>
      </c>
      <c r="P87" s="230">
        <f t="shared" si="49"/>
        <v>6.3</v>
      </c>
      <c r="Q87" s="230">
        <f t="shared" si="50"/>
        <v>6.3</v>
      </c>
      <c r="R87" s="230">
        <f t="shared" si="51"/>
        <v>6.3</v>
      </c>
      <c r="S87" s="230">
        <f t="shared" si="52"/>
        <v>6.3</v>
      </c>
      <c r="T87" s="230">
        <f t="shared" si="53"/>
        <v>6.3</v>
      </c>
      <c r="U87" s="230">
        <f t="shared" si="54"/>
        <v>6.3</v>
      </c>
      <c r="V87" s="230">
        <f t="shared" si="55"/>
        <v>6.3</v>
      </c>
      <c r="W87" s="230">
        <f t="shared" si="56"/>
        <v>6.3</v>
      </c>
      <c r="X87" s="230">
        <f t="shared" si="57"/>
        <v>6.3</v>
      </c>
      <c r="Y87" s="230">
        <f t="shared" si="58"/>
        <v>6.3</v>
      </c>
      <c r="Z87" s="292">
        <f t="shared" si="59"/>
        <v>6.3</v>
      </c>
      <c r="AA87" s="300"/>
      <c r="AB87" s="191">
        <f t="shared" si="60"/>
        <v>6.299999999999998</v>
      </c>
      <c r="AC87" s="139">
        <f t="shared" si="61"/>
        <v>6.1706085651300899</v>
      </c>
      <c r="AD87" s="132">
        <f t="shared" si="62"/>
        <v>62.29981543750359</v>
      </c>
      <c r="AE87" s="168">
        <f t="shared" si="63"/>
        <v>0.77072290155173184</v>
      </c>
      <c r="AF87" s="192">
        <f t="shared" si="64"/>
        <v>0.78851683731381017</v>
      </c>
      <c r="AG87" s="192">
        <f t="shared" si="30"/>
        <v>2.1230543048726132</v>
      </c>
      <c r="AH87" s="192">
        <f t="shared" si="65"/>
        <v>1.0920222642771811</v>
      </c>
      <c r="AI87" s="168">
        <f t="shared" si="66"/>
        <v>3.9336100649232359</v>
      </c>
      <c r="AJ87" s="192">
        <f t="shared" si="67"/>
        <v>1.2968365552842669</v>
      </c>
      <c r="AK87" s="132">
        <f t="shared" si="68"/>
        <v>58.415837428490732</v>
      </c>
      <c r="AL87" s="192">
        <f t="shared" si="69"/>
        <v>0.8278442334125673</v>
      </c>
      <c r="AM87" s="192">
        <f t="shared" si="25"/>
        <v>0</v>
      </c>
      <c r="AN87" s="192">
        <f t="shared" si="70"/>
        <v>0</v>
      </c>
      <c r="AO87" s="192">
        <f t="shared" si="26"/>
        <v>0</v>
      </c>
      <c r="AS87" s="132"/>
      <c r="AT87" s="132"/>
      <c r="AU87" s="200"/>
      <c r="AV87" s="132"/>
      <c r="AW87" s="132"/>
      <c r="AX87" s="132"/>
      <c r="AY87" s="132"/>
      <c r="AZ87" s="132"/>
      <c r="BA87" s="167"/>
      <c r="BB87" s="167"/>
      <c r="BD87" s="211">
        <f t="shared" si="71"/>
        <v>42492</v>
      </c>
      <c r="BE87" s="210">
        <v>1</v>
      </c>
      <c r="BF87" s="209">
        <v>0.5</v>
      </c>
      <c r="BG87" s="209">
        <v>2</v>
      </c>
      <c r="BH87" s="210"/>
      <c r="BI87" s="209"/>
      <c r="BJ87" s="209"/>
      <c r="BK87" s="168">
        <f t="shared" si="72"/>
        <v>6.3</v>
      </c>
      <c r="BL87" s="168">
        <f t="shared" si="73"/>
        <v>6.1706085651300899</v>
      </c>
    </row>
    <row r="88" spans="1:64" ht="13.5" thickBot="1" x14ac:dyDescent="0.25">
      <c r="A88" s="215">
        <f t="shared" si="39"/>
        <v>42493</v>
      </c>
      <c r="B88" s="190"/>
      <c r="C88" s="168"/>
      <c r="D88" s="198"/>
      <c r="E88" s="132">
        <f t="shared" si="41"/>
        <v>1175.0849711097492</v>
      </c>
      <c r="F88" s="168">
        <f t="shared" si="42"/>
        <v>536.36601305802651</v>
      </c>
      <c r="G88" s="300"/>
      <c r="H88" s="127">
        <f>VLOOKUP(MONTH(A88),ETP_Parametros!$A$6:$D$17,4,FALSE)</f>
        <v>2.4193548387096775</v>
      </c>
      <c r="I88" s="230">
        <f>VLOOKUP(A88,P_Q_obs!$A$4:$F$308,6,FALSE)*1</f>
        <v>0.12</v>
      </c>
      <c r="J88" s="230">
        <f t="shared" si="43"/>
        <v>0.12</v>
      </c>
      <c r="K88" s="230">
        <f t="shared" si="44"/>
        <v>0.12</v>
      </c>
      <c r="L88" s="230">
        <f t="shared" si="45"/>
        <v>0.12</v>
      </c>
      <c r="M88" s="230">
        <f t="shared" si="46"/>
        <v>0.12</v>
      </c>
      <c r="N88" s="230">
        <f t="shared" si="47"/>
        <v>0.12</v>
      </c>
      <c r="O88" s="230">
        <f t="shared" si="48"/>
        <v>0.12</v>
      </c>
      <c r="P88" s="230">
        <f t="shared" si="49"/>
        <v>0.12</v>
      </c>
      <c r="Q88" s="230">
        <f t="shared" si="50"/>
        <v>0.12</v>
      </c>
      <c r="R88" s="230">
        <f t="shared" si="51"/>
        <v>0.12</v>
      </c>
      <c r="S88" s="230">
        <f t="shared" si="52"/>
        <v>0.12</v>
      </c>
      <c r="T88" s="230">
        <f t="shared" si="53"/>
        <v>0.12</v>
      </c>
      <c r="U88" s="230">
        <f t="shared" si="54"/>
        <v>0.12</v>
      </c>
      <c r="V88" s="230">
        <f t="shared" si="55"/>
        <v>0.12</v>
      </c>
      <c r="W88" s="230">
        <f t="shared" si="56"/>
        <v>0.12</v>
      </c>
      <c r="X88" s="230">
        <f t="shared" si="57"/>
        <v>0.12</v>
      </c>
      <c r="Y88" s="230">
        <f t="shared" si="58"/>
        <v>0.12</v>
      </c>
      <c r="Z88" s="292">
        <f t="shared" si="59"/>
        <v>0.12</v>
      </c>
      <c r="AA88" s="300"/>
      <c r="AB88" s="191">
        <f t="shared" si="60"/>
        <v>0.12000000000000001</v>
      </c>
      <c r="AC88" s="139">
        <f t="shared" si="61"/>
        <v>3.0059234169175291</v>
      </c>
      <c r="AD88" s="132">
        <f t="shared" si="62"/>
        <v>61.88410612274906</v>
      </c>
      <c r="AE88" s="168">
        <f t="shared" si="63"/>
        <v>0.79849756368370328</v>
      </c>
      <c r="AF88" s="192">
        <f t="shared" si="64"/>
        <v>6.0492463235130405E-2</v>
      </c>
      <c r="AG88" s="192">
        <f t="shared" si="30"/>
        <v>2.1230543048726132</v>
      </c>
      <c r="AH88" s="192">
        <f t="shared" si="65"/>
        <v>1.2380859635643138</v>
      </c>
      <c r="AI88" s="168">
        <f t="shared" si="66"/>
        <v>3.0038050372982861</v>
      </c>
      <c r="AJ88" s="192">
        <f t="shared" si="67"/>
        <v>0.99029749086008023</v>
      </c>
      <c r="AK88" s="132">
        <f t="shared" si="68"/>
        <v>58.82231833286879</v>
      </c>
      <c r="AL88" s="192">
        <f t="shared" si="69"/>
        <v>0.83160505918625938</v>
      </c>
      <c r="AM88" s="192">
        <f t="shared" si="25"/>
        <v>0</v>
      </c>
      <c r="AN88" s="192">
        <f t="shared" si="70"/>
        <v>0</v>
      </c>
      <c r="AO88" s="192">
        <f t="shared" si="26"/>
        <v>0</v>
      </c>
      <c r="AS88" s="132"/>
      <c r="AT88" s="132"/>
      <c r="AU88" s="200"/>
      <c r="AV88" s="132"/>
      <c r="AW88" s="132"/>
      <c r="AX88" s="132"/>
      <c r="AY88" s="132"/>
      <c r="AZ88" s="132"/>
      <c r="BA88" s="167"/>
      <c r="BB88" s="167"/>
      <c r="BD88" s="211">
        <f t="shared" si="71"/>
        <v>42493</v>
      </c>
      <c r="BE88" s="210">
        <v>1</v>
      </c>
      <c r="BF88" s="209">
        <v>0.5</v>
      </c>
      <c r="BG88" s="209">
        <v>2</v>
      </c>
      <c r="BH88" s="210"/>
      <c r="BI88" s="209"/>
      <c r="BJ88" s="209"/>
      <c r="BK88" s="168">
        <f t="shared" si="72"/>
        <v>0.12</v>
      </c>
      <c r="BL88" s="168">
        <f t="shared" si="73"/>
        <v>3.0059234169175291</v>
      </c>
    </row>
    <row r="89" spans="1:64" ht="13.5" thickBot="1" x14ac:dyDescent="0.25">
      <c r="A89" s="215">
        <f t="shared" si="39"/>
        <v>42494</v>
      </c>
      <c r="B89" s="190"/>
      <c r="C89" s="168"/>
      <c r="D89" s="198"/>
      <c r="E89" s="132">
        <f t="shared" si="41"/>
        <v>1020.4532895832325</v>
      </c>
      <c r="F89" s="168">
        <f t="shared" si="42"/>
        <v>540.09826361991168</v>
      </c>
      <c r="G89" s="300"/>
      <c r="H89" s="127">
        <f>VLOOKUP(MONTH(A89),ETP_Parametros!$A$6:$D$17,4,FALSE)</f>
        <v>2.4193548387096775</v>
      </c>
      <c r="I89" s="230">
        <f>VLOOKUP(A89,P_Q_obs!$A$4:$F$308,6,FALSE)*1</f>
        <v>0</v>
      </c>
      <c r="J89" s="230">
        <f t="shared" si="43"/>
        <v>0</v>
      </c>
      <c r="K89" s="230">
        <f t="shared" si="44"/>
        <v>0</v>
      </c>
      <c r="L89" s="230">
        <f t="shared" si="45"/>
        <v>0</v>
      </c>
      <c r="M89" s="230">
        <f t="shared" si="46"/>
        <v>0</v>
      </c>
      <c r="N89" s="230">
        <f t="shared" si="47"/>
        <v>0</v>
      </c>
      <c r="O89" s="230">
        <f t="shared" si="48"/>
        <v>0</v>
      </c>
      <c r="P89" s="230">
        <f t="shared" si="49"/>
        <v>0</v>
      </c>
      <c r="Q89" s="230">
        <f t="shared" si="50"/>
        <v>0</v>
      </c>
      <c r="R89" s="230">
        <f t="shared" si="51"/>
        <v>0</v>
      </c>
      <c r="S89" s="230">
        <f t="shared" si="52"/>
        <v>0</v>
      </c>
      <c r="T89" s="230">
        <f t="shared" si="53"/>
        <v>0</v>
      </c>
      <c r="U89" s="230">
        <f t="shared" si="54"/>
        <v>0</v>
      </c>
      <c r="V89" s="230">
        <f t="shared" si="55"/>
        <v>0</v>
      </c>
      <c r="W89" s="230">
        <f t="shared" si="56"/>
        <v>0</v>
      </c>
      <c r="X89" s="230">
        <f t="shared" si="57"/>
        <v>0</v>
      </c>
      <c r="Y89" s="230">
        <f t="shared" si="58"/>
        <v>0</v>
      </c>
      <c r="Z89" s="292">
        <f t="shared" si="59"/>
        <v>0</v>
      </c>
      <c r="AA89" s="300"/>
      <c r="AB89" s="191">
        <f t="shared" si="60"/>
        <v>0</v>
      </c>
      <c r="AC89" s="139">
        <f t="shared" si="61"/>
        <v>1.0856936318725869</v>
      </c>
      <c r="AD89" s="132">
        <f t="shared" si="62"/>
        <v>59.851812983956563</v>
      </c>
      <c r="AE89" s="168">
        <f t="shared" si="63"/>
        <v>0.79316941186333234</v>
      </c>
      <c r="AF89" s="192">
        <f t="shared" si="64"/>
        <v>0</v>
      </c>
      <c r="AG89" s="192">
        <f t="shared" ref="AG89:AG152" si="74">IF((AC89-AF89)&gt;H89,H89*$O$11,(AC89-AF89+(H89*$O$11-(AC89-AF89))*AE89))</f>
        <v>1.9084963867661684</v>
      </c>
      <c r="AH89" s="192">
        <f t="shared" si="65"/>
        <v>1.2094903838989142</v>
      </c>
      <c r="AI89" s="168">
        <f t="shared" si="66"/>
        <v>2.2590418344265402</v>
      </c>
      <c r="AJ89" s="192">
        <f t="shared" si="67"/>
        <v>0.74476320287174591</v>
      </c>
      <c r="AK89" s="132">
        <f t="shared" si="68"/>
        <v>59.194417014927268</v>
      </c>
      <c r="AL89" s="192">
        <f t="shared" si="69"/>
        <v>0.83739170184044021</v>
      </c>
      <c r="AM89" s="192">
        <f t="shared" ref="AM89:AM152" si="75">IF(AI88&lt;=$O$12,0,(AI88-$O$12)*(1-0.5^(1/$O$13)))</f>
        <v>0</v>
      </c>
      <c r="AN89" s="192">
        <f t="shared" si="70"/>
        <v>0</v>
      </c>
      <c r="AO89" s="192">
        <f t="shared" ref="AO89:AO152" si="76">AN88*(1-0.5^(1/$O$14))</f>
        <v>0</v>
      </c>
      <c r="AS89" s="132"/>
      <c r="AT89" s="132"/>
      <c r="AU89" s="200"/>
      <c r="AV89" s="132"/>
      <c r="AW89" s="132"/>
      <c r="AX89" s="132"/>
      <c r="AY89" s="132"/>
      <c r="AZ89" s="132"/>
      <c r="BA89" s="167"/>
      <c r="BB89" s="167"/>
      <c r="BD89" s="211">
        <f t="shared" si="71"/>
        <v>42494</v>
      </c>
      <c r="BE89" s="210">
        <v>1</v>
      </c>
      <c r="BF89" s="209">
        <v>0.5</v>
      </c>
      <c r="BG89" s="209">
        <v>2</v>
      </c>
      <c r="BH89" s="210"/>
      <c r="BI89" s="209"/>
      <c r="BJ89" s="209"/>
      <c r="BK89" s="168">
        <f t="shared" si="72"/>
        <v>0</v>
      </c>
      <c r="BL89" s="168">
        <f t="shared" si="73"/>
        <v>1.0856936318725869</v>
      </c>
    </row>
    <row r="90" spans="1:64" ht="13.5" thickBot="1" x14ac:dyDescent="0.25">
      <c r="A90" s="215">
        <f t="shared" si="39"/>
        <v>42495</v>
      </c>
      <c r="B90" s="190"/>
      <c r="C90" s="168"/>
      <c r="D90" s="198"/>
      <c r="E90" s="132">
        <f t="shared" si="41"/>
        <v>914.59932058221477</v>
      </c>
      <c r="F90" s="168">
        <f t="shared" si="42"/>
        <v>543.51482144644581</v>
      </c>
      <c r="G90" s="300"/>
      <c r="H90" s="127">
        <f>VLOOKUP(MONTH(A90),ETP_Parametros!$A$6:$D$17,4,FALSE)</f>
        <v>2.4193548387096775</v>
      </c>
      <c r="I90" s="230">
        <f>VLOOKUP(A90,P_Q_obs!$A$4:$F$308,6,FALSE)*1</f>
        <v>3.83</v>
      </c>
      <c r="J90" s="230">
        <f t="shared" si="43"/>
        <v>3.83</v>
      </c>
      <c r="K90" s="230">
        <f t="shared" si="44"/>
        <v>3.83</v>
      </c>
      <c r="L90" s="230">
        <f t="shared" si="45"/>
        <v>3.83</v>
      </c>
      <c r="M90" s="230">
        <f t="shared" si="46"/>
        <v>3.83</v>
      </c>
      <c r="N90" s="230">
        <f t="shared" si="47"/>
        <v>3.83</v>
      </c>
      <c r="O90" s="230">
        <f t="shared" si="48"/>
        <v>3.83</v>
      </c>
      <c r="P90" s="230">
        <f t="shared" si="49"/>
        <v>3.83</v>
      </c>
      <c r="Q90" s="230">
        <f t="shared" si="50"/>
        <v>3.83</v>
      </c>
      <c r="R90" s="230">
        <f t="shared" si="51"/>
        <v>3.83</v>
      </c>
      <c r="S90" s="230">
        <f t="shared" si="52"/>
        <v>3.83</v>
      </c>
      <c r="T90" s="230">
        <f t="shared" si="53"/>
        <v>3.83</v>
      </c>
      <c r="U90" s="230">
        <f t="shared" si="54"/>
        <v>3.83</v>
      </c>
      <c r="V90" s="230">
        <f t="shared" si="55"/>
        <v>3.83</v>
      </c>
      <c r="W90" s="230">
        <f t="shared" si="56"/>
        <v>3.83</v>
      </c>
      <c r="X90" s="230">
        <f t="shared" si="57"/>
        <v>3.83</v>
      </c>
      <c r="Y90" s="230">
        <f t="shared" si="58"/>
        <v>3.83</v>
      </c>
      <c r="Z90" s="292">
        <f t="shared" si="59"/>
        <v>3.83</v>
      </c>
      <c r="AA90" s="300"/>
      <c r="AB90" s="191">
        <f t="shared" si="60"/>
        <v>3.8299999999999996</v>
      </c>
      <c r="AC90" s="139">
        <f t="shared" si="61"/>
        <v>3.0879299022110205</v>
      </c>
      <c r="AD90" s="132">
        <f t="shared" si="62"/>
        <v>59.681600455764354</v>
      </c>
      <c r="AE90" s="168">
        <f t="shared" si="63"/>
        <v>0.76712148365325894</v>
      </c>
      <c r="AF90" s="192">
        <f t="shared" si="64"/>
        <v>6.1461600573323706E-2</v>
      </c>
      <c r="AG90" s="192">
        <f t="shared" si="74"/>
        <v>2.1230543048726132</v>
      </c>
      <c r="AH90" s="192">
        <f t="shared" si="65"/>
        <v>1.0736265249572965</v>
      </c>
      <c r="AI90" s="168">
        <f t="shared" si="66"/>
        <v>1.7451579817943501</v>
      </c>
      <c r="AJ90" s="192">
        <f t="shared" si="67"/>
        <v>0.57534545320551345</v>
      </c>
      <c r="AK90" s="132">
        <f t="shared" si="68"/>
        <v>59.425354659057433</v>
      </c>
      <c r="AL90" s="192">
        <f t="shared" si="69"/>
        <v>0.84268888082713489</v>
      </c>
      <c r="AM90" s="192">
        <f t="shared" si="75"/>
        <v>0</v>
      </c>
      <c r="AN90" s="192">
        <f t="shared" si="70"/>
        <v>0</v>
      </c>
      <c r="AO90" s="192">
        <f t="shared" si="76"/>
        <v>0</v>
      </c>
      <c r="AS90" s="132"/>
      <c r="AT90" s="132"/>
      <c r="AU90" s="200"/>
      <c r="AV90" s="132"/>
      <c r="AW90" s="132"/>
      <c r="AX90" s="132"/>
      <c r="AY90" s="132"/>
      <c r="AZ90" s="132"/>
      <c r="BA90" s="167"/>
      <c r="BB90" s="167"/>
      <c r="BD90" s="211">
        <f t="shared" si="71"/>
        <v>42495</v>
      </c>
      <c r="BE90" s="210">
        <v>1</v>
      </c>
      <c r="BF90" s="209">
        <v>0.5</v>
      </c>
      <c r="BG90" s="209">
        <v>2</v>
      </c>
      <c r="BH90" s="210"/>
      <c r="BI90" s="209"/>
      <c r="BJ90" s="209"/>
      <c r="BK90" s="168">
        <f t="shared" si="72"/>
        <v>3.83</v>
      </c>
      <c r="BL90" s="168">
        <f t="shared" si="73"/>
        <v>3.0879299022110205</v>
      </c>
    </row>
    <row r="91" spans="1:64" ht="13.5" thickBot="1" x14ac:dyDescent="0.25">
      <c r="A91" s="215">
        <f t="shared" si="39"/>
        <v>42496</v>
      </c>
      <c r="B91" s="190"/>
      <c r="C91" s="168"/>
      <c r="D91" s="198"/>
      <c r="E91" s="132">
        <f t="shared" si="41"/>
        <v>877.2741321966181</v>
      </c>
      <c r="F91" s="168">
        <f t="shared" si="42"/>
        <v>545.63525845291235</v>
      </c>
      <c r="G91" s="300"/>
      <c r="H91" s="127">
        <f>VLOOKUP(MONTH(A91),ETP_Parametros!$A$6:$D$17,4,FALSE)</f>
        <v>2.4193548387096775</v>
      </c>
      <c r="I91" s="230">
        <f>VLOOKUP(A91,P_Q_obs!$A$4:$F$308,6,FALSE)*1</f>
        <v>7.34</v>
      </c>
      <c r="J91" s="230">
        <f t="shared" si="43"/>
        <v>7.34</v>
      </c>
      <c r="K91" s="230">
        <f t="shared" si="44"/>
        <v>7.34</v>
      </c>
      <c r="L91" s="230">
        <f t="shared" si="45"/>
        <v>7.34</v>
      </c>
      <c r="M91" s="230">
        <f t="shared" si="46"/>
        <v>7.34</v>
      </c>
      <c r="N91" s="230">
        <f t="shared" si="47"/>
        <v>7.34</v>
      </c>
      <c r="O91" s="230">
        <f t="shared" si="48"/>
        <v>7.34</v>
      </c>
      <c r="P91" s="230">
        <f t="shared" si="49"/>
        <v>7.34</v>
      </c>
      <c r="Q91" s="230">
        <f t="shared" si="50"/>
        <v>7.34</v>
      </c>
      <c r="R91" s="230">
        <f t="shared" si="51"/>
        <v>7.34</v>
      </c>
      <c r="S91" s="230">
        <f t="shared" si="52"/>
        <v>7.34</v>
      </c>
      <c r="T91" s="230">
        <f t="shared" si="53"/>
        <v>7.34</v>
      </c>
      <c r="U91" s="230">
        <f t="shared" si="54"/>
        <v>7.34</v>
      </c>
      <c r="V91" s="230">
        <f t="shared" si="55"/>
        <v>7.34</v>
      </c>
      <c r="W91" s="230">
        <f t="shared" si="56"/>
        <v>7.34</v>
      </c>
      <c r="X91" s="230">
        <f t="shared" si="57"/>
        <v>7.34</v>
      </c>
      <c r="Y91" s="230">
        <f t="shared" si="58"/>
        <v>7.34</v>
      </c>
      <c r="Z91" s="292">
        <f t="shared" si="59"/>
        <v>7.34</v>
      </c>
      <c r="AA91" s="300"/>
      <c r="AB91" s="191">
        <f t="shared" si="60"/>
        <v>7.3399999999999972</v>
      </c>
      <c r="AC91" s="139">
        <f t="shared" si="61"/>
        <v>4.625010639931058</v>
      </c>
      <c r="AD91" s="132">
        <f t="shared" si="62"/>
        <v>60.792333028118016</v>
      </c>
      <c r="AE91" s="168">
        <f t="shared" si="63"/>
        <v>0.76493986741386144</v>
      </c>
      <c r="AF91" s="192">
        <f t="shared" si="64"/>
        <v>0.32868004564692033</v>
      </c>
      <c r="AG91" s="192">
        <f t="shared" si="74"/>
        <v>2.1230543048726132</v>
      </c>
      <c r="AH91" s="192">
        <f t="shared" si="65"/>
        <v>1.0625437170578715</v>
      </c>
      <c r="AI91" s="168">
        <f t="shared" si="66"/>
        <v>1.5596507774779469</v>
      </c>
      <c r="AJ91" s="192">
        <f t="shared" si="67"/>
        <v>0.51418724996332354</v>
      </c>
      <c r="AK91" s="132">
        <f t="shared" si="68"/>
        <v>59.641921878065354</v>
      </c>
      <c r="AL91" s="192">
        <f t="shared" si="69"/>
        <v>0.84597649804995212</v>
      </c>
      <c r="AM91" s="192">
        <f t="shared" si="75"/>
        <v>0</v>
      </c>
      <c r="AN91" s="192">
        <f t="shared" si="70"/>
        <v>0</v>
      </c>
      <c r="AO91" s="192">
        <f t="shared" si="76"/>
        <v>0</v>
      </c>
      <c r="AS91" s="132"/>
      <c r="AT91" s="132"/>
      <c r="AU91" s="200"/>
      <c r="AV91" s="132"/>
      <c r="AW91" s="132"/>
      <c r="AX91" s="132"/>
      <c r="AY91" s="132"/>
      <c r="AZ91" s="132"/>
      <c r="BA91" s="167"/>
      <c r="BB91" s="167"/>
      <c r="BD91" s="211">
        <f t="shared" si="71"/>
        <v>42496</v>
      </c>
      <c r="BE91" s="210">
        <v>1</v>
      </c>
      <c r="BF91" s="209">
        <v>0.5</v>
      </c>
      <c r="BG91" s="209">
        <v>2</v>
      </c>
      <c r="BH91" s="210"/>
      <c r="BI91" s="209"/>
      <c r="BJ91" s="209"/>
      <c r="BK91" s="168">
        <f t="shared" si="72"/>
        <v>7.34</v>
      </c>
      <c r="BL91" s="168">
        <f t="shared" si="73"/>
        <v>4.625010639931058</v>
      </c>
    </row>
    <row r="92" spans="1:64" ht="13.5" thickBot="1" x14ac:dyDescent="0.25">
      <c r="A92" s="215">
        <f t="shared" si="39"/>
        <v>42497</v>
      </c>
      <c r="B92" s="190"/>
      <c r="C92" s="168"/>
      <c r="D92" s="198"/>
      <c r="E92" s="132">
        <f t="shared" si="41"/>
        <v>821.97080779313762</v>
      </c>
      <c r="F92" s="168">
        <f t="shared" si="42"/>
        <v>547.62374823465245</v>
      </c>
      <c r="G92" s="300"/>
      <c r="H92" s="127">
        <f>VLOOKUP(MONTH(A92),ETP_Parametros!$A$6:$D$17,4,FALSE)</f>
        <v>2.4193548387096775</v>
      </c>
      <c r="I92" s="230">
        <f>VLOOKUP(A92,P_Q_obs!$A$4:$F$308,6,FALSE)*1</f>
        <v>2.06</v>
      </c>
      <c r="J92" s="230">
        <f t="shared" si="43"/>
        <v>2.06</v>
      </c>
      <c r="K92" s="230">
        <f t="shared" si="44"/>
        <v>2.06</v>
      </c>
      <c r="L92" s="230">
        <f t="shared" si="45"/>
        <v>2.06</v>
      </c>
      <c r="M92" s="230">
        <f t="shared" si="46"/>
        <v>2.06</v>
      </c>
      <c r="N92" s="230">
        <f t="shared" si="47"/>
        <v>2.06</v>
      </c>
      <c r="O92" s="230">
        <f t="shared" si="48"/>
        <v>2.06</v>
      </c>
      <c r="P92" s="230">
        <f t="shared" si="49"/>
        <v>2.06</v>
      </c>
      <c r="Q92" s="230">
        <f t="shared" si="50"/>
        <v>2.06</v>
      </c>
      <c r="R92" s="230">
        <f t="shared" si="51"/>
        <v>2.06</v>
      </c>
      <c r="S92" s="230">
        <f t="shared" si="52"/>
        <v>2.06</v>
      </c>
      <c r="T92" s="230">
        <f t="shared" si="53"/>
        <v>2.06</v>
      </c>
      <c r="U92" s="230">
        <f t="shared" si="54"/>
        <v>2.06</v>
      </c>
      <c r="V92" s="230">
        <f t="shared" si="55"/>
        <v>2.06</v>
      </c>
      <c r="W92" s="230">
        <f t="shared" si="56"/>
        <v>2.06</v>
      </c>
      <c r="X92" s="230">
        <f t="shared" si="57"/>
        <v>2.06</v>
      </c>
      <c r="Y92" s="230">
        <f t="shared" si="58"/>
        <v>2.06</v>
      </c>
      <c r="Z92" s="292">
        <f t="shared" si="59"/>
        <v>2.06</v>
      </c>
      <c r="AA92" s="300"/>
      <c r="AB92" s="191">
        <f t="shared" si="60"/>
        <v>2.0599999999999992</v>
      </c>
      <c r="AC92" s="139">
        <f t="shared" si="61"/>
        <v>3.7188433092756181</v>
      </c>
      <c r="AD92" s="132">
        <f t="shared" si="62"/>
        <v>61.096506795227725</v>
      </c>
      <c r="AE92" s="168">
        <f t="shared" si="63"/>
        <v>0.77917614157775927</v>
      </c>
      <c r="AF92" s="192">
        <f t="shared" si="64"/>
        <v>0.15592423460213178</v>
      </c>
      <c r="AG92" s="192">
        <f t="shared" si="74"/>
        <v>2.1230543048726132</v>
      </c>
      <c r="AH92" s="192">
        <f t="shared" si="65"/>
        <v>1.1356910026911733</v>
      </c>
      <c r="AI92" s="168">
        <f t="shared" si="66"/>
        <v>1.2902154681355444</v>
      </c>
      <c r="AJ92" s="192">
        <f t="shared" si="67"/>
        <v>0.42535954394453418</v>
      </c>
      <c r="AK92" s="132">
        <f t="shared" si="68"/>
        <v>59.928553342166389</v>
      </c>
      <c r="AL92" s="192">
        <f t="shared" si="69"/>
        <v>0.84905953859013705</v>
      </c>
      <c r="AM92" s="192">
        <f t="shared" si="75"/>
        <v>0</v>
      </c>
      <c r="AN92" s="192">
        <f t="shared" si="70"/>
        <v>0</v>
      </c>
      <c r="AO92" s="192">
        <f t="shared" si="76"/>
        <v>0</v>
      </c>
      <c r="AS92" s="132"/>
      <c r="AT92" s="132"/>
      <c r="AU92" s="200"/>
      <c r="AV92" s="132"/>
      <c r="AW92" s="132"/>
      <c r="AX92" s="132"/>
      <c r="AY92" s="132"/>
      <c r="AZ92" s="132"/>
      <c r="BA92" s="167"/>
      <c r="BB92" s="167"/>
      <c r="BD92" s="211">
        <f t="shared" si="71"/>
        <v>42497</v>
      </c>
      <c r="BE92" s="210">
        <v>1</v>
      </c>
      <c r="BF92" s="209">
        <v>0.5</v>
      </c>
      <c r="BG92" s="209">
        <v>2</v>
      </c>
      <c r="BH92" s="210"/>
      <c r="BI92" s="209"/>
      <c r="BJ92" s="209"/>
      <c r="BK92" s="168">
        <f t="shared" si="72"/>
        <v>2.06</v>
      </c>
      <c r="BL92" s="168">
        <f t="shared" si="73"/>
        <v>3.7188433092756181</v>
      </c>
    </row>
    <row r="93" spans="1:64" ht="13.5" thickBot="1" x14ac:dyDescent="0.25">
      <c r="A93" s="215">
        <f t="shared" si="39"/>
        <v>42498</v>
      </c>
      <c r="B93" s="190"/>
      <c r="C93" s="168"/>
      <c r="D93" s="198"/>
      <c r="E93" s="132">
        <f t="shared" si="41"/>
        <v>756.5810276013957</v>
      </c>
      <c r="F93" s="168">
        <f t="shared" si="42"/>
        <v>550.25555807226806</v>
      </c>
      <c r="G93" s="300"/>
      <c r="H93" s="127">
        <f>VLOOKUP(MONTH(A93),ETP_Parametros!$A$6:$D$17,4,FALSE)</f>
        <v>2.4193548387096775</v>
      </c>
      <c r="I93" s="230">
        <f>VLOOKUP(A93,P_Q_obs!$A$4:$F$308,6,FALSE)*1</f>
        <v>0.05</v>
      </c>
      <c r="J93" s="230">
        <f t="shared" si="43"/>
        <v>0.05</v>
      </c>
      <c r="K93" s="230">
        <f t="shared" si="44"/>
        <v>0.05</v>
      </c>
      <c r="L93" s="230">
        <f t="shared" si="45"/>
        <v>0.05</v>
      </c>
      <c r="M93" s="230">
        <f t="shared" si="46"/>
        <v>0.05</v>
      </c>
      <c r="N93" s="230">
        <f t="shared" si="47"/>
        <v>0.05</v>
      </c>
      <c r="O93" s="230">
        <f t="shared" si="48"/>
        <v>0.05</v>
      </c>
      <c r="P93" s="230">
        <f t="shared" si="49"/>
        <v>0.05</v>
      </c>
      <c r="Q93" s="230">
        <f t="shared" si="50"/>
        <v>0.05</v>
      </c>
      <c r="R93" s="230">
        <f t="shared" si="51"/>
        <v>0.05</v>
      </c>
      <c r="S93" s="230">
        <f t="shared" si="52"/>
        <v>0.05</v>
      </c>
      <c r="T93" s="230">
        <f t="shared" si="53"/>
        <v>0.05</v>
      </c>
      <c r="U93" s="230">
        <f t="shared" si="54"/>
        <v>0.05</v>
      </c>
      <c r="V93" s="230">
        <f t="shared" si="55"/>
        <v>0.05</v>
      </c>
      <c r="W93" s="230">
        <f t="shared" si="56"/>
        <v>0.05</v>
      </c>
      <c r="X93" s="230">
        <f t="shared" si="57"/>
        <v>0.05</v>
      </c>
      <c r="Y93" s="230">
        <f t="shared" si="58"/>
        <v>0.05</v>
      </c>
      <c r="Z93" s="292">
        <f t="shared" si="59"/>
        <v>0.05</v>
      </c>
      <c r="AA93" s="300"/>
      <c r="AB93" s="191">
        <f t="shared" si="60"/>
        <v>4.9999999999999982E-2</v>
      </c>
      <c r="AC93" s="139">
        <f t="shared" si="61"/>
        <v>0.93934206968037237</v>
      </c>
      <c r="AD93" s="132">
        <f t="shared" si="62"/>
        <v>59.013509100777846</v>
      </c>
      <c r="AE93" s="168">
        <f t="shared" si="63"/>
        <v>0.78307474079940931</v>
      </c>
      <c r="AF93" s="192">
        <f t="shared" si="64"/>
        <v>0</v>
      </c>
      <c r="AG93" s="192">
        <f t="shared" si="74"/>
        <v>1.8662772214346257</v>
      </c>
      <c r="AH93" s="192">
        <f t="shared" si="65"/>
        <v>1.1560625426956208</v>
      </c>
      <c r="AI93" s="168">
        <f t="shared" si="66"/>
        <v>0.9703195386355512</v>
      </c>
      <c r="AJ93" s="192">
        <f t="shared" si="67"/>
        <v>0.31989592949999324</v>
      </c>
      <c r="AK93" s="132">
        <f t="shared" si="68"/>
        <v>60.231475874499807</v>
      </c>
      <c r="AL93" s="192">
        <f t="shared" si="69"/>
        <v>0.85314001036220011</v>
      </c>
      <c r="AM93" s="192">
        <f t="shared" si="75"/>
        <v>0</v>
      </c>
      <c r="AN93" s="192">
        <f t="shared" si="70"/>
        <v>0</v>
      </c>
      <c r="AO93" s="192">
        <f t="shared" si="76"/>
        <v>0</v>
      </c>
      <c r="AS93" s="132"/>
      <c r="AT93" s="132"/>
      <c r="AU93" s="200"/>
      <c r="AV93" s="132"/>
      <c r="AW93" s="132"/>
      <c r="AX93" s="132"/>
      <c r="AY93" s="132"/>
      <c r="AZ93" s="132"/>
      <c r="BA93" s="167"/>
      <c r="BB93" s="167"/>
      <c r="BD93" s="211">
        <f t="shared" si="71"/>
        <v>42498</v>
      </c>
      <c r="BE93" s="210">
        <v>1</v>
      </c>
      <c r="BF93" s="209">
        <v>0.5</v>
      </c>
      <c r="BG93" s="209">
        <v>2</v>
      </c>
      <c r="BH93" s="210"/>
      <c r="BI93" s="209"/>
      <c r="BJ93" s="209"/>
      <c r="BK93" s="168">
        <f t="shared" si="72"/>
        <v>0.05</v>
      </c>
      <c r="BL93" s="168">
        <f t="shared" si="73"/>
        <v>0.93934206968037237</v>
      </c>
    </row>
    <row r="94" spans="1:64" ht="13.5" thickBot="1" x14ac:dyDescent="0.25">
      <c r="A94" s="215">
        <f t="shared" si="39"/>
        <v>42499</v>
      </c>
      <c r="B94" s="190"/>
      <c r="C94" s="168"/>
      <c r="D94" s="198"/>
      <c r="E94" s="132">
        <f t="shared" si="41"/>
        <v>865.74722446489363</v>
      </c>
      <c r="F94" s="168">
        <f t="shared" si="42"/>
        <v>553.03695020983719</v>
      </c>
      <c r="G94" s="300"/>
      <c r="H94" s="127">
        <f>VLOOKUP(MONTH(A94),ETP_Parametros!$A$6:$D$17,4,FALSE)</f>
        <v>2.4193548387096775</v>
      </c>
      <c r="I94" s="230">
        <f>VLOOKUP(A94,P_Q_obs!$A$4:$F$308,6,FALSE)*1</f>
        <v>0</v>
      </c>
      <c r="J94" s="230">
        <f t="shared" si="43"/>
        <v>0</v>
      </c>
      <c r="K94" s="230">
        <f t="shared" si="44"/>
        <v>0</v>
      </c>
      <c r="L94" s="230">
        <f t="shared" si="45"/>
        <v>0</v>
      </c>
      <c r="M94" s="230">
        <f t="shared" si="46"/>
        <v>0</v>
      </c>
      <c r="N94" s="230">
        <f t="shared" si="47"/>
        <v>0</v>
      </c>
      <c r="O94" s="230">
        <f t="shared" si="48"/>
        <v>0</v>
      </c>
      <c r="P94" s="230">
        <f t="shared" si="49"/>
        <v>0</v>
      </c>
      <c r="Q94" s="230">
        <f t="shared" si="50"/>
        <v>0</v>
      </c>
      <c r="R94" s="230">
        <f t="shared" si="51"/>
        <v>0</v>
      </c>
      <c r="S94" s="230">
        <f t="shared" si="52"/>
        <v>0</v>
      </c>
      <c r="T94" s="230">
        <f t="shared" si="53"/>
        <v>0</v>
      </c>
      <c r="U94" s="230">
        <f t="shared" si="54"/>
        <v>0</v>
      </c>
      <c r="V94" s="230">
        <f t="shared" si="55"/>
        <v>0</v>
      </c>
      <c r="W94" s="230">
        <f t="shared" si="56"/>
        <v>0</v>
      </c>
      <c r="X94" s="230">
        <f t="shared" si="57"/>
        <v>0</v>
      </c>
      <c r="Y94" s="230">
        <f t="shared" si="58"/>
        <v>0</v>
      </c>
      <c r="Z94" s="292">
        <f t="shared" si="59"/>
        <v>0</v>
      </c>
      <c r="AA94" s="300"/>
      <c r="AB94" s="191">
        <f t="shared" si="60"/>
        <v>0</v>
      </c>
      <c r="AC94" s="139">
        <f t="shared" si="61"/>
        <v>6.8478253549134278</v>
      </c>
      <c r="AD94" s="132">
        <f t="shared" si="62"/>
        <v>61.733641997086409</v>
      </c>
      <c r="AE94" s="168">
        <f t="shared" si="63"/>
        <v>0.75637693162458897</v>
      </c>
      <c r="AF94" s="192">
        <f t="shared" si="64"/>
        <v>0.98515224005255742</v>
      </c>
      <c r="AG94" s="192">
        <f t="shared" si="74"/>
        <v>2.1230543048726132</v>
      </c>
      <c r="AH94" s="192">
        <f t="shared" si="65"/>
        <v>1.0194859136797056</v>
      </c>
      <c r="AI94" s="168">
        <f t="shared" si="66"/>
        <v>1.4706322478472644</v>
      </c>
      <c r="AJ94" s="192">
        <f t="shared" si="67"/>
        <v>0.48483953084084425</v>
      </c>
      <c r="AK94" s="132">
        <f t="shared" si="68"/>
        <v>60.393509387179449</v>
      </c>
      <c r="AL94" s="192">
        <f t="shared" si="69"/>
        <v>0.85745240100007059</v>
      </c>
      <c r="AM94" s="192">
        <f t="shared" si="75"/>
        <v>0</v>
      </c>
      <c r="AN94" s="192">
        <f t="shared" si="70"/>
        <v>0</v>
      </c>
      <c r="AO94" s="192">
        <f t="shared" si="76"/>
        <v>0</v>
      </c>
      <c r="AS94" s="132"/>
      <c r="AT94" s="132"/>
      <c r="AU94" s="200"/>
      <c r="AV94" s="132"/>
      <c r="AW94" s="132"/>
      <c r="AX94" s="132"/>
      <c r="AY94" s="132"/>
      <c r="AZ94" s="132"/>
      <c r="BA94" s="167"/>
      <c r="BB94" s="167"/>
      <c r="BD94" s="211">
        <f t="shared" si="71"/>
        <v>42499</v>
      </c>
      <c r="BE94" s="210">
        <v>1</v>
      </c>
      <c r="BF94" s="209">
        <v>0.5</v>
      </c>
      <c r="BG94" s="209">
        <v>2</v>
      </c>
      <c r="BH94" s="210"/>
      <c r="BI94" s="209"/>
      <c r="BJ94" s="209"/>
      <c r="BK94" s="168">
        <f t="shared" si="72"/>
        <v>0</v>
      </c>
      <c r="BL94" s="168">
        <f t="shared" si="73"/>
        <v>6.8478253549134278</v>
      </c>
    </row>
    <row r="95" spans="1:64" ht="13.5" thickBot="1" x14ac:dyDescent="0.25">
      <c r="A95" s="215">
        <f t="shared" si="39"/>
        <v>42500</v>
      </c>
      <c r="B95" s="190"/>
      <c r="C95" s="168"/>
      <c r="D95" s="198"/>
      <c r="E95" s="132">
        <f t="shared" si="41"/>
        <v>1943.6187262418196</v>
      </c>
      <c r="F95" s="168">
        <f t="shared" si="42"/>
        <v>554.52471916092259</v>
      </c>
      <c r="G95" s="300"/>
      <c r="H95" s="127">
        <f>VLOOKUP(MONTH(A95),ETP_Parametros!$A$6:$D$17,4,FALSE)</f>
        <v>2.4193548387096775</v>
      </c>
      <c r="I95" s="230">
        <f>VLOOKUP(A95,P_Q_obs!$A$4:$F$308,6,FALSE)*1</f>
        <v>31.14</v>
      </c>
      <c r="J95" s="230">
        <f t="shared" si="43"/>
        <v>31.14</v>
      </c>
      <c r="K95" s="230">
        <f t="shared" si="44"/>
        <v>31.14</v>
      </c>
      <c r="L95" s="230">
        <f t="shared" si="45"/>
        <v>31.14</v>
      </c>
      <c r="M95" s="230">
        <f t="shared" si="46"/>
        <v>31.14</v>
      </c>
      <c r="N95" s="230">
        <f t="shared" si="47"/>
        <v>31.14</v>
      </c>
      <c r="O95" s="230">
        <f t="shared" si="48"/>
        <v>31.14</v>
      </c>
      <c r="P95" s="230">
        <f t="shared" si="49"/>
        <v>31.14</v>
      </c>
      <c r="Q95" s="230">
        <f t="shared" si="50"/>
        <v>31.14</v>
      </c>
      <c r="R95" s="230">
        <f t="shared" si="51"/>
        <v>31.14</v>
      </c>
      <c r="S95" s="230">
        <f t="shared" si="52"/>
        <v>31.14</v>
      </c>
      <c r="T95" s="230">
        <f t="shared" si="53"/>
        <v>31.14</v>
      </c>
      <c r="U95" s="230">
        <f t="shared" si="54"/>
        <v>31.14</v>
      </c>
      <c r="V95" s="230">
        <f t="shared" si="55"/>
        <v>31.14</v>
      </c>
      <c r="W95" s="230">
        <f t="shared" si="56"/>
        <v>31.14</v>
      </c>
      <c r="X95" s="230">
        <f t="shared" si="57"/>
        <v>31.14</v>
      </c>
      <c r="Y95" s="230">
        <f t="shared" si="58"/>
        <v>31.14</v>
      </c>
      <c r="Z95" s="292">
        <f t="shared" si="59"/>
        <v>31.14</v>
      </c>
      <c r="AA95" s="300"/>
      <c r="AB95" s="191">
        <f t="shared" si="60"/>
        <v>31.140000000000004</v>
      </c>
      <c r="AC95" s="139">
        <f t="shared" si="61"/>
        <v>17.033535807779923</v>
      </c>
      <c r="AD95" s="132">
        <f t="shared" si="62"/>
        <v>68.229123759459142</v>
      </c>
      <c r="AE95" s="168">
        <f t="shared" si="63"/>
        <v>0.79124091116201078</v>
      </c>
      <c r="AF95" s="192">
        <f t="shared" si="64"/>
        <v>7.2157920638014934</v>
      </c>
      <c r="AG95" s="192">
        <f t="shared" si="74"/>
        <v>2.1230543048726132</v>
      </c>
      <c r="AH95" s="192">
        <f t="shared" si="65"/>
        <v>1.1992076767330917</v>
      </c>
      <c r="AI95" s="168">
        <f t="shared" si="66"/>
        <v>6.5327128984522336</v>
      </c>
      <c r="AJ95" s="192">
        <f t="shared" si="67"/>
        <v>2.153711413196524</v>
      </c>
      <c r="AK95" s="132">
        <f t="shared" si="68"/>
        <v>60.732957961599368</v>
      </c>
      <c r="AL95" s="192">
        <f t="shared" si="69"/>
        <v>0.8597591023131701</v>
      </c>
      <c r="AM95" s="192">
        <f t="shared" si="75"/>
        <v>0</v>
      </c>
      <c r="AN95" s="192">
        <f t="shared" si="70"/>
        <v>0</v>
      </c>
      <c r="AO95" s="192">
        <f t="shared" si="76"/>
        <v>0</v>
      </c>
      <c r="AS95" s="132"/>
      <c r="AT95" s="132"/>
      <c r="AU95" s="200"/>
      <c r="AV95" s="132"/>
      <c r="AW95" s="132"/>
      <c r="AX95" s="132"/>
      <c r="AY95" s="132"/>
      <c r="AZ95" s="132"/>
      <c r="BA95" s="167"/>
      <c r="BB95" s="167"/>
      <c r="BD95" s="211">
        <f t="shared" si="71"/>
        <v>42500</v>
      </c>
      <c r="BE95" s="210">
        <v>1</v>
      </c>
      <c r="BF95" s="209">
        <v>0.5</v>
      </c>
      <c r="BG95" s="209">
        <v>2</v>
      </c>
      <c r="BH95" s="210"/>
      <c r="BI95" s="209"/>
      <c r="BJ95" s="209"/>
      <c r="BK95" s="168">
        <f t="shared" si="72"/>
        <v>31.14</v>
      </c>
      <c r="BL95" s="168">
        <f t="shared" si="73"/>
        <v>17.033535807779923</v>
      </c>
    </row>
    <row r="96" spans="1:64" ht="13.5" thickBot="1" x14ac:dyDescent="0.25">
      <c r="A96" s="215">
        <f t="shared" si="39"/>
        <v>42501</v>
      </c>
      <c r="B96" s="190"/>
      <c r="C96" s="168"/>
      <c r="D96" s="198"/>
      <c r="E96" s="132">
        <f t="shared" si="41"/>
        <v>4955.7725828915236</v>
      </c>
      <c r="F96" s="168">
        <f t="shared" si="42"/>
        <v>557.64148828578061</v>
      </c>
      <c r="G96" s="300"/>
      <c r="H96" s="127">
        <f>VLOOKUP(MONTH(A96),ETP_Parametros!$A$6:$D$17,4,FALSE)</f>
        <v>2.4193548387096775</v>
      </c>
      <c r="I96" s="230">
        <f>VLOOKUP(A96,P_Q_obs!$A$4:$F$308,6,FALSE)*1</f>
        <v>27.21</v>
      </c>
      <c r="J96" s="230">
        <f t="shared" si="43"/>
        <v>27.21</v>
      </c>
      <c r="K96" s="230">
        <f t="shared" si="44"/>
        <v>27.21</v>
      </c>
      <c r="L96" s="230">
        <f t="shared" si="45"/>
        <v>27.21</v>
      </c>
      <c r="M96" s="230">
        <f t="shared" si="46"/>
        <v>27.21</v>
      </c>
      <c r="N96" s="230">
        <f t="shared" si="47"/>
        <v>27.21</v>
      </c>
      <c r="O96" s="230">
        <f t="shared" si="48"/>
        <v>27.21</v>
      </c>
      <c r="P96" s="230">
        <f t="shared" si="49"/>
        <v>27.21</v>
      </c>
      <c r="Q96" s="230">
        <f t="shared" si="50"/>
        <v>27.21</v>
      </c>
      <c r="R96" s="230">
        <f t="shared" si="51"/>
        <v>27.21</v>
      </c>
      <c r="S96" s="230">
        <f t="shared" si="52"/>
        <v>27.21</v>
      </c>
      <c r="T96" s="230">
        <f t="shared" si="53"/>
        <v>27.21</v>
      </c>
      <c r="U96" s="230">
        <f t="shared" si="54"/>
        <v>27.21</v>
      </c>
      <c r="V96" s="230">
        <f t="shared" si="55"/>
        <v>27.21</v>
      </c>
      <c r="W96" s="230">
        <f t="shared" si="56"/>
        <v>27.21</v>
      </c>
      <c r="X96" s="230">
        <f t="shared" si="57"/>
        <v>27.21</v>
      </c>
      <c r="Y96" s="230">
        <f t="shared" si="58"/>
        <v>27.21</v>
      </c>
      <c r="Z96" s="292">
        <f t="shared" si="59"/>
        <v>27.21</v>
      </c>
      <c r="AA96" s="300"/>
      <c r="AB96" s="191">
        <f t="shared" si="60"/>
        <v>27.21</v>
      </c>
      <c r="AC96" s="139">
        <f t="shared" si="61"/>
        <v>30.241182046688134</v>
      </c>
      <c r="AD96" s="132">
        <f t="shared" si="62"/>
        <v>73.701437766089896</v>
      </c>
      <c r="AE96" s="168">
        <f t="shared" si="63"/>
        <v>0.87449358736631755</v>
      </c>
      <c r="AF96" s="192">
        <f t="shared" si="64"/>
        <v>20.970129005160416</v>
      </c>
      <c r="AG96" s="192">
        <f t="shared" si="74"/>
        <v>2.1230543048726132</v>
      </c>
      <c r="AH96" s="192">
        <f t="shared" si="65"/>
        <v>1.6756847300243611</v>
      </c>
      <c r="AI96" s="168">
        <f t="shared" si="66"/>
        <v>20.68378927873492</v>
      </c>
      <c r="AJ96" s="192">
        <f t="shared" si="67"/>
        <v>6.8190526248777283</v>
      </c>
      <c r="AK96" s="132">
        <f t="shared" si="68"/>
        <v>61.544051215689848</v>
      </c>
      <c r="AL96" s="192">
        <f t="shared" si="69"/>
        <v>0.86459147593388086</v>
      </c>
      <c r="AM96" s="192">
        <f t="shared" si="75"/>
        <v>0</v>
      </c>
      <c r="AN96" s="192">
        <f t="shared" si="70"/>
        <v>0</v>
      </c>
      <c r="AO96" s="192">
        <f t="shared" si="76"/>
        <v>0</v>
      </c>
      <c r="AS96" s="132"/>
      <c r="AT96" s="132"/>
      <c r="AU96" s="200"/>
      <c r="AV96" s="132"/>
      <c r="AW96" s="132"/>
      <c r="AX96" s="132"/>
      <c r="AY96" s="132"/>
      <c r="AZ96" s="132"/>
      <c r="BA96" s="167"/>
      <c r="BB96" s="167"/>
      <c r="BD96" s="211">
        <f t="shared" si="71"/>
        <v>42501</v>
      </c>
      <c r="BE96" s="210">
        <v>1</v>
      </c>
      <c r="BF96" s="209">
        <v>0.5</v>
      </c>
      <c r="BG96" s="209">
        <v>2</v>
      </c>
      <c r="BH96" s="210"/>
      <c r="BI96" s="209"/>
      <c r="BJ96" s="209"/>
      <c r="BK96" s="168">
        <f t="shared" si="72"/>
        <v>27.21</v>
      </c>
      <c r="BL96" s="168">
        <f t="shared" si="73"/>
        <v>30.241182046688134</v>
      </c>
    </row>
    <row r="97" spans="1:64" ht="13.5" thickBot="1" x14ac:dyDescent="0.25">
      <c r="A97" s="215">
        <f t="shared" si="39"/>
        <v>42502</v>
      </c>
      <c r="B97" s="190"/>
      <c r="C97" s="168"/>
      <c r="D97" s="198"/>
      <c r="E97" s="132">
        <f t="shared" si="41"/>
        <v>7310.9762348492059</v>
      </c>
      <c r="F97" s="168">
        <f t="shared" si="42"/>
        <v>565.08883260310427</v>
      </c>
      <c r="G97" s="300"/>
      <c r="H97" s="127">
        <f>VLOOKUP(MONTH(A97),ETP_Parametros!$A$6:$D$17,4,FALSE)</f>
        <v>2.4193548387096775</v>
      </c>
      <c r="I97" s="230">
        <f>VLOOKUP(A97,P_Q_obs!$A$4:$F$308,6,FALSE)*1</f>
        <v>36.869999999999997</v>
      </c>
      <c r="J97" s="230">
        <f t="shared" si="43"/>
        <v>36.869999999999997</v>
      </c>
      <c r="K97" s="230">
        <f t="shared" si="44"/>
        <v>36.869999999999997</v>
      </c>
      <c r="L97" s="230">
        <f t="shared" si="45"/>
        <v>36.869999999999997</v>
      </c>
      <c r="M97" s="230">
        <f t="shared" si="46"/>
        <v>36.869999999999997</v>
      </c>
      <c r="N97" s="230">
        <f t="shared" si="47"/>
        <v>36.869999999999997</v>
      </c>
      <c r="O97" s="230">
        <f t="shared" si="48"/>
        <v>36.869999999999997</v>
      </c>
      <c r="P97" s="230">
        <f t="shared" si="49"/>
        <v>36.869999999999997</v>
      </c>
      <c r="Q97" s="230">
        <f t="shared" si="50"/>
        <v>36.869999999999997</v>
      </c>
      <c r="R97" s="230">
        <f t="shared" si="51"/>
        <v>36.869999999999997</v>
      </c>
      <c r="S97" s="230">
        <f t="shared" si="52"/>
        <v>36.869999999999997</v>
      </c>
      <c r="T97" s="230">
        <f t="shared" si="53"/>
        <v>36.869999999999997</v>
      </c>
      <c r="U97" s="230">
        <f t="shared" si="54"/>
        <v>36.869999999999997</v>
      </c>
      <c r="V97" s="230">
        <f t="shared" si="55"/>
        <v>36.869999999999997</v>
      </c>
      <c r="W97" s="230">
        <f t="shared" si="56"/>
        <v>36.869999999999997</v>
      </c>
      <c r="X97" s="230">
        <f t="shared" si="57"/>
        <v>36.869999999999997</v>
      </c>
      <c r="Y97" s="230">
        <f t="shared" si="58"/>
        <v>36.869999999999997</v>
      </c>
      <c r="Z97" s="292">
        <f t="shared" si="59"/>
        <v>36.869999999999997</v>
      </c>
      <c r="AA97" s="300"/>
      <c r="AB97" s="191">
        <f t="shared" si="60"/>
        <v>36.869999999999983</v>
      </c>
      <c r="AC97" s="139">
        <f t="shared" si="61"/>
        <v>27.187720917805706</v>
      </c>
      <c r="AD97" s="132">
        <f t="shared" si="62"/>
        <v>75.136949622495365</v>
      </c>
      <c r="AE97" s="168">
        <f t="shared" si="63"/>
        <v>0.9446323088267411</v>
      </c>
      <c r="AF97" s="192">
        <f t="shared" si="64"/>
        <v>21.500281803434152</v>
      </c>
      <c r="AG97" s="192">
        <f t="shared" si="74"/>
        <v>2.1230543048726132</v>
      </c>
      <c r="AH97" s="192">
        <f t="shared" si="65"/>
        <v>2.1288729530934711</v>
      </c>
      <c r="AI97" s="168">
        <f t="shared" si="66"/>
        <v>31.724955560616056</v>
      </c>
      <c r="AJ97" s="192">
        <f t="shared" si="67"/>
        <v>10.459115521553013</v>
      </c>
      <c r="AK97" s="132">
        <f t="shared" si="68"/>
        <v>62.796786008195653</v>
      </c>
      <c r="AL97" s="192">
        <f t="shared" si="69"/>
        <v>0.8761381605876648</v>
      </c>
      <c r="AM97" s="192">
        <f t="shared" si="75"/>
        <v>0</v>
      </c>
      <c r="AN97" s="192">
        <f t="shared" si="70"/>
        <v>0</v>
      </c>
      <c r="AO97" s="192">
        <f t="shared" si="76"/>
        <v>0</v>
      </c>
      <c r="AS97" s="132"/>
      <c r="AT97" s="132"/>
      <c r="AU97" s="200"/>
      <c r="AV97" s="132"/>
      <c r="AW97" s="132"/>
      <c r="AX97" s="132"/>
      <c r="AY97" s="132"/>
      <c r="AZ97" s="132"/>
      <c r="BA97" s="167"/>
      <c r="BB97" s="167"/>
      <c r="BD97" s="211">
        <f t="shared" si="71"/>
        <v>42502</v>
      </c>
      <c r="BE97" s="210">
        <v>1</v>
      </c>
      <c r="BF97" s="209">
        <v>0.5</v>
      </c>
      <c r="BG97" s="209">
        <v>2</v>
      </c>
      <c r="BH97" s="210"/>
      <c r="BI97" s="209"/>
      <c r="BJ97" s="209"/>
      <c r="BK97" s="168">
        <f t="shared" si="72"/>
        <v>36.869999999999997</v>
      </c>
      <c r="BL97" s="168">
        <f t="shared" si="73"/>
        <v>27.187720917805706</v>
      </c>
    </row>
    <row r="98" spans="1:64" ht="13.5" thickBot="1" x14ac:dyDescent="0.25">
      <c r="A98" s="215">
        <f t="shared" si="39"/>
        <v>42503</v>
      </c>
      <c r="B98" s="190"/>
      <c r="C98" s="168"/>
      <c r="D98" s="198"/>
      <c r="E98" s="132">
        <f t="shared" si="41"/>
        <v>8256.5567909172823</v>
      </c>
      <c r="F98" s="168">
        <f t="shared" si="42"/>
        <v>576.59126748470533</v>
      </c>
      <c r="G98" s="300"/>
      <c r="H98" s="127">
        <f>VLOOKUP(MONTH(A98),ETP_Parametros!$A$6:$D$17,4,FALSE)</f>
        <v>2.4193548387096775</v>
      </c>
      <c r="I98" s="230">
        <f>VLOOKUP(A98,P_Q_obs!$A$4:$F$308,6,FALSE)*1</f>
        <v>13.83</v>
      </c>
      <c r="J98" s="230">
        <f t="shared" si="43"/>
        <v>13.83</v>
      </c>
      <c r="K98" s="230">
        <f t="shared" si="44"/>
        <v>13.83</v>
      </c>
      <c r="L98" s="230">
        <f t="shared" si="45"/>
        <v>13.83</v>
      </c>
      <c r="M98" s="230">
        <f t="shared" si="46"/>
        <v>13.83</v>
      </c>
      <c r="N98" s="230">
        <f t="shared" si="47"/>
        <v>13.83</v>
      </c>
      <c r="O98" s="230">
        <f t="shared" si="48"/>
        <v>13.83</v>
      </c>
      <c r="P98" s="230">
        <f t="shared" si="49"/>
        <v>13.83</v>
      </c>
      <c r="Q98" s="230">
        <f t="shared" si="50"/>
        <v>13.83</v>
      </c>
      <c r="R98" s="230">
        <f t="shared" si="51"/>
        <v>13.83</v>
      </c>
      <c r="S98" s="230">
        <f t="shared" si="52"/>
        <v>13.83</v>
      </c>
      <c r="T98" s="230">
        <f t="shared" si="53"/>
        <v>13.83</v>
      </c>
      <c r="U98" s="230">
        <f t="shared" si="54"/>
        <v>13.83</v>
      </c>
      <c r="V98" s="230">
        <f t="shared" si="55"/>
        <v>13.83</v>
      </c>
      <c r="W98" s="230">
        <f t="shared" si="56"/>
        <v>13.83</v>
      </c>
      <c r="X98" s="230">
        <f t="shared" si="57"/>
        <v>13.83</v>
      </c>
      <c r="Y98" s="230">
        <f t="shared" si="58"/>
        <v>13.83</v>
      </c>
      <c r="Z98" s="292">
        <f t="shared" si="59"/>
        <v>13.83</v>
      </c>
      <c r="AA98" s="300"/>
      <c r="AB98" s="191">
        <f t="shared" si="60"/>
        <v>13.829999999999997</v>
      </c>
      <c r="AC98" s="139">
        <f t="shared" si="61"/>
        <v>20.800889086975594</v>
      </c>
      <c r="AD98" s="132">
        <f t="shared" si="62"/>
        <v>75.259003818397943</v>
      </c>
      <c r="AE98" s="168">
        <f t="shared" si="63"/>
        <v>0.96303128339719879</v>
      </c>
      <c r="AF98" s="192">
        <f t="shared" si="64"/>
        <v>16.30018809079121</v>
      </c>
      <c r="AG98" s="192">
        <f t="shared" si="74"/>
        <v>2.1230543048726132</v>
      </c>
      <c r="AH98" s="192">
        <f t="shared" si="65"/>
        <v>2.2555924954091844</v>
      </c>
      <c r="AI98" s="168">
        <f t="shared" si="66"/>
        <v>36.117793021098706</v>
      </c>
      <c r="AJ98" s="192">
        <f t="shared" si="67"/>
        <v>11.907350630308558</v>
      </c>
      <c r="AK98" s="132">
        <f t="shared" si="68"/>
        <v>64.158406470609847</v>
      </c>
      <c r="AL98" s="192">
        <f t="shared" si="69"/>
        <v>0.89397203299498529</v>
      </c>
      <c r="AM98" s="192">
        <f t="shared" si="75"/>
        <v>0</v>
      </c>
      <c r="AN98" s="192">
        <f t="shared" si="70"/>
        <v>0</v>
      </c>
      <c r="AO98" s="192">
        <f t="shared" si="76"/>
        <v>0</v>
      </c>
      <c r="AS98" s="132"/>
      <c r="AT98" s="132"/>
      <c r="AU98" s="200"/>
      <c r="AV98" s="132"/>
      <c r="AW98" s="132"/>
      <c r="AX98" s="132"/>
      <c r="AY98" s="132"/>
      <c r="AZ98" s="132"/>
      <c r="BA98" s="167"/>
      <c r="BB98" s="167"/>
      <c r="BD98" s="211">
        <f t="shared" si="71"/>
        <v>42503</v>
      </c>
      <c r="BE98" s="210">
        <v>1</v>
      </c>
      <c r="BF98" s="209">
        <v>0.5</v>
      </c>
      <c r="BG98" s="209">
        <v>2</v>
      </c>
      <c r="BH98" s="210"/>
      <c r="BI98" s="209"/>
      <c r="BJ98" s="209"/>
      <c r="BK98" s="168">
        <f t="shared" si="72"/>
        <v>13.83</v>
      </c>
      <c r="BL98" s="168">
        <f t="shared" si="73"/>
        <v>20.800889086975594</v>
      </c>
    </row>
    <row r="99" spans="1:64" ht="13.5" thickBot="1" x14ac:dyDescent="0.25">
      <c r="A99" s="215">
        <f t="shared" si="39"/>
        <v>42504</v>
      </c>
      <c r="B99" s="190"/>
      <c r="C99" s="168"/>
      <c r="D99" s="198"/>
      <c r="E99" s="132">
        <f t="shared" si="41"/>
        <v>6937.9218465075055</v>
      </c>
      <c r="F99" s="168">
        <f t="shared" si="42"/>
        <v>589.09347529123295</v>
      </c>
      <c r="G99" s="300"/>
      <c r="H99" s="127">
        <f>VLOOKUP(MONTH(A99),ETP_Parametros!$A$6:$D$17,4,FALSE)</f>
        <v>2.4193548387096775</v>
      </c>
      <c r="I99" s="230">
        <f>VLOOKUP(A99,P_Q_obs!$A$4:$F$308,6,FALSE)*1</f>
        <v>0.98</v>
      </c>
      <c r="J99" s="230">
        <f t="shared" si="43"/>
        <v>0.98</v>
      </c>
      <c r="K99" s="230">
        <f t="shared" si="44"/>
        <v>0.98</v>
      </c>
      <c r="L99" s="230">
        <f t="shared" si="45"/>
        <v>0.98</v>
      </c>
      <c r="M99" s="230">
        <f t="shared" si="46"/>
        <v>0.98</v>
      </c>
      <c r="N99" s="230">
        <f t="shared" si="47"/>
        <v>0.98</v>
      </c>
      <c r="O99" s="230">
        <f t="shared" si="48"/>
        <v>0.98</v>
      </c>
      <c r="P99" s="230">
        <f t="shared" si="49"/>
        <v>0.98</v>
      </c>
      <c r="Q99" s="230">
        <f t="shared" si="50"/>
        <v>0.98</v>
      </c>
      <c r="R99" s="230">
        <f t="shared" si="51"/>
        <v>0.98</v>
      </c>
      <c r="S99" s="230">
        <f t="shared" si="52"/>
        <v>0.98</v>
      </c>
      <c r="T99" s="230">
        <f t="shared" si="53"/>
        <v>0.98</v>
      </c>
      <c r="U99" s="230">
        <f t="shared" si="54"/>
        <v>0.98</v>
      </c>
      <c r="V99" s="230">
        <f t="shared" si="55"/>
        <v>0.98</v>
      </c>
      <c r="W99" s="230">
        <f t="shared" si="56"/>
        <v>0.98</v>
      </c>
      <c r="X99" s="230">
        <f t="shared" si="57"/>
        <v>0.98</v>
      </c>
      <c r="Y99" s="230">
        <f t="shared" si="58"/>
        <v>0.98</v>
      </c>
      <c r="Z99" s="292">
        <f t="shared" si="59"/>
        <v>0.98</v>
      </c>
      <c r="AA99" s="300"/>
      <c r="AB99" s="191">
        <f t="shared" si="60"/>
        <v>0.97999999999999976</v>
      </c>
      <c r="AC99" s="139">
        <f t="shared" si="61"/>
        <v>7.4122199747655255</v>
      </c>
      <c r="AD99" s="132">
        <f t="shared" si="62"/>
        <v>74.698304382523943</v>
      </c>
      <c r="AE99" s="168">
        <f t="shared" si="63"/>
        <v>0.96459565365064448</v>
      </c>
      <c r="AF99" s="192">
        <f t="shared" si="64"/>
        <v>3.5833480342213244</v>
      </c>
      <c r="AG99" s="192">
        <f t="shared" si="74"/>
        <v>2.1230543048726132</v>
      </c>
      <c r="AH99" s="192">
        <f t="shared" si="65"/>
        <v>2.2665170715455836</v>
      </c>
      <c r="AI99" s="168">
        <f t="shared" si="66"/>
        <v>29.857643024363455</v>
      </c>
      <c r="AJ99" s="192">
        <f t="shared" si="67"/>
        <v>9.8434980309565727</v>
      </c>
      <c r="AK99" s="132">
        <f t="shared" si="68"/>
        <v>65.511567545579993</v>
      </c>
      <c r="AL99" s="192">
        <f t="shared" si="69"/>
        <v>0.91335599657543221</v>
      </c>
      <c r="AM99" s="192">
        <f t="shared" si="75"/>
        <v>0</v>
      </c>
      <c r="AN99" s="192">
        <f t="shared" si="70"/>
        <v>0</v>
      </c>
      <c r="AO99" s="192">
        <f t="shared" si="76"/>
        <v>0</v>
      </c>
      <c r="AS99" s="132"/>
      <c r="AT99" s="132"/>
      <c r="AU99" s="200"/>
      <c r="AV99" s="132"/>
      <c r="AW99" s="132"/>
      <c r="AX99" s="132"/>
      <c r="AY99" s="132"/>
      <c r="AZ99" s="132"/>
      <c r="BA99" s="167"/>
      <c r="BB99" s="167"/>
      <c r="BD99" s="211">
        <f t="shared" si="71"/>
        <v>42504</v>
      </c>
      <c r="BE99" s="210">
        <v>1</v>
      </c>
      <c r="BF99" s="209">
        <v>0.5</v>
      </c>
      <c r="BG99" s="209">
        <v>2</v>
      </c>
      <c r="BH99" s="210"/>
      <c r="BI99" s="209"/>
      <c r="BJ99" s="209"/>
      <c r="BK99" s="168">
        <f t="shared" si="72"/>
        <v>0.98</v>
      </c>
      <c r="BL99" s="168">
        <f t="shared" si="73"/>
        <v>7.4122199747655255</v>
      </c>
    </row>
    <row r="100" spans="1:64" ht="13.5" thickBot="1" x14ac:dyDescent="0.25">
      <c r="A100" s="215">
        <f t="shared" si="39"/>
        <v>42505</v>
      </c>
      <c r="B100" s="190"/>
      <c r="C100" s="168"/>
      <c r="D100" s="198"/>
      <c r="E100" s="132">
        <f t="shared" si="41"/>
        <v>5431.3455143473811</v>
      </c>
      <c r="F100" s="168">
        <f t="shared" si="42"/>
        <v>601.51801019061759</v>
      </c>
      <c r="G100" s="300"/>
      <c r="H100" s="127">
        <f>VLOOKUP(MONTH(A100),ETP_Parametros!$A$6:$D$17,4,FALSE)</f>
        <v>2.4193548387096775</v>
      </c>
      <c r="I100" s="230">
        <f>VLOOKUP(A100,P_Q_obs!$A$4:$F$308,6,FALSE)*1</f>
        <v>3.93</v>
      </c>
      <c r="J100" s="230">
        <f t="shared" si="43"/>
        <v>3.93</v>
      </c>
      <c r="K100" s="230">
        <f t="shared" si="44"/>
        <v>3.93</v>
      </c>
      <c r="L100" s="230">
        <f t="shared" si="45"/>
        <v>3.93</v>
      </c>
      <c r="M100" s="230">
        <f t="shared" si="46"/>
        <v>3.93</v>
      </c>
      <c r="N100" s="230">
        <f t="shared" si="47"/>
        <v>3.93</v>
      </c>
      <c r="O100" s="230">
        <f t="shared" si="48"/>
        <v>3.93</v>
      </c>
      <c r="P100" s="230">
        <f t="shared" si="49"/>
        <v>3.93</v>
      </c>
      <c r="Q100" s="230">
        <f t="shared" si="50"/>
        <v>3.93</v>
      </c>
      <c r="R100" s="230">
        <f t="shared" si="51"/>
        <v>3.93</v>
      </c>
      <c r="S100" s="230">
        <f t="shared" si="52"/>
        <v>3.93</v>
      </c>
      <c r="T100" s="230">
        <f t="shared" si="53"/>
        <v>3.93</v>
      </c>
      <c r="U100" s="230">
        <f t="shared" si="54"/>
        <v>3.93</v>
      </c>
      <c r="V100" s="230">
        <f t="shared" si="55"/>
        <v>3.93</v>
      </c>
      <c r="W100" s="230">
        <f t="shared" si="56"/>
        <v>3.93</v>
      </c>
      <c r="X100" s="230">
        <f t="shared" si="57"/>
        <v>3.93</v>
      </c>
      <c r="Y100" s="230">
        <f t="shared" si="58"/>
        <v>3.93</v>
      </c>
      <c r="Z100" s="292">
        <f t="shared" si="59"/>
        <v>3.93</v>
      </c>
      <c r="AA100" s="300"/>
      <c r="AB100" s="191">
        <f t="shared" si="60"/>
        <v>3.9299999999999993</v>
      </c>
      <c r="AC100" s="139">
        <f t="shared" si="61"/>
        <v>3.2564455584143848</v>
      </c>
      <c r="AD100" s="132">
        <f t="shared" si="62"/>
        <v>73.270443201154222</v>
      </c>
      <c r="AE100" s="168">
        <f t="shared" si="63"/>
        <v>0.95740916151804178</v>
      </c>
      <c r="AF100" s="192">
        <f t="shared" si="64"/>
        <v>0.34472689395545353</v>
      </c>
      <c r="AG100" s="192">
        <f t="shared" si="74"/>
        <v>2.1230543048726132</v>
      </c>
      <c r="AH100" s="192">
        <f t="shared" si="65"/>
        <v>2.2165255409560429</v>
      </c>
      <c r="AI100" s="168">
        <f t="shared" si="66"/>
        <v>22.713996513460415</v>
      </c>
      <c r="AJ100" s="192">
        <f t="shared" si="67"/>
        <v>7.4883734048584936</v>
      </c>
      <c r="AK100" s="132">
        <f t="shared" si="68"/>
        <v>66.795473553813977</v>
      </c>
      <c r="AL100" s="192">
        <f t="shared" si="69"/>
        <v>0.93261953272205711</v>
      </c>
      <c r="AM100" s="192">
        <f t="shared" si="75"/>
        <v>0</v>
      </c>
      <c r="AN100" s="192">
        <f t="shared" si="70"/>
        <v>0</v>
      </c>
      <c r="AO100" s="192">
        <f t="shared" si="76"/>
        <v>0</v>
      </c>
      <c r="AS100" s="132"/>
      <c r="AT100" s="132"/>
      <c r="AU100" s="200"/>
      <c r="AV100" s="132"/>
      <c r="AW100" s="132"/>
      <c r="AX100" s="132"/>
      <c r="AY100" s="132"/>
      <c r="AZ100" s="132"/>
      <c r="BA100" s="167"/>
      <c r="BB100" s="167"/>
      <c r="BD100" s="211">
        <f t="shared" si="71"/>
        <v>42505</v>
      </c>
      <c r="BE100" s="210">
        <v>1</v>
      </c>
      <c r="BF100" s="209">
        <v>0.5</v>
      </c>
      <c r="BG100" s="209">
        <v>2</v>
      </c>
      <c r="BH100" s="210"/>
      <c r="BI100" s="209"/>
      <c r="BJ100" s="209"/>
      <c r="BK100" s="168">
        <f t="shared" si="72"/>
        <v>3.93</v>
      </c>
      <c r="BL100" s="168">
        <f t="shared" si="73"/>
        <v>3.2564455584143848</v>
      </c>
    </row>
    <row r="101" spans="1:64" ht="13.5" thickBot="1" x14ac:dyDescent="0.25">
      <c r="A101" s="215">
        <f t="shared" si="39"/>
        <v>42506</v>
      </c>
      <c r="B101" s="190"/>
      <c r="C101" s="168"/>
      <c r="D101" s="198"/>
      <c r="E101" s="132">
        <f t="shared" si="41"/>
        <v>4277.3602128907169</v>
      </c>
      <c r="F101" s="168">
        <f t="shared" si="42"/>
        <v>613.30665479612708</v>
      </c>
      <c r="G101" s="300"/>
      <c r="H101" s="127">
        <f>VLOOKUP(MONTH(A101),ETP_Parametros!$A$6:$D$17,4,FALSE)</f>
        <v>2.4193548387096775</v>
      </c>
      <c r="I101" s="230">
        <f>VLOOKUP(A101,P_Q_obs!$A$4:$F$308,6,FALSE)*1</f>
        <v>2.82</v>
      </c>
      <c r="J101" s="230">
        <f t="shared" si="43"/>
        <v>2.82</v>
      </c>
      <c r="K101" s="230">
        <f t="shared" si="44"/>
        <v>2.82</v>
      </c>
      <c r="L101" s="230">
        <f t="shared" si="45"/>
        <v>2.82</v>
      </c>
      <c r="M101" s="230">
        <f t="shared" si="46"/>
        <v>2.82</v>
      </c>
      <c r="N101" s="230">
        <f t="shared" si="47"/>
        <v>2.82</v>
      </c>
      <c r="O101" s="230">
        <f t="shared" si="48"/>
        <v>2.82</v>
      </c>
      <c r="P101" s="230">
        <f t="shared" si="49"/>
        <v>2.82</v>
      </c>
      <c r="Q101" s="230">
        <f t="shared" si="50"/>
        <v>2.82</v>
      </c>
      <c r="R101" s="230">
        <f t="shared" si="51"/>
        <v>2.82</v>
      </c>
      <c r="S101" s="230">
        <f t="shared" si="52"/>
        <v>2.82</v>
      </c>
      <c r="T101" s="230">
        <f t="shared" si="53"/>
        <v>2.82</v>
      </c>
      <c r="U101" s="230">
        <f t="shared" si="54"/>
        <v>2.82</v>
      </c>
      <c r="V101" s="230">
        <f t="shared" si="55"/>
        <v>2.82</v>
      </c>
      <c r="W101" s="230">
        <f t="shared" si="56"/>
        <v>2.82</v>
      </c>
      <c r="X101" s="230">
        <f t="shared" si="57"/>
        <v>2.82</v>
      </c>
      <c r="Y101" s="230">
        <f t="shared" si="58"/>
        <v>2.82</v>
      </c>
      <c r="Z101" s="292">
        <f t="shared" si="59"/>
        <v>2.82</v>
      </c>
      <c r="AA101" s="300"/>
      <c r="AB101" s="191">
        <f t="shared" si="60"/>
        <v>2.8200000000000003</v>
      </c>
      <c r="AC101" s="139">
        <f t="shared" si="61"/>
        <v>3.0752250159892665</v>
      </c>
      <c r="AD101" s="132">
        <f t="shared" si="62"/>
        <v>71.932714193918699</v>
      </c>
      <c r="AE101" s="168">
        <f t="shared" si="63"/>
        <v>0.9391082457513491</v>
      </c>
      <c r="AF101" s="192">
        <f t="shared" si="64"/>
        <v>0.19843687403920765</v>
      </c>
      <c r="AG101" s="192">
        <f t="shared" si="74"/>
        <v>2.1230543048726132</v>
      </c>
      <c r="AH101" s="192">
        <f t="shared" si="65"/>
        <v>2.0914628443129741</v>
      </c>
      <c r="AI101" s="168">
        <f t="shared" si="66"/>
        <v>17.231526316843688</v>
      </c>
      <c r="AJ101" s="192">
        <f t="shared" si="67"/>
        <v>5.6809070706559339</v>
      </c>
      <c r="AK101" s="132">
        <f t="shared" si="68"/>
        <v>67.93603924106587</v>
      </c>
      <c r="AL101" s="192">
        <f t="shared" si="69"/>
        <v>0.95089715706107358</v>
      </c>
      <c r="AM101" s="192">
        <f t="shared" si="75"/>
        <v>0</v>
      </c>
      <c r="AN101" s="192">
        <f t="shared" si="70"/>
        <v>0</v>
      </c>
      <c r="AO101" s="192">
        <f t="shared" si="76"/>
        <v>0</v>
      </c>
      <c r="AS101" s="132"/>
      <c r="AT101" s="132"/>
      <c r="AU101" s="200"/>
      <c r="AV101" s="132"/>
      <c r="AW101" s="132"/>
      <c r="AX101" s="132"/>
      <c r="AY101" s="132"/>
      <c r="AZ101" s="132"/>
      <c r="BA101" s="167"/>
      <c r="BB101" s="167"/>
      <c r="BD101" s="211">
        <f t="shared" si="71"/>
        <v>42506</v>
      </c>
      <c r="BE101" s="210">
        <v>1</v>
      </c>
      <c r="BF101" s="209">
        <v>0.5</v>
      </c>
      <c r="BG101" s="209">
        <v>2</v>
      </c>
      <c r="BH101" s="210"/>
      <c r="BI101" s="209"/>
      <c r="BJ101" s="209"/>
      <c r="BK101" s="168">
        <f t="shared" si="72"/>
        <v>2.82</v>
      </c>
      <c r="BL101" s="168">
        <f t="shared" si="73"/>
        <v>3.0752250159892665</v>
      </c>
    </row>
    <row r="102" spans="1:64" ht="13.5" thickBot="1" x14ac:dyDescent="0.25">
      <c r="A102" s="215">
        <f t="shared" si="39"/>
        <v>42507</v>
      </c>
      <c r="B102" s="190"/>
      <c r="C102" s="168"/>
      <c r="D102" s="198"/>
      <c r="E102" s="132">
        <f t="shared" si="41"/>
        <v>3379.3675536213082</v>
      </c>
      <c r="F102" s="168">
        <f t="shared" si="42"/>
        <v>623.77916871071352</v>
      </c>
      <c r="G102" s="300"/>
      <c r="H102" s="127">
        <f>VLOOKUP(MONTH(A102),ETP_Parametros!$A$6:$D$17,4,FALSE)</f>
        <v>2.4193548387096775</v>
      </c>
      <c r="I102" s="230">
        <f>VLOOKUP(A102,P_Q_obs!$A$4:$F$308,6,FALSE)*1</f>
        <v>0.73</v>
      </c>
      <c r="J102" s="230">
        <f t="shared" si="43"/>
        <v>0.73</v>
      </c>
      <c r="K102" s="230">
        <f t="shared" si="44"/>
        <v>0.73</v>
      </c>
      <c r="L102" s="230">
        <f t="shared" si="45"/>
        <v>0.73</v>
      </c>
      <c r="M102" s="230">
        <f t="shared" si="46"/>
        <v>0.73</v>
      </c>
      <c r="N102" s="230">
        <f t="shared" si="47"/>
        <v>0.73</v>
      </c>
      <c r="O102" s="230">
        <f t="shared" si="48"/>
        <v>0.73</v>
      </c>
      <c r="P102" s="230">
        <f t="shared" si="49"/>
        <v>0.73</v>
      </c>
      <c r="Q102" s="230">
        <f t="shared" si="50"/>
        <v>0.73</v>
      </c>
      <c r="R102" s="230">
        <f t="shared" si="51"/>
        <v>0.73</v>
      </c>
      <c r="S102" s="230">
        <f t="shared" si="52"/>
        <v>0.73</v>
      </c>
      <c r="T102" s="230">
        <f t="shared" si="53"/>
        <v>0.73</v>
      </c>
      <c r="U102" s="230">
        <f t="shared" si="54"/>
        <v>0.73</v>
      </c>
      <c r="V102" s="230">
        <f t="shared" si="55"/>
        <v>0.73</v>
      </c>
      <c r="W102" s="230">
        <f t="shared" si="56"/>
        <v>0.73</v>
      </c>
      <c r="X102" s="230">
        <f t="shared" si="57"/>
        <v>0.73</v>
      </c>
      <c r="Y102" s="230">
        <f t="shared" si="58"/>
        <v>0.73</v>
      </c>
      <c r="Z102" s="292">
        <f t="shared" si="59"/>
        <v>0.73</v>
      </c>
      <c r="AA102" s="300"/>
      <c r="AB102" s="191">
        <f t="shared" si="60"/>
        <v>0.73000000000000009</v>
      </c>
      <c r="AC102" s="139">
        <f t="shared" si="61"/>
        <v>1.4550871941194619</v>
      </c>
      <c r="AD102" s="132">
        <f t="shared" si="62"/>
        <v>69.339654691604281</v>
      </c>
      <c r="AE102" s="168">
        <f t="shared" si="63"/>
        <v>0.92196255526020898</v>
      </c>
      <c r="AF102" s="192">
        <f t="shared" si="64"/>
        <v>0</v>
      </c>
      <c r="AG102" s="192">
        <f t="shared" si="74"/>
        <v>2.0709278583792163</v>
      </c>
      <c r="AH102" s="192">
        <f t="shared" si="65"/>
        <v>1.9772188380546556</v>
      </c>
      <c r="AI102" s="168">
        <f t="shared" si="66"/>
        <v>12.959142932852814</v>
      </c>
      <c r="AJ102" s="192">
        <f t="shared" si="67"/>
        <v>4.2723833839908734</v>
      </c>
      <c r="AK102" s="132">
        <f t="shared" si="68"/>
        <v>68.946123883653314</v>
      </c>
      <c r="AL102" s="192">
        <f t="shared" si="69"/>
        <v>0.96713419546720836</v>
      </c>
      <c r="AM102" s="192">
        <f t="shared" si="75"/>
        <v>0</v>
      </c>
      <c r="AN102" s="192">
        <f t="shared" si="70"/>
        <v>0</v>
      </c>
      <c r="AO102" s="192">
        <f t="shared" si="76"/>
        <v>0</v>
      </c>
      <c r="AS102" s="132"/>
      <c r="AT102" s="132"/>
      <c r="AU102" s="200"/>
      <c r="AV102" s="132"/>
      <c r="AW102" s="132"/>
      <c r="AX102" s="132"/>
      <c r="AY102" s="132"/>
      <c r="AZ102" s="132"/>
      <c r="BA102" s="167"/>
      <c r="BB102" s="167"/>
      <c r="BD102" s="211">
        <f t="shared" si="71"/>
        <v>42507</v>
      </c>
      <c r="BE102" s="210">
        <v>1</v>
      </c>
      <c r="BF102" s="209">
        <v>0.5</v>
      </c>
      <c r="BG102" s="209">
        <v>2</v>
      </c>
      <c r="BH102" s="210"/>
      <c r="BI102" s="209"/>
      <c r="BJ102" s="209"/>
      <c r="BK102" s="168">
        <f t="shared" si="72"/>
        <v>0.73</v>
      </c>
      <c r="BL102" s="168">
        <f t="shared" si="73"/>
        <v>1.4550871941194619</v>
      </c>
    </row>
    <row r="103" spans="1:64" ht="13.5" thickBot="1" x14ac:dyDescent="0.25">
      <c r="A103" s="215">
        <f t="shared" si="39"/>
        <v>42508</v>
      </c>
      <c r="B103" s="190"/>
      <c r="C103" s="168"/>
      <c r="D103" s="198"/>
      <c r="E103" s="132">
        <f t="shared" si="41"/>
        <v>2705.4216248144094</v>
      </c>
      <c r="F103" s="168">
        <f t="shared" si="42"/>
        <v>633.05362400306433</v>
      </c>
      <c r="G103" s="300"/>
      <c r="H103" s="127">
        <f>VLOOKUP(MONTH(A103),ETP_Parametros!$A$6:$D$17,4,FALSE)</f>
        <v>2.4193548387096775</v>
      </c>
      <c r="I103" s="230">
        <f>VLOOKUP(A103,P_Q_obs!$A$4:$F$308,6,FALSE)*1</f>
        <v>0.14000000000000001</v>
      </c>
      <c r="J103" s="230">
        <f t="shared" si="43"/>
        <v>0.14000000000000001</v>
      </c>
      <c r="K103" s="230">
        <f t="shared" si="44"/>
        <v>0.14000000000000001</v>
      </c>
      <c r="L103" s="230">
        <f t="shared" si="45"/>
        <v>0.14000000000000001</v>
      </c>
      <c r="M103" s="230">
        <f t="shared" si="46"/>
        <v>0.14000000000000001</v>
      </c>
      <c r="N103" s="230">
        <f t="shared" si="47"/>
        <v>0.14000000000000001</v>
      </c>
      <c r="O103" s="230">
        <f t="shared" si="48"/>
        <v>0.14000000000000001</v>
      </c>
      <c r="P103" s="230">
        <f t="shared" si="49"/>
        <v>0.14000000000000001</v>
      </c>
      <c r="Q103" s="230">
        <f t="shared" si="50"/>
        <v>0.14000000000000001</v>
      </c>
      <c r="R103" s="230">
        <f t="shared" si="51"/>
        <v>0.14000000000000001</v>
      </c>
      <c r="S103" s="230">
        <f t="shared" si="52"/>
        <v>0.14000000000000001</v>
      </c>
      <c r="T103" s="230">
        <f t="shared" si="53"/>
        <v>0.14000000000000001</v>
      </c>
      <c r="U103" s="230">
        <f t="shared" si="54"/>
        <v>0.14000000000000001</v>
      </c>
      <c r="V103" s="230">
        <f t="shared" si="55"/>
        <v>0.14000000000000001</v>
      </c>
      <c r="W103" s="230">
        <f t="shared" si="56"/>
        <v>0.14000000000000001</v>
      </c>
      <c r="X103" s="230">
        <f t="shared" si="57"/>
        <v>0.14000000000000001</v>
      </c>
      <c r="Y103" s="230">
        <f t="shared" si="58"/>
        <v>0.14000000000000001</v>
      </c>
      <c r="Z103" s="292">
        <f t="shared" si="59"/>
        <v>0.14000000000000001</v>
      </c>
      <c r="AA103" s="300"/>
      <c r="AB103" s="191">
        <f t="shared" si="60"/>
        <v>0.13999999999999996</v>
      </c>
      <c r="AC103" s="139">
        <f t="shared" si="61"/>
        <v>0.44442302762267588</v>
      </c>
      <c r="AD103" s="132">
        <f t="shared" si="62"/>
        <v>66.083984944440132</v>
      </c>
      <c r="AE103" s="168">
        <f t="shared" si="63"/>
        <v>0.88872727710497879</v>
      </c>
      <c r="AF103" s="192">
        <f t="shared" si="64"/>
        <v>0</v>
      </c>
      <c r="AG103" s="192">
        <f t="shared" si="74"/>
        <v>1.9362684319162653</v>
      </c>
      <c r="AH103" s="192">
        <f t="shared" si="65"/>
        <v>1.7638243428705656</v>
      </c>
      <c r="AI103" s="168">
        <f t="shared" si="66"/>
        <v>9.7460539749139663</v>
      </c>
      <c r="AJ103" s="192">
        <f t="shared" si="67"/>
        <v>3.2130889579388477</v>
      </c>
      <c r="AK103" s="132">
        <f t="shared" si="68"/>
        <v>69.72843451454267</v>
      </c>
      <c r="AL103" s="192">
        <f t="shared" si="69"/>
        <v>0.9815137119812074</v>
      </c>
      <c r="AM103" s="192">
        <f t="shared" si="75"/>
        <v>0</v>
      </c>
      <c r="AN103" s="192">
        <f t="shared" si="70"/>
        <v>0</v>
      </c>
      <c r="AO103" s="192">
        <f t="shared" si="76"/>
        <v>0</v>
      </c>
      <c r="AS103" s="132"/>
      <c r="AT103" s="132"/>
      <c r="AU103" s="200"/>
      <c r="AV103" s="132"/>
      <c r="AW103" s="132"/>
      <c r="AX103" s="132"/>
      <c r="AY103" s="132"/>
      <c r="AZ103" s="132"/>
      <c r="BA103" s="167"/>
      <c r="BB103" s="167"/>
      <c r="BD103" s="211">
        <f t="shared" si="71"/>
        <v>42508</v>
      </c>
      <c r="BE103" s="210">
        <v>1</v>
      </c>
      <c r="BF103" s="209">
        <v>0.5</v>
      </c>
      <c r="BG103" s="209">
        <v>2</v>
      </c>
      <c r="BH103" s="210"/>
      <c r="BI103" s="209"/>
      <c r="BJ103" s="209"/>
      <c r="BK103" s="168">
        <f t="shared" si="72"/>
        <v>0.14000000000000001</v>
      </c>
      <c r="BL103" s="168">
        <f t="shared" si="73"/>
        <v>0.44442302762267588</v>
      </c>
    </row>
    <row r="104" spans="1:64" ht="13.5" thickBot="1" x14ac:dyDescent="0.25">
      <c r="A104" s="215">
        <f t="shared" si="39"/>
        <v>42509</v>
      </c>
      <c r="B104" s="190"/>
      <c r="C104" s="168"/>
      <c r="D104" s="198"/>
      <c r="E104" s="132">
        <f t="shared" si="41"/>
        <v>2198.7819194614367</v>
      </c>
      <c r="F104" s="168">
        <f t="shared" si="42"/>
        <v>640.23669031751524</v>
      </c>
      <c r="G104" s="300"/>
      <c r="H104" s="127">
        <f>VLOOKUP(MONTH(A104),ETP_Parametros!$A$6:$D$17,4,FALSE)</f>
        <v>2.4193548387096775</v>
      </c>
      <c r="I104" s="230">
        <f>VLOOKUP(A104,P_Q_obs!$A$4:$F$308,6,FALSE)*1</f>
        <v>0.04</v>
      </c>
      <c r="J104" s="230">
        <f t="shared" si="43"/>
        <v>0.04</v>
      </c>
      <c r="K104" s="230">
        <f t="shared" si="44"/>
        <v>0.04</v>
      </c>
      <c r="L104" s="230">
        <f t="shared" si="45"/>
        <v>0.04</v>
      </c>
      <c r="M104" s="230">
        <f t="shared" si="46"/>
        <v>0.04</v>
      </c>
      <c r="N104" s="230">
        <f t="shared" si="47"/>
        <v>0.04</v>
      </c>
      <c r="O104" s="230">
        <f t="shared" si="48"/>
        <v>0.04</v>
      </c>
      <c r="P104" s="230">
        <f t="shared" si="49"/>
        <v>0.04</v>
      </c>
      <c r="Q104" s="230">
        <f t="shared" si="50"/>
        <v>0.04</v>
      </c>
      <c r="R104" s="230">
        <f t="shared" si="51"/>
        <v>0.04</v>
      </c>
      <c r="S104" s="230">
        <f t="shared" si="52"/>
        <v>0.04</v>
      </c>
      <c r="T104" s="230">
        <f t="shared" si="53"/>
        <v>0.04</v>
      </c>
      <c r="U104" s="230">
        <f t="shared" si="54"/>
        <v>0.04</v>
      </c>
      <c r="V104" s="230">
        <f t="shared" si="55"/>
        <v>0.04</v>
      </c>
      <c r="W104" s="230">
        <f t="shared" si="56"/>
        <v>0.04</v>
      </c>
      <c r="X104" s="230">
        <f t="shared" si="57"/>
        <v>0.04</v>
      </c>
      <c r="Y104" s="230">
        <f t="shared" si="58"/>
        <v>0.04</v>
      </c>
      <c r="Z104" s="292">
        <f t="shared" si="59"/>
        <v>0.04</v>
      </c>
      <c r="AA104" s="300"/>
      <c r="AB104" s="191">
        <f t="shared" si="60"/>
        <v>0.04</v>
      </c>
      <c r="AC104" s="139">
        <f t="shared" si="61"/>
        <v>0.14222246919326628</v>
      </c>
      <c r="AD104" s="132">
        <f t="shared" si="62"/>
        <v>62.895270258256197</v>
      </c>
      <c r="AE104" s="168">
        <f t="shared" si="63"/>
        <v>0.84699931462205358</v>
      </c>
      <c r="AF104" s="192">
        <f t="shared" si="64"/>
        <v>0</v>
      </c>
      <c r="AG104" s="192">
        <f t="shared" si="74"/>
        <v>1.8199856763952174</v>
      </c>
      <c r="AH104" s="192">
        <f t="shared" si="65"/>
        <v>1.5109514789819896</v>
      </c>
      <c r="AI104" s="168">
        <f t="shared" si="66"/>
        <v>7.3296180599364895</v>
      </c>
      <c r="AJ104" s="192">
        <f t="shared" si="67"/>
        <v>2.4164359149774763</v>
      </c>
      <c r="AK104" s="132">
        <f t="shared" si="68"/>
        <v>70.246735344932745</v>
      </c>
      <c r="AL104" s="192">
        <f t="shared" si="69"/>
        <v>0.99265064859191976</v>
      </c>
      <c r="AM104" s="192">
        <f t="shared" si="75"/>
        <v>0</v>
      </c>
      <c r="AN104" s="192">
        <f t="shared" si="70"/>
        <v>0</v>
      </c>
      <c r="AO104" s="192">
        <f t="shared" si="76"/>
        <v>0</v>
      </c>
      <c r="AS104" s="132"/>
      <c r="AT104" s="132"/>
      <c r="AU104" s="200"/>
      <c r="AV104" s="132"/>
      <c r="AW104" s="132"/>
      <c r="AX104" s="132"/>
      <c r="AY104" s="132"/>
      <c r="AZ104" s="132"/>
      <c r="BA104" s="167"/>
      <c r="BB104" s="167"/>
      <c r="BD104" s="211">
        <f t="shared" si="71"/>
        <v>42509</v>
      </c>
      <c r="BE104" s="210">
        <v>1</v>
      </c>
      <c r="BF104" s="209">
        <v>0.5</v>
      </c>
      <c r="BG104" s="209">
        <v>2</v>
      </c>
      <c r="BH104" s="210"/>
      <c r="BI104" s="209"/>
      <c r="BJ104" s="209"/>
      <c r="BK104" s="168">
        <f t="shared" si="72"/>
        <v>0.04</v>
      </c>
      <c r="BL104" s="168">
        <f t="shared" si="73"/>
        <v>0.14222246919326628</v>
      </c>
    </row>
    <row r="105" spans="1:64" ht="13.5" thickBot="1" x14ac:dyDescent="0.25">
      <c r="A105" s="215">
        <f t="shared" si="39"/>
        <v>42510</v>
      </c>
      <c r="B105" s="190"/>
      <c r="C105" s="168"/>
      <c r="D105" s="198"/>
      <c r="E105" s="132">
        <f t="shared" si="41"/>
        <v>1817.1152939118979</v>
      </c>
      <c r="F105" s="168">
        <f t="shared" si="42"/>
        <v>644.99565573166853</v>
      </c>
      <c r="G105" s="300"/>
      <c r="H105" s="127">
        <f>VLOOKUP(MONTH(A105),ETP_Parametros!$A$6:$D$17,4,FALSE)</f>
        <v>2.4193548387096775</v>
      </c>
      <c r="I105" s="230">
        <f>VLOOKUP(A105,P_Q_obs!$A$4:$F$308,6,FALSE)*1</f>
        <v>0.03</v>
      </c>
      <c r="J105" s="230">
        <f t="shared" si="43"/>
        <v>0.03</v>
      </c>
      <c r="K105" s="230">
        <f t="shared" si="44"/>
        <v>0.03</v>
      </c>
      <c r="L105" s="230">
        <f t="shared" si="45"/>
        <v>0.03</v>
      </c>
      <c r="M105" s="230">
        <f t="shared" si="46"/>
        <v>0.03</v>
      </c>
      <c r="N105" s="230">
        <f t="shared" si="47"/>
        <v>0.03</v>
      </c>
      <c r="O105" s="230">
        <f t="shared" si="48"/>
        <v>0.03</v>
      </c>
      <c r="P105" s="230">
        <f t="shared" si="49"/>
        <v>0.03</v>
      </c>
      <c r="Q105" s="230">
        <f t="shared" si="50"/>
        <v>0.03</v>
      </c>
      <c r="R105" s="230">
        <f t="shared" si="51"/>
        <v>0.03</v>
      </c>
      <c r="S105" s="230">
        <f t="shared" si="52"/>
        <v>0.03</v>
      </c>
      <c r="T105" s="230">
        <f t="shared" si="53"/>
        <v>0.03</v>
      </c>
      <c r="U105" s="230">
        <f t="shared" si="54"/>
        <v>0.03</v>
      </c>
      <c r="V105" s="230">
        <f t="shared" si="55"/>
        <v>0.03</v>
      </c>
      <c r="W105" s="230">
        <f t="shared" si="56"/>
        <v>0.03</v>
      </c>
      <c r="X105" s="230">
        <f t="shared" si="57"/>
        <v>0.03</v>
      </c>
      <c r="Y105" s="230">
        <f t="shared" si="58"/>
        <v>0.03</v>
      </c>
      <c r="Z105" s="292">
        <f t="shared" si="59"/>
        <v>0.03</v>
      </c>
      <c r="AA105" s="300"/>
      <c r="AB105" s="191">
        <f t="shared" si="60"/>
        <v>3.0000000000000002E-2</v>
      </c>
      <c r="AC105" s="139">
        <f t="shared" si="61"/>
        <v>6.7243855815353276E-2</v>
      </c>
      <c r="AD105" s="132">
        <f t="shared" si="62"/>
        <v>59.958499085698918</v>
      </c>
      <c r="AE105" s="168">
        <f t="shared" si="63"/>
        <v>0.8061295160468952</v>
      </c>
      <c r="AF105" s="192">
        <f t="shared" si="64"/>
        <v>0</v>
      </c>
      <c r="AG105" s="192">
        <f t="shared" si="74"/>
        <v>1.7244933381980325</v>
      </c>
      <c r="AH105" s="192">
        <f t="shared" si="65"/>
        <v>1.279521690174608</v>
      </c>
      <c r="AI105" s="168">
        <f t="shared" si="66"/>
        <v>5.5123130902854864</v>
      </c>
      <c r="AJ105" s="192">
        <f t="shared" si="67"/>
        <v>1.8173049696510033</v>
      </c>
      <c r="AK105" s="132">
        <f t="shared" si="68"/>
        <v>70.526227880758995</v>
      </c>
      <c r="AL105" s="192">
        <f t="shared" si="69"/>
        <v>1.0000291543483502</v>
      </c>
      <c r="AM105" s="192">
        <f t="shared" si="75"/>
        <v>0</v>
      </c>
      <c r="AN105" s="192">
        <f t="shared" si="70"/>
        <v>0</v>
      </c>
      <c r="AO105" s="192">
        <f t="shared" si="76"/>
        <v>0</v>
      </c>
      <c r="AS105" s="132"/>
      <c r="AT105" s="132"/>
      <c r="AU105" s="200"/>
      <c r="AV105" s="132"/>
      <c r="AW105" s="132"/>
      <c r="AX105" s="132"/>
      <c r="AY105" s="132"/>
      <c r="AZ105" s="132"/>
      <c r="BA105" s="167"/>
      <c r="BB105" s="167"/>
      <c r="BD105" s="211">
        <f t="shared" si="71"/>
        <v>42510</v>
      </c>
      <c r="BE105" s="210">
        <v>1</v>
      </c>
      <c r="BF105" s="209">
        <v>0.5</v>
      </c>
      <c r="BG105" s="209">
        <v>2</v>
      </c>
      <c r="BH105" s="210"/>
      <c r="BI105" s="209"/>
      <c r="BJ105" s="209"/>
      <c r="BK105" s="168">
        <f t="shared" si="72"/>
        <v>0.03</v>
      </c>
      <c r="BL105" s="168">
        <f t="shared" si="73"/>
        <v>6.7243855815353276E-2</v>
      </c>
    </row>
    <row r="106" spans="1:64" ht="13.5" thickBot="1" x14ac:dyDescent="0.25">
      <c r="A106" s="215">
        <f t="shared" si="39"/>
        <v>42511</v>
      </c>
      <c r="B106" s="190"/>
      <c r="C106" s="168"/>
      <c r="D106" s="198"/>
      <c r="E106" s="132">
        <f t="shared" si="41"/>
        <v>1536.0709414956357</v>
      </c>
      <c r="F106" s="168">
        <f t="shared" si="42"/>
        <v>647.56191693273615</v>
      </c>
      <c r="G106" s="300"/>
      <c r="H106" s="127">
        <f>VLOOKUP(MONTH(A106),ETP_Parametros!$A$6:$D$17,4,FALSE)</f>
        <v>2.4193548387096775</v>
      </c>
      <c r="I106" s="230">
        <f>VLOOKUP(A106,P_Q_obs!$A$4:$F$308,6,FALSE)*1</f>
        <v>0.11</v>
      </c>
      <c r="J106" s="230">
        <f t="shared" si="43"/>
        <v>0.11</v>
      </c>
      <c r="K106" s="230">
        <f t="shared" si="44"/>
        <v>0.11</v>
      </c>
      <c r="L106" s="230">
        <f t="shared" si="45"/>
        <v>0.11</v>
      </c>
      <c r="M106" s="230">
        <f t="shared" si="46"/>
        <v>0.11</v>
      </c>
      <c r="N106" s="230">
        <f t="shared" si="47"/>
        <v>0.11</v>
      </c>
      <c r="O106" s="230">
        <f t="shared" si="48"/>
        <v>0.11</v>
      </c>
      <c r="P106" s="230">
        <f t="shared" si="49"/>
        <v>0.11</v>
      </c>
      <c r="Q106" s="230">
        <f t="shared" si="50"/>
        <v>0.11</v>
      </c>
      <c r="R106" s="230">
        <f t="shared" si="51"/>
        <v>0.11</v>
      </c>
      <c r="S106" s="230">
        <f t="shared" si="52"/>
        <v>0.11</v>
      </c>
      <c r="T106" s="230">
        <f t="shared" si="53"/>
        <v>0.11</v>
      </c>
      <c r="U106" s="230">
        <f t="shared" si="54"/>
        <v>0.11</v>
      </c>
      <c r="V106" s="230">
        <f t="shared" si="55"/>
        <v>0.11</v>
      </c>
      <c r="W106" s="230">
        <f t="shared" si="56"/>
        <v>0.11</v>
      </c>
      <c r="X106" s="230">
        <f t="shared" si="57"/>
        <v>0.11</v>
      </c>
      <c r="Y106" s="230">
        <f t="shared" si="58"/>
        <v>0.11</v>
      </c>
      <c r="Z106" s="292">
        <f t="shared" si="59"/>
        <v>0.11</v>
      </c>
      <c r="AA106" s="300"/>
      <c r="AB106" s="191">
        <f t="shared" si="60"/>
        <v>0.10999999999999997</v>
      </c>
      <c r="AC106" s="139">
        <f t="shared" si="61"/>
        <v>2.9116589962814863</v>
      </c>
      <c r="AD106" s="132">
        <f t="shared" si="62"/>
        <v>59.622705244156357</v>
      </c>
      <c r="AE106" s="168">
        <f t="shared" si="63"/>
        <v>0.768488880839301</v>
      </c>
      <c r="AF106" s="192">
        <f t="shared" si="64"/>
        <v>4.3802156587810753E-2</v>
      </c>
      <c r="AG106" s="192">
        <f t="shared" si="74"/>
        <v>2.1230543048726132</v>
      </c>
      <c r="AH106" s="192">
        <f t="shared" si="65"/>
        <v>1.0805963763636315</v>
      </c>
      <c r="AI106" s="168">
        <f t="shared" si="66"/>
        <v>4.1785324359370275</v>
      </c>
      <c r="AJ106" s="192">
        <f t="shared" si="67"/>
        <v>1.3775828109362691</v>
      </c>
      <c r="AK106" s="132">
        <f t="shared" si="68"/>
        <v>70.602816260442651</v>
      </c>
      <c r="AL106" s="192">
        <f t="shared" si="69"/>
        <v>1.0040079966799771</v>
      </c>
      <c r="AM106" s="192">
        <f t="shared" si="75"/>
        <v>0</v>
      </c>
      <c r="AN106" s="192">
        <f t="shared" si="70"/>
        <v>0</v>
      </c>
      <c r="AO106" s="192">
        <f t="shared" si="76"/>
        <v>0</v>
      </c>
      <c r="AS106" s="132"/>
      <c r="AT106" s="132"/>
      <c r="AU106" s="200"/>
      <c r="AV106" s="132"/>
      <c r="AW106" s="132"/>
      <c r="AX106" s="132"/>
      <c r="AY106" s="132"/>
      <c r="AZ106" s="132"/>
      <c r="BA106" s="167"/>
      <c r="BB106" s="167"/>
      <c r="BD106" s="211">
        <f t="shared" si="71"/>
        <v>42511</v>
      </c>
      <c r="BE106" s="210">
        <v>1</v>
      </c>
      <c r="BF106" s="209">
        <v>0.5</v>
      </c>
      <c r="BG106" s="209">
        <v>2</v>
      </c>
      <c r="BH106" s="210"/>
      <c r="BI106" s="209"/>
      <c r="BJ106" s="209"/>
      <c r="BK106" s="168">
        <f t="shared" si="72"/>
        <v>0.11</v>
      </c>
      <c r="BL106" s="168">
        <f t="shared" si="73"/>
        <v>2.9116589962814863</v>
      </c>
    </row>
    <row r="107" spans="1:64" ht="13.5" thickBot="1" x14ac:dyDescent="0.25">
      <c r="A107" s="215">
        <f t="shared" si="39"/>
        <v>42512</v>
      </c>
      <c r="B107" s="190"/>
      <c r="C107" s="168"/>
      <c r="D107" s="198"/>
      <c r="E107" s="132">
        <f t="shared" si="41"/>
        <v>1545.7835038757278</v>
      </c>
      <c r="F107" s="168">
        <f t="shared" si="42"/>
        <v>648.26514067591665</v>
      </c>
      <c r="G107" s="300"/>
      <c r="H107" s="127">
        <f>VLOOKUP(MONTH(A107),ETP_Parametros!$A$6:$D$17,4,FALSE)</f>
        <v>2.4193548387096775</v>
      </c>
      <c r="I107" s="230">
        <f>VLOOKUP(A107,P_Q_obs!$A$4:$F$308,6,FALSE)*1</f>
        <v>13.36</v>
      </c>
      <c r="J107" s="230">
        <f t="shared" si="43"/>
        <v>13.36</v>
      </c>
      <c r="K107" s="230">
        <f t="shared" si="44"/>
        <v>13.36</v>
      </c>
      <c r="L107" s="230">
        <f t="shared" si="45"/>
        <v>13.36</v>
      </c>
      <c r="M107" s="230">
        <f t="shared" si="46"/>
        <v>13.36</v>
      </c>
      <c r="N107" s="230">
        <f t="shared" si="47"/>
        <v>13.36</v>
      </c>
      <c r="O107" s="230">
        <f t="shared" si="48"/>
        <v>13.36</v>
      </c>
      <c r="P107" s="230">
        <f t="shared" si="49"/>
        <v>13.36</v>
      </c>
      <c r="Q107" s="230">
        <f t="shared" si="50"/>
        <v>13.36</v>
      </c>
      <c r="R107" s="230">
        <f t="shared" si="51"/>
        <v>13.36</v>
      </c>
      <c r="S107" s="230">
        <f t="shared" si="52"/>
        <v>13.36</v>
      </c>
      <c r="T107" s="230">
        <f t="shared" si="53"/>
        <v>13.36</v>
      </c>
      <c r="U107" s="230">
        <f t="shared" si="54"/>
        <v>13.36</v>
      </c>
      <c r="V107" s="230">
        <f t="shared" si="55"/>
        <v>13.36</v>
      </c>
      <c r="W107" s="230">
        <f t="shared" si="56"/>
        <v>13.36</v>
      </c>
      <c r="X107" s="230">
        <f t="shared" si="57"/>
        <v>13.36</v>
      </c>
      <c r="Y107" s="230">
        <f t="shared" si="58"/>
        <v>13.36</v>
      </c>
      <c r="Z107" s="292">
        <f t="shared" si="59"/>
        <v>13.36</v>
      </c>
      <c r="AA107" s="300"/>
      <c r="AB107" s="191">
        <f t="shared" si="60"/>
        <v>13.360000000000001</v>
      </c>
      <c r="AC107" s="139">
        <f t="shared" si="61"/>
        <v>7.9031110391160659</v>
      </c>
      <c r="AD107" s="132">
        <f t="shared" si="62"/>
        <v>62.910121430533074</v>
      </c>
      <c r="AE107" s="168">
        <f t="shared" si="63"/>
        <v>0.76418500670277645</v>
      </c>
      <c r="AF107" s="192">
        <f t="shared" si="64"/>
        <v>1.4339209261168266</v>
      </c>
      <c r="AG107" s="192">
        <f t="shared" si="74"/>
        <v>2.1230543048726132</v>
      </c>
      <c r="AH107" s="192">
        <f t="shared" si="65"/>
        <v>1.0587196217499075</v>
      </c>
      <c r="AI107" s="168">
        <f t="shared" si="66"/>
        <v>4.22090208292986</v>
      </c>
      <c r="AJ107" s="192">
        <f t="shared" si="67"/>
        <v>1.3915512791239941</v>
      </c>
      <c r="AK107" s="132">
        <f t="shared" si="68"/>
        <v>70.656437577013662</v>
      </c>
      <c r="AL107" s="192">
        <f t="shared" si="69"/>
        <v>1.0050983051788969</v>
      </c>
      <c r="AM107" s="192">
        <f t="shared" si="75"/>
        <v>0</v>
      </c>
      <c r="AN107" s="192">
        <f t="shared" si="70"/>
        <v>0</v>
      </c>
      <c r="AO107" s="192">
        <f t="shared" si="76"/>
        <v>0</v>
      </c>
      <c r="AS107" s="132"/>
      <c r="AT107" s="132"/>
      <c r="AU107" s="200"/>
      <c r="AV107" s="132"/>
      <c r="AW107" s="132"/>
      <c r="AX107" s="132"/>
      <c r="AY107" s="132"/>
      <c r="AZ107" s="132"/>
      <c r="BA107" s="167"/>
      <c r="BB107" s="167"/>
      <c r="BD107" s="211">
        <f t="shared" si="71"/>
        <v>42512</v>
      </c>
      <c r="BE107" s="210">
        <v>1</v>
      </c>
      <c r="BF107" s="209">
        <v>0.5</v>
      </c>
      <c r="BG107" s="209">
        <v>2</v>
      </c>
      <c r="BH107" s="210"/>
      <c r="BI107" s="209"/>
      <c r="BJ107" s="209"/>
      <c r="BK107" s="168">
        <f t="shared" si="72"/>
        <v>13.36</v>
      </c>
      <c r="BL107" s="168">
        <f t="shared" si="73"/>
        <v>7.9031110391160659</v>
      </c>
    </row>
    <row r="108" spans="1:64" ht="13.5" thickBot="1" x14ac:dyDescent="0.25">
      <c r="A108" s="215">
        <f t="shared" si="39"/>
        <v>42513</v>
      </c>
      <c r="B108" s="190"/>
      <c r="C108" s="168"/>
      <c r="D108" s="198"/>
      <c r="E108" s="132">
        <f t="shared" si="41"/>
        <v>2008.8539596842038</v>
      </c>
      <c r="F108" s="168">
        <f t="shared" si="42"/>
        <v>648.75748407199194</v>
      </c>
      <c r="G108" s="300"/>
      <c r="H108" s="127">
        <f>VLOOKUP(MONTH(A108),ETP_Parametros!$A$6:$D$17,4,FALSE)</f>
        <v>2.4193548387096775</v>
      </c>
      <c r="I108" s="230">
        <f>VLOOKUP(A108,P_Q_obs!$A$4:$F$308,6,FALSE)*1</f>
        <v>14.34</v>
      </c>
      <c r="J108" s="230">
        <f t="shared" si="43"/>
        <v>14.34</v>
      </c>
      <c r="K108" s="230">
        <f t="shared" si="44"/>
        <v>14.34</v>
      </c>
      <c r="L108" s="230">
        <f t="shared" si="45"/>
        <v>14.34</v>
      </c>
      <c r="M108" s="230">
        <f t="shared" si="46"/>
        <v>14.34</v>
      </c>
      <c r="N108" s="230">
        <f t="shared" si="47"/>
        <v>14.34</v>
      </c>
      <c r="O108" s="230">
        <f t="shared" si="48"/>
        <v>14.34</v>
      </c>
      <c r="P108" s="230">
        <f t="shared" si="49"/>
        <v>14.34</v>
      </c>
      <c r="Q108" s="230">
        <f t="shared" si="50"/>
        <v>14.34</v>
      </c>
      <c r="R108" s="230">
        <f t="shared" si="51"/>
        <v>14.34</v>
      </c>
      <c r="S108" s="230">
        <f t="shared" si="52"/>
        <v>14.34</v>
      </c>
      <c r="T108" s="230">
        <f t="shared" si="53"/>
        <v>14.34</v>
      </c>
      <c r="U108" s="230">
        <f t="shared" si="54"/>
        <v>14.34</v>
      </c>
      <c r="V108" s="230">
        <f t="shared" si="55"/>
        <v>14.34</v>
      </c>
      <c r="W108" s="230">
        <f t="shared" si="56"/>
        <v>14.34</v>
      </c>
      <c r="X108" s="230">
        <f t="shared" si="57"/>
        <v>14.34</v>
      </c>
      <c r="Y108" s="230">
        <f t="shared" si="58"/>
        <v>14.34</v>
      </c>
      <c r="Z108" s="292">
        <f t="shared" si="59"/>
        <v>14.34</v>
      </c>
      <c r="AA108" s="300"/>
      <c r="AB108" s="191">
        <f t="shared" si="60"/>
        <v>14.340000000000002</v>
      </c>
      <c r="AC108" s="139">
        <f t="shared" si="61"/>
        <v>12.468424703885221</v>
      </c>
      <c r="AD108" s="132">
        <f t="shared" si="62"/>
        <v>67.690737623731891</v>
      </c>
      <c r="AE108" s="168">
        <f t="shared" si="63"/>
        <v>0.8063198637196396</v>
      </c>
      <c r="AF108" s="192">
        <f t="shared" si="64"/>
        <v>4.2841919076294648</v>
      </c>
      <c r="AG108" s="192">
        <f t="shared" si="74"/>
        <v>2.1230543048726132</v>
      </c>
      <c r="AH108" s="192">
        <f t="shared" si="65"/>
        <v>1.2805622981843368</v>
      </c>
      <c r="AI108" s="168">
        <f t="shared" si="66"/>
        <v>6.3963416040091481</v>
      </c>
      <c r="AJ108" s="192">
        <f t="shared" si="67"/>
        <v>2.1087523865501758</v>
      </c>
      <c r="AK108" s="132">
        <f t="shared" si="68"/>
        <v>70.931138219528833</v>
      </c>
      <c r="AL108" s="192">
        <f t="shared" si="69"/>
        <v>1.0058616556691689</v>
      </c>
      <c r="AM108" s="192">
        <f t="shared" si="75"/>
        <v>0</v>
      </c>
      <c r="AN108" s="192">
        <f t="shared" si="70"/>
        <v>0</v>
      </c>
      <c r="AO108" s="192">
        <f t="shared" si="76"/>
        <v>0</v>
      </c>
      <c r="AS108" s="132"/>
      <c r="AT108" s="132"/>
      <c r="AU108" s="200"/>
      <c r="AV108" s="132"/>
      <c r="AW108" s="132"/>
      <c r="AX108" s="132"/>
      <c r="AY108" s="132"/>
      <c r="AZ108" s="132"/>
      <c r="BA108" s="167"/>
      <c r="BB108" s="167"/>
      <c r="BD108" s="211">
        <f t="shared" si="71"/>
        <v>42513</v>
      </c>
      <c r="BE108" s="210">
        <v>1</v>
      </c>
      <c r="BF108" s="209">
        <v>0.5</v>
      </c>
      <c r="BG108" s="209">
        <v>2</v>
      </c>
      <c r="BH108" s="210"/>
      <c r="BI108" s="209"/>
      <c r="BJ108" s="209"/>
      <c r="BK108" s="168">
        <f t="shared" si="72"/>
        <v>14.34</v>
      </c>
      <c r="BL108" s="168">
        <f t="shared" si="73"/>
        <v>12.468424703885221</v>
      </c>
    </row>
    <row r="109" spans="1:64" ht="13.5" thickBot="1" x14ac:dyDescent="0.25">
      <c r="A109" s="215">
        <f t="shared" si="39"/>
        <v>42514</v>
      </c>
      <c r="B109" s="190"/>
      <c r="C109" s="168"/>
      <c r="D109" s="198"/>
      <c r="E109" s="132">
        <f t="shared" si="41"/>
        <v>2259.8860601760221</v>
      </c>
      <c r="F109" s="168">
        <f t="shared" si="42"/>
        <v>651.2797467818383</v>
      </c>
      <c r="G109" s="300"/>
      <c r="H109" s="127">
        <f>VLOOKUP(MONTH(A109),ETP_Parametros!$A$6:$D$17,4,FALSE)</f>
        <v>2.4193548387096775</v>
      </c>
      <c r="I109" s="230">
        <f>VLOOKUP(A109,P_Q_obs!$A$4:$F$308,6,FALSE)*1</f>
        <v>8.98</v>
      </c>
      <c r="J109" s="230">
        <f t="shared" si="43"/>
        <v>8.98</v>
      </c>
      <c r="K109" s="230">
        <f t="shared" si="44"/>
        <v>8.98</v>
      </c>
      <c r="L109" s="230">
        <f t="shared" si="45"/>
        <v>8.98</v>
      </c>
      <c r="M109" s="230">
        <f t="shared" si="46"/>
        <v>8.98</v>
      </c>
      <c r="N109" s="230">
        <f t="shared" si="47"/>
        <v>8.98</v>
      </c>
      <c r="O109" s="230">
        <f t="shared" si="48"/>
        <v>8.98</v>
      </c>
      <c r="P109" s="230">
        <f t="shared" si="49"/>
        <v>8.98</v>
      </c>
      <c r="Q109" s="230">
        <f t="shared" si="50"/>
        <v>8.98</v>
      </c>
      <c r="R109" s="230">
        <f t="shared" si="51"/>
        <v>8.98</v>
      </c>
      <c r="S109" s="230">
        <f t="shared" si="52"/>
        <v>8.98</v>
      </c>
      <c r="T109" s="230">
        <f t="shared" si="53"/>
        <v>8.98</v>
      </c>
      <c r="U109" s="230">
        <f t="shared" si="54"/>
        <v>8.98</v>
      </c>
      <c r="V109" s="230">
        <f t="shared" si="55"/>
        <v>8.98</v>
      </c>
      <c r="W109" s="230">
        <f t="shared" si="56"/>
        <v>8.98</v>
      </c>
      <c r="X109" s="230">
        <f t="shared" si="57"/>
        <v>8.98</v>
      </c>
      <c r="Y109" s="230">
        <f t="shared" si="58"/>
        <v>8.98</v>
      </c>
      <c r="Z109" s="292">
        <f t="shared" si="59"/>
        <v>8.98</v>
      </c>
      <c r="AA109" s="300"/>
      <c r="AB109" s="191">
        <f t="shared" si="60"/>
        <v>8.9799999999999986</v>
      </c>
      <c r="AC109" s="139">
        <f t="shared" si="61"/>
        <v>10.249502896094159</v>
      </c>
      <c r="AD109" s="132">
        <f t="shared" si="62"/>
        <v>70.520770481281531</v>
      </c>
      <c r="AE109" s="168">
        <f t="shared" si="63"/>
        <v>0.8675930850986896</v>
      </c>
      <c r="AF109" s="192">
        <f t="shared" si="64"/>
        <v>3.6627594484116801</v>
      </c>
      <c r="AG109" s="192">
        <f t="shared" si="74"/>
        <v>2.1230543048726132</v>
      </c>
      <c r="AH109" s="192">
        <f t="shared" si="65"/>
        <v>1.6336562852602279</v>
      </c>
      <c r="AI109" s="168">
        <f t="shared" si="66"/>
        <v>7.5650482677734923</v>
      </c>
      <c r="AJ109" s="192">
        <f t="shared" si="67"/>
        <v>2.4940527846473364</v>
      </c>
      <c r="AK109" s="132">
        <f t="shared" si="68"/>
        <v>71.555022223951553</v>
      </c>
      <c r="AL109" s="192">
        <f t="shared" si="69"/>
        <v>1.0097722808375056</v>
      </c>
      <c r="AM109" s="192">
        <f t="shared" si="75"/>
        <v>0</v>
      </c>
      <c r="AN109" s="192">
        <f t="shared" si="70"/>
        <v>0</v>
      </c>
      <c r="AO109" s="192">
        <f t="shared" si="76"/>
        <v>0</v>
      </c>
      <c r="AS109" s="132"/>
      <c r="AT109" s="132"/>
      <c r="AU109" s="200"/>
      <c r="AV109" s="132"/>
      <c r="AW109" s="132"/>
      <c r="AX109" s="132"/>
      <c r="AY109" s="132"/>
      <c r="AZ109" s="132"/>
      <c r="BA109" s="167"/>
      <c r="BB109" s="167"/>
      <c r="BD109" s="211">
        <f t="shared" si="71"/>
        <v>42514</v>
      </c>
      <c r="BE109" s="210">
        <v>1</v>
      </c>
      <c r="BF109" s="209">
        <v>0.5</v>
      </c>
      <c r="BG109" s="209">
        <v>2</v>
      </c>
      <c r="BH109" s="210"/>
      <c r="BI109" s="209"/>
      <c r="BJ109" s="209"/>
      <c r="BK109" s="168">
        <f t="shared" si="72"/>
        <v>8.98</v>
      </c>
      <c r="BL109" s="168">
        <f t="shared" si="73"/>
        <v>10.249502896094159</v>
      </c>
    </row>
    <row r="110" spans="1:64" ht="13.5" thickBot="1" x14ac:dyDescent="0.25">
      <c r="A110" s="215">
        <f t="shared" si="39"/>
        <v>42515</v>
      </c>
      <c r="B110" s="190"/>
      <c r="C110" s="168"/>
      <c r="D110" s="198"/>
      <c r="E110" s="132">
        <f t="shared" si="41"/>
        <v>2203.7828387721243</v>
      </c>
      <c r="F110" s="168">
        <f t="shared" si="42"/>
        <v>657.00816206771924</v>
      </c>
      <c r="G110" s="300"/>
      <c r="H110" s="127">
        <f>VLOOKUP(MONTH(A110),ETP_Parametros!$A$6:$D$17,4,FALSE)</f>
        <v>2.4193548387096775</v>
      </c>
      <c r="I110" s="230">
        <f>VLOOKUP(A110,P_Q_obs!$A$4:$F$308,6,FALSE)*1</f>
        <v>5.73</v>
      </c>
      <c r="J110" s="230">
        <f t="shared" si="43"/>
        <v>5.73</v>
      </c>
      <c r="K110" s="230">
        <f t="shared" si="44"/>
        <v>5.73</v>
      </c>
      <c r="L110" s="230">
        <f t="shared" si="45"/>
        <v>5.73</v>
      </c>
      <c r="M110" s="230">
        <f t="shared" si="46"/>
        <v>5.73</v>
      </c>
      <c r="N110" s="230">
        <f t="shared" si="47"/>
        <v>5.73</v>
      </c>
      <c r="O110" s="230">
        <f t="shared" si="48"/>
        <v>5.73</v>
      </c>
      <c r="P110" s="230">
        <f t="shared" si="49"/>
        <v>5.73</v>
      </c>
      <c r="Q110" s="230">
        <f t="shared" si="50"/>
        <v>5.73</v>
      </c>
      <c r="R110" s="230">
        <f t="shared" si="51"/>
        <v>5.73</v>
      </c>
      <c r="S110" s="230">
        <f t="shared" si="52"/>
        <v>5.73</v>
      </c>
      <c r="T110" s="230">
        <f t="shared" si="53"/>
        <v>5.73</v>
      </c>
      <c r="U110" s="230">
        <f t="shared" si="54"/>
        <v>5.73</v>
      </c>
      <c r="V110" s="230">
        <f t="shared" si="55"/>
        <v>5.73</v>
      </c>
      <c r="W110" s="230">
        <f t="shared" si="56"/>
        <v>5.73</v>
      </c>
      <c r="X110" s="230">
        <f t="shared" si="57"/>
        <v>5.73</v>
      </c>
      <c r="Y110" s="230">
        <f t="shared" si="58"/>
        <v>5.73</v>
      </c>
      <c r="Z110" s="292">
        <f t="shared" si="59"/>
        <v>5.73</v>
      </c>
      <c r="AA110" s="300"/>
      <c r="AB110" s="191">
        <f t="shared" si="60"/>
        <v>5.73</v>
      </c>
      <c r="AC110" s="139">
        <f t="shared" si="61"/>
        <v>7.1667164328814152</v>
      </c>
      <c r="AD110" s="132">
        <f t="shared" si="62"/>
        <v>71.597326221422207</v>
      </c>
      <c r="AE110" s="168">
        <f t="shared" si="63"/>
        <v>0.9038656539021257</v>
      </c>
      <c r="AF110" s="192">
        <f t="shared" si="64"/>
        <v>2.1074008882074371</v>
      </c>
      <c r="AG110" s="192">
        <f t="shared" si="74"/>
        <v>2.1230543048726132</v>
      </c>
      <c r="AH110" s="192">
        <f t="shared" si="65"/>
        <v>1.8597054996606861</v>
      </c>
      <c r="AI110" s="168">
        <f t="shared" si="66"/>
        <v>7.2742628144660069</v>
      </c>
      <c r="AJ110" s="192">
        <f t="shared" si="67"/>
        <v>2.3981863415149229</v>
      </c>
      <c r="AK110" s="132">
        <f t="shared" si="68"/>
        <v>72.396073860018035</v>
      </c>
      <c r="AL110" s="192">
        <f t="shared" si="69"/>
        <v>1.01865386359421</v>
      </c>
      <c r="AM110" s="192">
        <f t="shared" si="75"/>
        <v>0</v>
      </c>
      <c r="AN110" s="192">
        <f t="shared" si="70"/>
        <v>0</v>
      </c>
      <c r="AO110" s="192">
        <f t="shared" si="76"/>
        <v>0</v>
      </c>
      <c r="AS110" s="132"/>
      <c r="AT110" s="132"/>
      <c r="AU110" s="200"/>
      <c r="AV110" s="132"/>
      <c r="AW110" s="132"/>
      <c r="AX110" s="132"/>
      <c r="AY110" s="132"/>
      <c r="AZ110" s="132"/>
      <c r="BA110" s="167"/>
      <c r="BB110" s="167"/>
      <c r="BD110" s="211">
        <f t="shared" si="71"/>
        <v>42515</v>
      </c>
      <c r="BE110" s="210">
        <v>1</v>
      </c>
      <c r="BF110" s="209">
        <v>0.5</v>
      </c>
      <c r="BG110" s="209">
        <v>2</v>
      </c>
      <c r="BH110" s="210"/>
      <c r="BI110" s="209"/>
      <c r="BJ110" s="209"/>
      <c r="BK110" s="168">
        <f t="shared" si="72"/>
        <v>5.73</v>
      </c>
      <c r="BL110" s="168">
        <f t="shared" si="73"/>
        <v>7.1667164328814152</v>
      </c>
    </row>
    <row r="111" spans="1:64" ht="13.5" thickBot="1" x14ac:dyDescent="0.25">
      <c r="A111" s="215">
        <f t="shared" si="39"/>
        <v>42516</v>
      </c>
      <c r="B111" s="190"/>
      <c r="C111" s="168"/>
      <c r="D111" s="198"/>
      <c r="E111" s="132">
        <f t="shared" si="41"/>
        <v>1965.4269321361023</v>
      </c>
      <c r="F111" s="168">
        <f t="shared" si="42"/>
        <v>664.7305800398168</v>
      </c>
      <c r="G111" s="300"/>
      <c r="H111" s="127">
        <f>VLOOKUP(MONTH(A111),ETP_Parametros!$A$6:$D$17,4,FALSE)</f>
        <v>2.4193548387096775</v>
      </c>
      <c r="I111" s="230">
        <f>VLOOKUP(A111,P_Q_obs!$A$4:$F$308,6,FALSE)*1</f>
        <v>5.48</v>
      </c>
      <c r="J111" s="230">
        <f t="shared" si="43"/>
        <v>5.48</v>
      </c>
      <c r="K111" s="230">
        <f t="shared" si="44"/>
        <v>5.48</v>
      </c>
      <c r="L111" s="230">
        <f t="shared" si="45"/>
        <v>5.48</v>
      </c>
      <c r="M111" s="230">
        <f t="shared" si="46"/>
        <v>5.48</v>
      </c>
      <c r="N111" s="230">
        <f t="shared" si="47"/>
        <v>5.48</v>
      </c>
      <c r="O111" s="230">
        <f t="shared" si="48"/>
        <v>5.48</v>
      </c>
      <c r="P111" s="230">
        <f t="shared" si="49"/>
        <v>5.48</v>
      </c>
      <c r="Q111" s="230">
        <f t="shared" si="50"/>
        <v>5.48</v>
      </c>
      <c r="R111" s="230">
        <f t="shared" si="51"/>
        <v>5.48</v>
      </c>
      <c r="S111" s="230">
        <f t="shared" si="52"/>
        <v>5.48</v>
      </c>
      <c r="T111" s="230">
        <f t="shared" si="53"/>
        <v>5.48</v>
      </c>
      <c r="U111" s="230">
        <f t="shared" si="54"/>
        <v>5.48</v>
      </c>
      <c r="V111" s="230">
        <f t="shared" si="55"/>
        <v>5.48</v>
      </c>
      <c r="W111" s="230">
        <f t="shared" si="56"/>
        <v>5.48</v>
      </c>
      <c r="X111" s="230">
        <f t="shared" si="57"/>
        <v>5.48</v>
      </c>
      <c r="Y111" s="230">
        <f t="shared" si="58"/>
        <v>5.48</v>
      </c>
      <c r="Z111" s="292">
        <f t="shared" si="59"/>
        <v>5.48</v>
      </c>
      <c r="AA111" s="300"/>
      <c r="AB111" s="191">
        <f t="shared" si="60"/>
        <v>5.4799999999999986</v>
      </c>
      <c r="AC111" s="139">
        <f t="shared" si="61"/>
        <v>4.8182679842593119</v>
      </c>
      <c r="AD111" s="132">
        <f t="shared" si="62"/>
        <v>71.484135879757488</v>
      </c>
      <c r="AE111" s="168">
        <f t="shared" si="63"/>
        <v>0.91766388315265013</v>
      </c>
      <c r="AF111" s="192">
        <f t="shared" si="64"/>
        <v>0.85938426580970673</v>
      </c>
      <c r="AG111" s="192">
        <f t="shared" si="74"/>
        <v>2.1230543048726132</v>
      </c>
      <c r="AH111" s="192">
        <f t="shared" si="65"/>
        <v>1.9490197552417079</v>
      </c>
      <c r="AI111" s="168">
        <f t="shared" si="66"/>
        <v>6.1169912136942415</v>
      </c>
      <c r="AJ111" s="192">
        <f t="shared" si="67"/>
        <v>2.0166558665814716</v>
      </c>
      <c r="AK111" s="132">
        <f t="shared" si="68"/>
        <v>73.314466580923167</v>
      </c>
      <c r="AL111" s="192">
        <f t="shared" si="69"/>
        <v>1.0306270343365784</v>
      </c>
      <c r="AM111" s="192">
        <f t="shared" si="75"/>
        <v>0</v>
      </c>
      <c r="AN111" s="192">
        <f t="shared" si="70"/>
        <v>0</v>
      </c>
      <c r="AO111" s="192">
        <f t="shared" si="76"/>
        <v>0</v>
      </c>
      <c r="AS111" s="132"/>
      <c r="AT111" s="132"/>
      <c r="AU111" s="200"/>
      <c r="AV111" s="132"/>
      <c r="AW111" s="132"/>
      <c r="AX111" s="132"/>
      <c r="AY111" s="132"/>
      <c r="AZ111" s="132"/>
      <c r="BA111" s="167"/>
      <c r="BB111" s="167"/>
      <c r="BD111" s="211">
        <f t="shared" si="71"/>
        <v>42516</v>
      </c>
      <c r="BE111" s="210">
        <v>1</v>
      </c>
      <c r="BF111" s="209">
        <v>0.5</v>
      </c>
      <c r="BG111" s="209">
        <v>2</v>
      </c>
      <c r="BH111" s="210"/>
      <c r="BI111" s="209"/>
      <c r="BJ111" s="209"/>
      <c r="BK111" s="168">
        <f t="shared" si="72"/>
        <v>5.48</v>
      </c>
      <c r="BL111" s="168">
        <f t="shared" si="73"/>
        <v>4.8182679842593119</v>
      </c>
    </row>
    <row r="112" spans="1:64" ht="13.5" thickBot="1" x14ac:dyDescent="0.25">
      <c r="A112" s="215">
        <f t="shared" si="39"/>
        <v>42517</v>
      </c>
      <c r="B112" s="190"/>
      <c r="C112" s="168"/>
      <c r="D112" s="198"/>
      <c r="E112" s="132">
        <f t="shared" si="41"/>
        <v>1811.0652278548298</v>
      </c>
      <c r="F112" s="168">
        <f t="shared" si="42"/>
        <v>673.16313298808871</v>
      </c>
      <c r="G112" s="300"/>
      <c r="H112" s="127">
        <f>VLOOKUP(MONTH(A112),ETP_Parametros!$A$6:$D$17,4,FALSE)</f>
        <v>2.4193548387096775</v>
      </c>
      <c r="I112" s="230">
        <f>VLOOKUP(A112,P_Q_obs!$A$4:$F$308,6,FALSE)*1</f>
        <v>0.96</v>
      </c>
      <c r="J112" s="230">
        <f t="shared" si="43"/>
        <v>0.96</v>
      </c>
      <c r="K112" s="230">
        <f t="shared" si="44"/>
        <v>0.96</v>
      </c>
      <c r="L112" s="230">
        <f t="shared" si="45"/>
        <v>0.96</v>
      </c>
      <c r="M112" s="230">
        <f t="shared" si="46"/>
        <v>0.96</v>
      </c>
      <c r="N112" s="230">
        <f t="shared" si="47"/>
        <v>0.96</v>
      </c>
      <c r="O112" s="230">
        <f t="shared" si="48"/>
        <v>0.96</v>
      </c>
      <c r="P112" s="230">
        <f t="shared" si="49"/>
        <v>0.96</v>
      </c>
      <c r="Q112" s="230">
        <f t="shared" si="50"/>
        <v>0.96</v>
      </c>
      <c r="R112" s="230">
        <f t="shared" si="51"/>
        <v>0.96</v>
      </c>
      <c r="S112" s="230">
        <f t="shared" si="52"/>
        <v>0.96</v>
      </c>
      <c r="T112" s="230">
        <f t="shared" si="53"/>
        <v>0.96</v>
      </c>
      <c r="U112" s="230">
        <f t="shared" si="54"/>
        <v>0.96</v>
      </c>
      <c r="V112" s="230">
        <f t="shared" si="55"/>
        <v>0.96</v>
      </c>
      <c r="W112" s="230">
        <f t="shared" si="56"/>
        <v>0.96</v>
      </c>
      <c r="X112" s="230">
        <f t="shared" si="57"/>
        <v>0.96</v>
      </c>
      <c r="Y112" s="230">
        <f t="shared" si="58"/>
        <v>0.96</v>
      </c>
      <c r="Z112" s="292">
        <f t="shared" si="59"/>
        <v>0.96</v>
      </c>
      <c r="AA112" s="300"/>
      <c r="AB112" s="191">
        <f t="shared" si="60"/>
        <v>0.96000000000000008</v>
      </c>
      <c r="AC112" s="139">
        <f t="shared" si="61"/>
        <v>5.1027269805195292</v>
      </c>
      <c r="AD112" s="132">
        <f t="shared" si="62"/>
        <v>71.525611381978592</v>
      </c>
      <c r="AE112" s="168">
        <f t="shared" si="63"/>
        <v>0.91621312103695052</v>
      </c>
      <c r="AF112" s="192">
        <f t="shared" si="64"/>
        <v>0.99865421472266858</v>
      </c>
      <c r="AG112" s="192">
        <f t="shared" si="74"/>
        <v>2.1230543048726132</v>
      </c>
      <c r="AH112" s="192">
        <f t="shared" si="65"/>
        <v>1.9395429587031578</v>
      </c>
      <c r="AI112" s="168">
        <f t="shared" si="66"/>
        <v>5.3513928174904759</v>
      </c>
      <c r="AJ112" s="192">
        <f t="shared" si="67"/>
        <v>1.7642526109264336</v>
      </c>
      <c r="AK112" s="132">
        <f t="shared" si="68"/>
        <v>74.210308310573978</v>
      </c>
      <c r="AL112" s="192">
        <f t="shared" si="69"/>
        <v>1.0437012290523431</v>
      </c>
      <c r="AM112" s="192">
        <f t="shared" si="75"/>
        <v>0</v>
      </c>
      <c r="AN112" s="192">
        <f t="shared" si="70"/>
        <v>0</v>
      </c>
      <c r="AO112" s="192">
        <f t="shared" si="76"/>
        <v>0</v>
      </c>
      <c r="AS112" s="132"/>
      <c r="AT112" s="132"/>
      <c r="AU112" s="200"/>
      <c r="AV112" s="132"/>
      <c r="AW112" s="132"/>
      <c r="AX112" s="132"/>
      <c r="AY112" s="132"/>
      <c r="AZ112" s="132"/>
      <c r="BA112" s="167"/>
      <c r="BB112" s="167"/>
      <c r="BD112" s="211">
        <f t="shared" si="71"/>
        <v>42517</v>
      </c>
      <c r="BE112" s="210">
        <v>1</v>
      </c>
      <c r="BF112" s="209">
        <v>0.5</v>
      </c>
      <c r="BG112" s="209">
        <v>2</v>
      </c>
      <c r="BH112" s="210"/>
      <c r="BI112" s="209"/>
      <c r="BJ112" s="209"/>
      <c r="BK112" s="168">
        <f t="shared" si="72"/>
        <v>0.96</v>
      </c>
      <c r="BL112" s="168">
        <f t="shared" si="73"/>
        <v>5.1027269805195292</v>
      </c>
    </row>
    <row r="113" spans="1:64" ht="13.5" thickBot="1" x14ac:dyDescent="0.25">
      <c r="A113" s="215">
        <f t="shared" si="39"/>
        <v>42518</v>
      </c>
      <c r="B113" s="190"/>
      <c r="C113" s="168"/>
      <c r="D113" s="198"/>
      <c r="E113" s="132">
        <f t="shared" si="41"/>
        <v>1787.8770729763921</v>
      </c>
      <c r="F113" s="168">
        <f t="shared" si="42"/>
        <v>681.38862590260896</v>
      </c>
      <c r="G113" s="300"/>
      <c r="H113" s="127">
        <f>VLOOKUP(MONTH(A113),ETP_Parametros!$A$6:$D$17,4,FALSE)</f>
        <v>2.4193548387096775</v>
      </c>
      <c r="I113" s="230">
        <f>VLOOKUP(A113,P_Q_obs!$A$4:$F$308,6,FALSE)*1</f>
        <v>10.92</v>
      </c>
      <c r="J113" s="230">
        <f t="shared" si="43"/>
        <v>10.92</v>
      </c>
      <c r="K113" s="230">
        <f t="shared" si="44"/>
        <v>10.92</v>
      </c>
      <c r="L113" s="230">
        <f t="shared" si="45"/>
        <v>10.92</v>
      </c>
      <c r="M113" s="230">
        <f t="shared" si="46"/>
        <v>10.92</v>
      </c>
      <c r="N113" s="230">
        <f t="shared" si="47"/>
        <v>10.92</v>
      </c>
      <c r="O113" s="230">
        <f t="shared" si="48"/>
        <v>10.92</v>
      </c>
      <c r="P113" s="230">
        <f t="shared" si="49"/>
        <v>10.92</v>
      </c>
      <c r="Q113" s="230">
        <f t="shared" si="50"/>
        <v>10.92</v>
      </c>
      <c r="R113" s="230">
        <f t="shared" si="51"/>
        <v>10.92</v>
      </c>
      <c r="S113" s="230">
        <f t="shared" si="52"/>
        <v>10.92</v>
      </c>
      <c r="T113" s="230">
        <f t="shared" si="53"/>
        <v>10.92</v>
      </c>
      <c r="U113" s="230">
        <f t="shared" si="54"/>
        <v>10.92</v>
      </c>
      <c r="V113" s="230">
        <f t="shared" si="55"/>
        <v>10.92</v>
      </c>
      <c r="W113" s="230">
        <f t="shared" si="56"/>
        <v>10.92</v>
      </c>
      <c r="X113" s="230">
        <f t="shared" si="57"/>
        <v>10.92</v>
      </c>
      <c r="Y113" s="230">
        <f t="shared" si="58"/>
        <v>10.92</v>
      </c>
      <c r="Z113" s="292">
        <f t="shared" si="59"/>
        <v>10.92</v>
      </c>
      <c r="AA113" s="300"/>
      <c r="AB113" s="191">
        <f t="shared" si="60"/>
        <v>10.920000000000002</v>
      </c>
      <c r="AC113" s="139">
        <f t="shared" si="61"/>
        <v>6.0700190476313516</v>
      </c>
      <c r="AD113" s="132">
        <f t="shared" si="62"/>
        <v>71.961749419561755</v>
      </c>
      <c r="AE113" s="168">
        <f t="shared" si="63"/>
        <v>0.9167447131009645</v>
      </c>
      <c r="AF113" s="192">
        <f t="shared" si="64"/>
        <v>1.5678135848307513</v>
      </c>
      <c r="AG113" s="192">
        <f t="shared" si="74"/>
        <v>2.1230543048726132</v>
      </c>
      <c r="AH113" s="192">
        <f t="shared" si="65"/>
        <v>1.9430131203448258</v>
      </c>
      <c r="AI113" s="168">
        <f t="shared" si="66"/>
        <v>5.2036588692635002</v>
      </c>
      <c r="AJ113" s="192">
        <f t="shared" si="67"/>
        <v>1.7155475330577266</v>
      </c>
      <c r="AK113" s="132">
        <f t="shared" si="68"/>
        <v>75.096867041980332</v>
      </c>
      <c r="AL113" s="192">
        <f t="shared" si="69"/>
        <v>1.0564543889384743</v>
      </c>
      <c r="AM113" s="192">
        <f t="shared" si="75"/>
        <v>0</v>
      </c>
      <c r="AN113" s="192">
        <f t="shared" si="70"/>
        <v>0</v>
      </c>
      <c r="AO113" s="192">
        <f t="shared" si="76"/>
        <v>0</v>
      </c>
      <c r="AS113" s="132"/>
      <c r="AT113" s="132"/>
      <c r="AU113" s="200"/>
      <c r="AV113" s="132"/>
      <c r="AW113" s="132"/>
      <c r="AX113" s="132"/>
      <c r="AY113" s="132"/>
      <c r="AZ113" s="132"/>
      <c r="BA113" s="167"/>
      <c r="BB113" s="167"/>
      <c r="BD113" s="211">
        <f t="shared" si="71"/>
        <v>42518</v>
      </c>
      <c r="BE113" s="210">
        <v>1</v>
      </c>
      <c r="BF113" s="209">
        <v>0.5</v>
      </c>
      <c r="BG113" s="209">
        <v>2</v>
      </c>
      <c r="BH113" s="210"/>
      <c r="BI113" s="209"/>
      <c r="BJ113" s="209"/>
      <c r="BK113" s="168">
        <f t="shared" si="72"/>
        <v>10.92</v>
      </c>
      <c r="BL113" s="168">
        <f t="shared" si="73"/>
        <v>6.0700190476313516</v>
      </c>
    </row>
    <row r="114" spans="1:64" ht="13.5" thickBot="1" x14ac:dyDescent="0.25">
      <c r="A114" s="215">
        <f t="shared" si="39"/>
        <v>42519</v>
      </c>
      <c r="B114" s="190"/>
      <c r="C114" s="168"/>
      <c r="D114" s="198"/>
      <c r="E114" s="132">
        <f t="shared" si="41"/>
        <v>1935.1473697059553</v>
      </c>
      <c r="F114" s="168">
        <f t="shared" si="42"/>
        <v>689.5288836313166</v>
      </c>
      <c r="G114" s="300"/>
      <c r="H114" s="127">
        <f>VLOOKUP(MONTH(A114),ETP_Parametros!$A$6:$D$17,4,FALSE)</f>
        <v>2.4193548387096775</v>
      </c>
      <c r="I114" s="230">
        <f>VLOOKUP(A114,P_Q_obs!$A$4:$F$308,6,FALSE)*1</f>
        <v>7.64</v>
      </c>
      <c r="J114" s="230">
        <f t="shared" si="43"/>
        <v>7.64</v>
      </c>
      <c r="K114" s="230">
        <f t="shared" si="44"/>
        <v>7.64</v>
      </c>
      <c r="L114" s="230">
        <f t="shared" si="45"/>
        <v>7.64</v>
      </c>
      <c r="M114" s="230">
        <f t="shared" si="46"/>
        <v>7.64</v>
      </c>
      <c r="N114" s="230">
        <f t="shared" si="47"/>
        <v>7.64</v>
      </c>
      <c r="O114" s="230">
        <f t="shared" si="48"/>
        <v>7.64</v>
      </c>
      <c r="P114" s="230">
        <f t="shared" si="49"/>
        <v>7.64</v>
      </c>
      <c r="Q114" s="230">
        <f t="shared" si="50"/>
        <v>7.64</v>
      </c>
      <c r="R114" s="230">
        <f t="shared" si="51"/>
        <v>7.64</v>
      </c>
      <c r="S114" s="230">
        <f t="shared" si="52"/>
        <v>7.64</v>
      </c>
      <c r="T114" s="230">
        <f t="shared" si="53"/>
        <v>7.64</v>
      </c>
      <c r="U114" s="230">
        <f t="shared" si="54"/>
        <v>7.64</v>
      </c>
      <c r="V114" s="230">
        <f t="shared" si="55"/>
        <v>7.64</v>
      </c>
      <c r="W114" s="230">
        <f t="shared" si="56"/>
        <v>7.64</v>
      </c>
      <c r="X114" s="230">
        <f t="shared" si="57"/>
        <v>7.64</v>
      </c>
      <c r="Y114" s="230">
        <f t="shared" si="58"/>
        <v>7.64</v>
      </c>
      <c r="Z114" s="292">
        <f t="shared" si="59"/>
        <v>7.64</v>
      </c>
      <c r="AA114" s="300"/>
      <c r="AB114" s="191">
        <f t="shared" si="60"/>
        <v>7.6399999999999961</v>
      </c>
      <c r="AC114" s="139">
        <f t="shared" si="61"/>
        <v>7.4567582712715179</v>
      </c>
      <c r="AD114" s="132">
        <f t="shared" si="62"/>
        <v>72.73021524977429</v>
      </c>
      <c r="AE114" s="168">
        <f t="shared" si="63"/>
        <v>0.92233470013373986</v>
      </c>
      <c r="AF114" s="192">
        <f t="shared" si="64"/>
        <v>2.5855696820966929</v>
      </c>
      <c r="AG114" s="192">
        <f t="shared" si="74"/>
        <v>2.1230543048726132</v>
      </c>
      <c r="AH114" s="192">
        <f t="shared" si="65"/>
        <v>1.9796684540896896</v>
      </c>
      <c r="AI114" s="168">
        <f t="shared" si="66"/>
        <v>5.8579677898332791</v>
      </c>
      <c r="AJ114" s="192">
        <f t="shared" si="67"/>
        <v>1.9312607615269135</v>
      </c>
      <c r="AK114" s="132">
        <f t="shared" si="68"/>
        <v>76.007460099563076</v>
      </c>
      <c r="AL114" s="192">
        <f t="shared" si="69"/>
        <v>1.0690753965069404</v>
      </c>
      <c r="AM114" s="192">
        <f t="shared" si="75"/>
        <v>0</v>
      </c>
      <c r="AN114" s="192">
        <f t="shared" si="70"/>
        <v>0</v>
      </c>
      <c r="AO114" s="192">
        <f t="shared" si="76"/>
        <v>0</v>
      </c>
      <c r="AS114" s="132"/>
      <c r="AT114" s="132"/>
      <c r="AU114" s="200"/>
      <c r="AV114" s="132"/>
      <c r="AW114" s="132"/>
      <c r="AX114" s="132"/>
      <c r="AY114" s="132"/>
      <c r="AZ114" s="132"/>
      <c r="BA114" s="167"/>
      <c r="BB114" s="167"/>
      <c r="BD114" s="211">
        <f t="shared" si="71"/>
        <v>42519</v>
      </c>
      <c r="BE114" s="210">
        <v>1</v>
      </c>
      <c r="BF114" s="209">
        <v>0.5</v>
      </c>
      <c r="BG114" s="209">
        <v>2</v>
      </c>
      <c r="BH114" s="210"/>
      <c r="BI114" s="209"/>
      <c r="BJ114" s="209"/>
      <c r="BK114" s="168">
        <f t="shared" si="72"/>
        <v>7.64</v>
      </c>
      <c r="BL114" s="168">
        <f t="shared" si="73"/>
        <v>7.4567582712715179</v>
      </c>
    </row>
    <row r="115" spans="1:64" ht="13.5" thickBot="1" x14ac:dyDescent="0.25">
      <c r="A115" s="215">
        <f t="shared" si="39"/>
        <v>42520</v>
      </c>
      <c r="B115" s="190"/>
      <c r="C115" s="168"/>
      <c r="D115" s="198"/>
      <c r="E115" s="132">
        <f t="shared" si="41"/>
        <v>1986.8383470073657</v>
      </c>
      <c r="F115" s="168">
        <f t="shared" si="42"/>
        <v>697.88982116665306</v>
      </c>
      <c r="G115" s="300"/>
      <c r="H115" s="127">
        <f>VLOOKUP(MONTH(A115),ETP_Parametros!$A$6:$D$17,4,FALSE)</f>
        <v>2.4193548387096775</v>
      </c>
      <c r="I115" s="230">
        <f>VLOOKUP(A115,P_Q_obs!$A$4:$F$308,6,FALSE)*1</f>
        <v>0.81</v>
      </c>
      <c r="J115" s="230">
        <f t="shared" si="43"/>
        <v>0.81</v>
      </c>
      <c r="K115" s="230">
        <f t="shared" si="44"/>
        <v>0.81</v>
      </c>
      <c r="L115" s="230">
        <f t="shared" si="45"/>
        <v>0.81</v>
      </c>
      <c r="M115" s="230">
        <f t="shared" si="46"/>
        <v>0.81</v>
      </c>
      <c r="N115" s="230">
        <f t="shared" si="47"/>
        <v>0.81</v>
      </c>
      <c r="O115" s="230">
        <f t="shared" si="48"/>
        <v>0.81</v>
      </c>
      <c r="P115" s="230">
        <f t="shared" si="49"/>
        <v>0.81</v>
      </c>
      <c r="Q115" s="230">
        <f t="shared" si="50"/>
        <v>0.81</v>
      </c>
      <c r="R115" s="230">
        <f t="shared" si="51"/>
        <v>0.81</v>
      </c>
      <c r="S115" s="230">
        <f t="shared" si="52"/>
        <v>0.81</v>
      </c>
      <c r="T115" s="230">
        <f t="shared" si="53"/>
        <v>0.81</v>
      </c>
      <c r="U115" s="230">
        <f t="shared" si="54"/>
        <v>0.81</v>
      </c>
      <c r="V115" s="230">
        <f t="shared" si="55"/>
        <v>0.81</v>
      </c>
      <c r="W115" s="230">
        <f t="shared" si="56"/>
        <v>0.81</v>
      </c>
      <c r="X115" s="230">
        <f t="shared" si="57"/>
        <v>0.81</v>
      </c>
      <c r="Y115" s="230">
        <f t="shared" si="58"/>
        <v>0.81</v>
      </c>
      <c r="Z115" s="292">
        <f t="shared" si="59"/>
        <v>0.81</v>
      </c>
      <c r="AA115" s="300"/>
      <c r="AB115" s="191">
        <f t="shared" si="60"/>
        <v>0.81000000000000016</v>
      </c>
      <c r="AC115" s="139">
        <f t="shared" si="61"/>
        <v>6.6878264430508967</v>
      </c>
      <c r="AD115" s="132">
        <f t="shared" si="62"/>
        <v>73.047784750944075</v>
      </c>
      <c r="AE115" s="168">
        <f t="shared" si="63"/>
        <v>0.93218413690798585</v>
      </c>
      <c r="AF115" s="192">
        <f t="shared" si="64"/>
        <v>2.2022165852005622</v>
      </c>
      <c r="AG115" s="192">
        <f t="shared" si="74"/>
        <v>2.1230543048726132</v>
      </c>
      <c r="AH115" s="192">
        <f t="shared" si="65"/>
        <v>2.0449860518079426</v>
      </c>
      <c r="AI115" s="168">
        <f t="shared" si="66"/>
        <v>6.0617428462566538</v>
      </c>
      <c r="AJ115" s="192">
        <f t="shared" si="67"/>
        <v>1.9984415287771882</v>
      </c>
      <c r="AK115" s="132">
        <f t="shared" si="68"/>
        <v>76.970407595781182</v>
      </c>
      <c r="AL115" s="192">
        <f t="shared" si="69"/>
        <v>1.0820385555898293</v>
      </c>
      <c r="AM115" s="192">
        <f t="shared" si="75"/>
        <v>0</v>
      </c>
      <c r="AN115" s="192">
        <f t="shared" si="70"/>
        <v>0</v>
      </c>
      <c r="AO115" s="192">
        <f t="shared" si="76"/>
        <v>0</v>
      </c>
      <c r="AS115" s="132"/>
      <c r="AT115" s="132"/>
      <c r="AU115" s="200"/>
      <c r="AV115" s="132"/>
      <c r="AW115" s="132"/>
      <c r="AX115" s="132"/>
      <c r="AY115" s="132"/>
      <c r="AZ115" s="132"/>
      <c r="BA115" s="167"/>
      <c r="BB115" s="167"/>
      <c r="BD115" s="211">
        <f t="shared" si="71"/>
        <v>42520</v>
      </c>
      <c r="BE115" s="210">
        <v>1</v>
      </c>
      <c r="BF115" s="209">
        <v>0.5</v>
      </c>
      <c r="BG115" s="209">
        <v>2</v>
      </c>
      <c r="BH115" s="210"/>
      <c r="BI115" s="209"/>
      <c r="BJ115" s="209"/>
      <c r="BK115" s="168">
        <f t="shared" si="72"/>
        <v>0.81</v>
      </c>
      <c r="BL115" s="168">
        <f t="shared" si="73"/>
        <v>6.6878264430508967</v>
      </c>
    </row>
    <row r="116" spans="1:64" ht="13.5" thickBot="1" x14ac:dyDescent="0.25">
      <c r="A116" s="215">
        <f t="shared" si="39"/>
        <v>42521</v>
      </c>
      <c r="B116" s="190"/>
      <c r="C116" s="168"/>
      <c r="D116" s="198"/>
      <c r="E116" s="132">
        <f t="shared" si="41"/>
        <v>2325.1185709310826</v>
      </c>
      <c r="F116" s="168">
        <f t="shared" si="42"/>
        <v>706.73146980282934</v>
      </c>
      <c r="G116" s="300"/>
      <c r="H116" s="127">
        <f>VLOOKUP(MONTH(A116),ETP_Parametros!$A$6:$D$17,4,FALSE)</f>
        <v>2.4193548387096775</v>
      </c>
      <c r="I116" s="230">
        <f>VLOOKUP(A116,P_Q_obs!$A$4:$F$308,6,FALSE)*1</f>
        <v>15.36</v>
      </c>
      <c r="J116" s="230">
        <f t="shared" si="43"/>
        <v>15.36</v>
      </c>
      <c r="K116" s="230">
        <f t="shared" si="44"/>
        <v>15.36</v>
      </c>
      <c r="L116" s="230">
        <f t="shared" si="45"/>
        <v>15.36</v>
      </c>
      <c r="M116" s="230">
        <f t="shared" si="46"/>
        <v>15.36</v>
      </c>
      <c r="N116" s="230">
        <f t="shared" si="47"/>
        <v>15.36</v>
      </c>
      <c r="O116" s="230">
        <f t="shared" si="48"/>
        <v>15.36</v>
      </c>
      <c r="P116" s="230">
        <f t="shared" si="49"/>
        <v>15.36</v>
      </c>
      <c r="Q116" s="230">
        <f t="shared" si="50"/>
        <v>15.36</v>
      </c>
      <c r="R116" s="230">
        <f t="shared" si="51"/>
        <v>15.36</v>
      </c>
      <c r="S116" s="230">
        <f t="shared" si="52"/>
        <v>15.36</v>
      </c>
      <c r="T116" s="230">
        <f t="shared" si="53"/>
        <v>15.36</v>
      </c>
      <c r="U116" s="230">
        <f t="shared" si="54"/>
        <v>15.36</v>
      </c>
      <c r="V116" s="230">
        <f t="shared" si="55"/>
        <v>15.36</v>
      </c>
      <c r="W116" s="230">
        <f t="shared" si="56"/>
        <v>15.36</v>
      </c>
      <c r="X116" s="230">
        <f t="shared" si="57"/>
        <v>15.36</v>
      </c>
      <c r="Y116" s="230">
        <f t="shared" si="58"/>
        <v>15.36</v>
      </c>
      <c r="Z116" s="292">
        <f t="shared" si="59"/>
        <v>15.36</v>
      </c>
      <c r="AA116" s="300"/>
      <c r="AB116" s="191">
        <f t="shared" si="60"/>
        <v>15.360000000000001</v>
      </c>
      <c r="AC116" s="139">
        <f t="shared" si="61"/>
        <v>8.9590672462303473</v>
      </c>
      <c r="AD116" s="132">
        <f t="shared" si="62"/>
        <v>73.753026023823281</v>
      </c>
      <c r="AE116" s="168">
        <f t="shared" si="63"/>
        <v>0.93625442943138348</v>
      </c>
      <c r="AF116" s="192">
        <f t="shared" si="64"/>
        <v>4.0585204255152192</v>
      </c>
      <c r="AG116" s="192">
        <f t="shared" si="74"/>
        <v>2.1230543048726132</v>
      </c>
      <c r="AH116" s="192">
        <f t="shared" si="65"/>
        <v>2.0722512429633091</v>
      </c>
      <c r="AI116" s="168">
        <f t="shared" si="66"/>
        <v>7.6110459308990102</v>
      </c>
      <c r="AJ116" s="192">
        <f t="shared" si="67"/>
        <v>2.509217340872862</v>
      </c>
      <c r="AK116" s="132">
        <f t="shared" si="68"/>
        <v>77.946911808795008</v>
      </c>
      <c r="AL116" s="192">
        <f t="shared" si="69"/>
        <v>1.0957470299494754</v>
      </c>
      <c r="AM116" s="192">
        <f t="shared" si="75"/>
        <v>0</v>
      </c>
      <c r="AN116" s="192">
        <f t="shared" si="70"/>
        <v>0</v>
      </c>
      <c r="AO116" s="192">
        <f t="shared" si="76"/>
        <v>0</v>
      </c>
      <c r="AS116" s="132"/>
      <c r="AT116" s="132"/>
      <c r="AU116" s="200"/>
      <c r="AV116" s="132"/>
      <c r="AW116" s="132"/>
      <c r="AX116" s="132"/>
      <c r="AY116" s="132"/>
      <c r="AZ116" s="132"/>
      <c r="BA116" s="167"/>
      <c r="BB116" s="167"/>
      <c r="BD116" s="211">
        <f t="shared" si="71"/>
        <v>42521</v>
      </c>
      <c r="BE116" s="210">
        <v>1</v>
      </c>
      <c r="BF116" s="209">
        <v>0.5</v>
      </c>
      <c r="BG116" s="209">
        <v>2</v>
      </c>
      <c r="BH116" s="210"/>
      <c r="BI116" s="209"/>
      <c r="BJ116" s="209"/>
      <c r="BK116" s="168">
        <f t="shared" si="72"/>
        <v>15.36</v>
      </c>
      <c r="BL116" s="168">
        <f t="shared" si="73"/>
        <v>8.9590672462303473</v>
      </c>
    </row>
    <row r="117" spans="1:64" ht="13.5" thickBot="1" x14ac:dyDescent="0.25">
      <c r="A117" s="215">
        <f t="shared" si="39"/>
        <v>42522</v>
      </c>
      <c r="B117" s="190"/>
      <c r="C117" s="168"/>
      <c r="D117" s="198"/>
      <c r="E117" s="132">
        <f t="shared" si="41"/>
        <v>3202.3395275728517</v>
      </c>
      <c r="F117" s="168">
        <f t="shared" si="42"/>
        <v>715.69759430818726</v>
      </c>
      <c r="G117" s="300"/>
      <c r="H117" s="127">
        <f>VLOOKUP(MONTH(A117),ETP_Parametros!$A$6:$D$17,4,FALSE)</f>
        <v>1.8333333333333333</v>
      </c>
      <c r="I117" s="230">
        <f>VLOOKUP(A117,P_Q_obs!$A$4:$F$308,6,FALSE)*1</f>
        <v>13.43</v>
      </c>
      <c r="J117" s="230">
        <f t="shared" si="43"/>
        <v>13.43</v>
      </c>
      <c r="K117" s="230">
        <f t="shared" si="44"/>
        <v>13.43</v>
      </c>
      <c r="L117" s="230">
        <f t="shared" si="45"/>
        <v>13.43</v>
      </c>
      <c r="M117" s="230">
        <f t="shared" si="46"/>
        <v>13.43</v>
      </c>
      <c r="N117" s="230">
        <f t="shared" si="47"/>
        <v>13.43</v>
      </c>
      <c r="O117" s="230">
        <f t="shared" si="48"/>
        <v>13.43</v>
      </c>
      <c r="P117" s="230">
        <f t="shared" si="49"/>
        <v>13.43</v>
      </c>
      <c r="Q117" s="230">
        <f t="shared" si="50"/>
        <v>13.43</v>
      </c>
      <c r="R117" s="230">
        <f t="shared" si="51"/>
        <v>13.43</v>
      </c>
      <c r="S117" s="230">
        <f t="shared" si="52"/>
        <v>13.43</v>
      </c>
      <c r="T117" s="230">
        <f t="shared" si="53"/>
        <v>13.43</v>
      </c>
      <c r="U117" s="230">
        <f t="shared" si="54"/>
        <v>13.43</v>
      </c>
      <c r="V117" s="230">
        <f t="shared" si="55"/>
        <v>13.43</v>
      </c>
      <c r="W117" s="230">
        <f t="shared" si="56"/>
        <v>13.43</v>
      </c>
      <c r="X117" s="230">
        <f t="shared" si="57"/>
        <v>13.43</v>
      </c>
      <c r="Y117" s="230">
        <f t="shared" si="58"/>
        <v>13.43</v>
      </c>
      <c r="Z117" s="292">
        <f t="shared" si="59"/>
        <v>13.43</v>
      </c>
      <c r="AA117" s="300"/>
      <c r="AB117" s="191">
        <f t="shared" si="60"/>
        <v>13.429999999999996</v>
      </c>
      <c r="AC117" s="139">
        <f t="shared" si="61"/>
        <v>13.014909557875951</v>
      </c>
      <c r="AD117" s="132">
        <f t="shared" si="62"/>
        <v>75.087084736834285</v>
      </c>
      <c r="AE117" s="168">
        <f t="shared" si="63"/>
        <v>0.94529351621275848</v>
      </c>
      <c r="AF117" s="192">
        <f t="shared" si="64"/>
        <v>7.9386770060436787</v>
      </c>
      <c r="AG117" s="192">
        <f t="shared" si="74"/>
        <v>1.6088033732479132</v>
      </c>
      <c r="AH117" s="192">
        <f t="shared" si="65"/>
        <v>2.133370465573361</v>
      </c>
      <c r="AI117" s="168">
        <f t="shared" si="66"/>
        <v>11.694325760865686</v>
      </c>
      <c r="AJ117" s="192">
        <f t="shared" si="67"/>
        <v>3.8553971760770032</v>
      </c>
      <c r="AK117" s="132">
        <f t="shared" si="68"/>
        <v>78.970633777289322</v>
      </c>
      <c r="AL117" s="192">
        <f t="shared" si="69"/>
        <v>1.1096484970790543</v>
      </c>
      <c r="AM117" s="192">
        <f t="shared" si="75"/>
        <v>0</v>
      </c>
      <c r="AN117" s="192">
        <f t="shared" si="70"/>
        <v>0</v>
      </c>
      <c r="AO117" s="192">
        <f t="shared" si="76"/>
        <v>0</v>
      </c>
      <c r="AS117" s="132"/>
      <c r="AT117" s="132"/>
      <c r="AU117" s="200"/>
      <c r="AV117" s="132"/>
      <c r="AW117" s="132"/>
      <c r="AX117" s="132"/>
      <c r="AY117" s="132"/>
      <c r="AZ117" s="132"/>
      <c r="BA117" s="167"/>
      <c r="BB117" s="167"/>
      <c r="BD117" s="211">
        <f t="shared" si="71"/>
        <v>42522</v>
      </c>
      <c r="BE117" s="210">
        <v>1</v>
      </c>
      <c r="BF117" s="209">
        <v>0.5</v>
      </c>
      <c r="BG117" s="209">
        <v>2</v>
      </c>
      <c r="BH117" s="210"/>
      <c r="BI117" s="209"/>
      <c r="BJ117" s="209"/>
      <c r="BK117" s="168">
        <f t="shared" si="72"/>
        <v>13.43</v>
      </c>
      <c r="BL117" s="168">
        <f t="shared" si="73"/>
        <v>13.014909557875951</v>
      </c>
    </row>
    <row r="118" spans="1:64" ht="13.5" thickBot="1" x14ac:dyDescent="0.25">
      <c r="A118" s="215">
        <f t="shared" si="39"/>
        <v>42523</v>
      </c>
      <c r="B118" s="190"/>
      <c r="C118" s="168"/>
      <c r="D118" s="198"/>
      <c r="E118" s="132">
        <f t="shared" si="41"/>
        <v>3510.8756411033551</v>
      </c>
      <c r="F118" s="168">
        <f t="shared" si="42"/>
        <v>725.09726561125422</v>
      </c>
      <c r="G118" s="300"/>
      <c r="H118" s="127">
        <f>VLOOKUP(MONTH(A118),ETP_Parametros!$A$6:$D$17,4,FALSE)</f>
        <v>1.8333333333333333</v>
      </c>
      <c r="I118" s="230">
        <f>VLOOKUP(A118,P_Q_obs!$A$4:$F$308,6,FALSE)*1</f>
        <v>8.4600000000000009</v>
      </c>
      <c r="J118" s="230">
        <f t="shared" si="43"/>
        <v>8.4600000000000009</v>
      </c>
      <c r="K118" s="230">
        <f t="shared" si="44"/>
        <v>8.4600000000000009</v>
      </c>
      <c r="L118" s="230">
        <f t="shared" si="45"/>
        <v>8.4600000000000009</v>
      </c>
      <c r="M118" s="230">
        <f t="shared" si="46"/>
        <v>8.4600000000000009</v>
      </c>
      <c r="N118" s="230">
        <f t="shared" si="47"/>
        <v>8.4600000000000009</v>
      </c>
      <c r="O118" s="230">
        <f t="shared" si="48"/>
        <v>8.4600000000000009</v>
      </c>
      <c r="P118" s="230">
        <f t="shared" si="49"/>
        <v>8.4600000000000009</v>
      </c>
      <c r="Q118" s="230">
        <f t="shared" si="50"/>
        <v>8.4600000000000009</v>
      </c>
      <c r="R118" s="230">
        <f t="shared" si="51"/>
        <v>8.4600000000000009</v>
      </c>
      <c r="S118" s="230">
        <f t="shared" si="52"/>
        <v>8.4600000000000009</v>
      </c>
      <c r="T118" s="230">
        <f t="shared" si="53"/>
        <v>8.4600000000000009</v>
      </c>
      <c r="U118" s="230">
        <f t="shared" si="54"/>
        <v>8.4600000000000009</v>
      </c>
      <c r="V118" s="230">
        <f t="shared" si="55"/>
        <v>8.4600000000000009</v>
      </c>
      <c r="W118" s="230">
        <f t="shared" si="56"/>
        <v>8.4600000000000009</v>
      </c>
      <c r="X118" s="230">
        <f t="shared" si="57"/>
        <v>8.4600000000000009</v>
      </c>
      <c r="Y118" s="230">
        <f t="shared" si="58"/>
        <v>8.4600000000000009</v>
      </c>
      <c r="Z118" s="292">
        <f t="shared" si="59"/>
        <v>8.4600000000000009</v>
      </c>
      <c r="AA118" s="300"/>
      <c r="AB118" s="191">
        <f t="shared" si="60"/>
        <v>8.4599999999999991</v>
      </c>
      <c r="AC118" s="139">
        <f t="shared" si="61"/>
        <v>9.8627934450634385</v>
      </c>
      <c r="AD118" s="132">
        <f t="shared" si="62"/>
        <v>75.363951056895402</v>
      </c>
      <c r="AE118" s="168">
        <f t="shared" si="63"/>
        <v>0.96239216449397058</v>
      </c>
      <c r="AF118" s="192">
        <f t="shared" si="64"/>
        <v>5.7259876840045116</v>
      </c>
      <c r="AG118" s="192">
        <f t="shared" si="74"/>
        <v>1.6088033732479132</v>
      </c>
      <c r="AH118" s="192">
        <f t="shared" si="65"/>
        <v>2.2511360677499082</v>
      </c>
      <c r="AI118" s="168">
        <f t="shared" si="66"/>
        <v>13.101122194062359</v>
      </c>
      <c r="AJ118" s="192">
        <f t="shared" si="67"/>
        <v>4.3191912508078367</v>
      </c>
      <c r="AK118" s="132">
        <f t="shared" si="68"/>
        <v>80.09754769112881</v>
      </c>
      <c r="AL118" s="192">
        <f t="shared" si="69"/>
        <v>1.1242221539104256</v>
      </c>
      <c r="AM118" s="192">
        <f t="shared" si="75"/>
        <v>0</v>
      </c>
      <c r="AN118" s="192">
        <f t="shared" si="70"/>
        <v>0</v>
      </c>
      <c r="AO118" s="192">
        <f t="shared" si="76"/>
        <v>0</v>
      </c>
      <c r="AS118" s="132"/>
      <c r="AT118" s="132"/>
      <c r="AU118" s="200"/>
      <c r="AV118" s="132"/>
      <c r="AW118" s="132"/>
      <c r="AX118" s="132"/>
      <c r="AY118" s="132"/>
      <c r="AZ118" s="132"/>
      <c r="BA118" s="167"/>
      <c r="BB118" s="167"/>
      <c r="BD118" s="211">
        <f t="shared" si="71"/>
        <v>42523</v>
      </c>
      <c r="BE118" s="210">
        <v>1</v>
      </c>
      <c r="BF118" s="209">
        <v>0.5</v>
      </c>
      <c r="BG118" s="209">
        <v>2</v>
      </c>
      <c r="BH118" s="210"/>
      <c r="BI118" s="209"/>
      <c r="BJ118" s="209"/>
      <c r="BK118" s="168">
        <f t="shared" si="72"/>
        <v>8.4600000000000009</v>
      </c>
      <c r="BL118" s="168">
        <f t="shared" si="73"/>
        <v>9.8627934450634385</v>
      </c>
    </row>
    <row r="119" spans="1:64" ht="13.5" thickBot="1" x14ac:dyDescent="0.25">
      <c r="A119" s="215">
        <f t="shared" ref="A119:A182" si="77">A118+1</f>
        <v>42524</v>
      </c>
      <c r="B119" s="190"/>
      <c r="C119" s="168"/>
      <c r="D119" s="198"/>
      <c r="E119" s="132">
        <f t="shared" si="41"/>
        <v>4033.2046128064485</v>
      </c>
      <c r="F119" s="168">
        <f t="shared" si="42"/>
        <v>735.44443086015815</v>
      </c>
      <c r="G119" s="300"/>
      <c r="H119" s="127">
        <f>VLOOKUP(MONTH(A119),ETP_Parametros!$A$6:$D$17,4,FALSE)</f>
        <v>1.8333333333333333</v>
      </c>
      <c r="I119" s="230">
        <f>VLOOKUP(A119,P_Q_obs!$A$4:$F$308,6,FALSE)*1</f>
        <v>6.44</v>
      </c>
      <c r="J119" s="230">
        <f t="shared" si="43"/>
        <v>6.44</v>
      </c>
      <c r="K119" s="230">
        <f t="shared" si="44"/>
        <v>6.44</v>
      </c>
      <c r="L119" s="230">
        <f t="shared" si="45"/>
        <v>6.44</v>
      </c>
      <c r="M119" s="230">
        <f t="shared" si="46"/>
        <v>6.44</v>
      </c>
      <c r="N119" s="230">
        <f t="shared" si="47"/>
        <v>6.44</v>
      </c>
      <c r="O119" s="230">
        <f t="shared" si="48"/>
        <v>6.44</v>
      </c>
      <c r="P119" s="230">
        <f t="shared" si="49"/>
        <v>6.44</v>
      </c>
      <c r="Q119" s="230">
        <f t="shared" si="50"/>
        <v>6.44</v>
      </c>
      <c r="R119" s="230">
        <f t="shared" si="51"/>
        <v>6.44</v>
      </c>
      <c r="S119" s="230">
        <f t="shared" si="52"/>
        <v>6.44</v>
      </c>
      <c r="T119" s="230">
        <f t="shared" si="53"/>
        <v>6.44</v>
      </c>
      <c r="U119" s="230">
        <f t="shared" si="54"/>
        <v>6.44</v>
      </c>
      <c r="V119" s="230">
        <f t="shared" si="55"/>
        <v>6.44</v>
      </c>
      <c r="W119" s="230">
        <f t="shared" si="56"/>
        <v>6.44</v>
      </c>
      <c r="X119" s="230">
        <f t="shared" si="57"/>
        <v>6.44</v>
      </c>
      <c r="Y119" s="230">
        <f t="shared" si="58"/>
        <v>6.44</v>
      </c>
      <c r="Z119" s="292">
        <f t="shared" si="59"/>
        <v>6.44</v>
      </c>
      <c r="AA119" s="300"/>
      <c r="AB119" s="191">
        <f t="shared" si="60"/>
        <v>6.44</v>
      </c>
      <c r="AC119" s="139">
        <f t="shared" si="61"/>
        <v>11.60211063747953</v>
      </c>
      <c r="AD119" s="132">
        <f t="shared" si="62"/>
        <v>75.560560920203486</v>
      </c>
      <c r="AE119" s="168">
        <f t="shared" si="63"/>
        <v>0.96594076380333205</v>
      </c>
      <c r="AF119" s="192">
        <f t="shared" si="64"/>
        <v>7.5207680973246944</v>
      </c>
      <c r="AG119" s="192">
        <f t="shared" si="74"/>
        <v>1.6088033732479132</v>
      </c>
      <c r="AH119" s="192">
        <f t="shared" si="65"/>
        <v>2.2759293035988453</v>
      </c>
      <c r="AI119" s="168">
        <f t="shared" si="66"/>
        <v>15.508900309688034</v>
      </c>
      <c r="AJ119" s="192">
        <f t="shared" si="67"/>
        <v>5.1129899816990187</v>
      </c>
      <c r="AK119" s="132">
        <f t="shared" si="68"/>
        <v>81.233212148402458</v>
      </c>
      <c r="AL119" s="192">
        <f t="shared" si="69"/>
        <v>1.1402648463251923</v>
      </c>
      <c r="AM119" s="192">
        <f t="shared" si="75"/>
        <v>0</v>
      </c>
      <c r="AN119" s="192">
        <f t="shared" si="70"/>
        <v>0</v>
      </c>
      <c r="AO119" s="192">
        <f t="shared" si="76"/>
        <v>0</v>
      </c>
      <c r="AS119" s="132"/>
      <c r="AT119" s="132"/>
      <c r="AU119" s="200"/>
      <c r="AV119" s="132"/>
      <c r="AW119" s="132"/>
      <c r="AX119" s="132"/>
      <c r="AY119" s="132"/>
      <c r="AZ119" s="132"/>
      <c r="BA119" s="167"/>
      <c r="BB119" s="167"/>
      <c r="BD119" s="211">
        <f t="shared" si="71"/>
        <v>42524</v>
      </c>
      <c r="BE119" s="210">
        <v>1</v>
      </c>
      <c r="BF119" s="209">
        <v>0.5</v>
      </c>
      <c r="BG119" s="209">
        <v>2</v>
      </c>
      <c r="BH119" s="210"/>
      <c r="BI119" s="209"/>
      <c r="BJ119" s="209"/>
      <c r="BK119" s="168">
        <f t="shared" si="72"/>
        <v>6.44</v>
      </c>
      <c r="BL119" s="168">
        <f t="shared" si="73"/>
        <v>11.60211063747953</v>
      </c>
    </row>
    <row r="120" spans="1:64" ht="13.5" thickBot="1" x14ac:dyDescent="0.25">
      <c r="A120" s="215">
        <f t="shared" si="77"/>
        <v>42525</v>
      </c>
      <c r="B120" s="190"/>
      <c r="C120" s="168"/>
      <c r="D120" s="198"/>
      <c r="E120" s="132">
        <f t="shared" si="41"/>
        <v>4773.5005148075325</v>
      </c>
      <c r="F120" s="168">
        <f t="shared" si="42"/>
        <v>745.87194236960522</v>
      </c>
      <c r="G120" s="300"/>
      <c r="H120" s="127">
        <f>VLOOKUP(MONTH(A120),ETP_Parametros!$A$6:$D$17,4,FALSE)</f>
        <v>1.8333333333333333</v>
      </c>
      <c r="I120" s="230">
        <f>VLOOKUP(A120,P_Q_obs!$A$4:$F$308,6,FALSE)*1</f>
        <v>25.8</v>
      </c>
      <c r="J120" s="230">
        <f t="shared" si="43"/>
        <v>25.8</v>
      </c>
      <c r="K120" s="230">
        <f t="shared" si="44"/>
        <v>25.8</v>
      </c>
      <c r="L120" s="230">
        <f t="shared" si="45"/>
        <v>25.8</v>
      </c>
      <c r="M120" s="230">
        <f t="shared" si="46"/>
        <v>25.8</v>
      </c>
      <c r="N120" s="230">
        <f t="shared" si="47"/>
        <v>25.8</v>
      </c>
      <c r="O120" s="230">
        <f t="shared" si="48"/>
        <v>25.8</v>
      </c>
      <c r="P120" s="230">
        <f t="shared" si="49"/>
        <v>25.8</v>
      </c>
      <c r="Q120" s="230">
        <f t="shared" si="50"/>
        <v>25.8</v>
      </c>
      <c r="R120" s="230">
        <f t="shared" si="51"/>
        <v>25.8</v>
      </c>
      <c r="S120" s="230">
        <f t="shared" si="52"/>
        <v>25.8</v>
      </c>
      <c r="T120" s="230">
        <f t="shared" si="53"/>
        <v>25.8</v>
      </c>
      <c r="U120" s="230">
        <f t="shared" si="54"/>
        <v>25.8</v>
      </c>
      <c r="V120" s="230">
        <f t="shared" si="55"/>
        <v>25.8</v>
      </c>
      <c r="W120" s="230">
        <f t="shared" si="56"/>
        <v>25.8</v>
      </c>
      <c r="X120" s="230">
        <f t="shared" si="57"/>
        <v>25.8</v>
      </c>
      <c r="Y120" s="230">
        <f t="shared" si="58"/>
        <v>25.8</v>
      </c>
      <c r="Z120" s="292">
        <f t="shared" si="59"/>
        <v>25.8</v>
      </c>
      <c r="AA120" s="300"/>
      <c r="AB120" s="191">
        <f t="shared" si="60"/>
        <v>25.8</v>
      </c>
      <c r="AC120" s="139">
        <f t="shared" si="61"/>
        <v>13.710524524413922</v>
      </c>
      <c r="AD120" s="132">
        <f t="shared" si="62"/>
        <v>75.69159543925268</v>
      </c>
      <c r="AE120" s="168">
        <f t="shared" si="63"/>
        <v>0.96846071503826281</v>
      </c>
      <c r="AF120" s="192">
        <f t="shared" si="64"/>
        <v>9.6770774366535921</v>
      </c>
      <c r="AG120" s="192">
        <f t="shared" si="74"/>
        <v>1.6088033732479132</v>
      </c>
      <c r="AH120" s="192">
        <f t="shared" si="65"/>
        <v>2.2936091954632265</v>
      </c>
      <c r="AI120" s="168">
        <f t="shared" si="66"/>
        <v>18.941368252413533</v>
      </c>
      <c r="AJ120" s="192">
        <f t="shared" si="67"/>
        <v>6.2446094939280936</v>
      </c>
      <c r="AK120" s="132">
        <f t="shared" si="68"/>
        <v>82.370389232809202</v>
      </c>
      <c r="AL120" s="192">
        <f t="shared" si="69"/>
        <v>1.1564321110564888</v>
      </c>
      <c r="AM120" s="192">
        <f t="shared" si="75"/>
        <v>0</v>
      </c>
      <c r="AN120" s="192">
        <f t="shared" si="70"/>
        <v>0</v>
      </c>
      <c r="AO120" s="192">
        <f t="shared" si="76"/>
        <v>0</v>
      </c>
      <c r="AS120" s="132"/>
      <c r="AT120" s="132"/>
      <c r="AU120" s="200"/>
      <c r="AV120" s="132"/>
      <c r="AW120" s="132"/>
      <c r="AX120" s="132"/>
      <c r="AY120" s="132"/>
      <c r="AZ120" s="132"/>
      <c r="BA120" s="167"/>
      <c r="BB120" s="167"/>
      <c r="BD120" s="211">
        <f t="shared" si="71"/>
        <v>42525</v>
      </c>
      <c r="BE120" s="210">
        <v>1</v>
      </c>
      <c r="BF120" s="209">
        <v>0.5</v>
      </c>
      <c r="BG120" s="209">
        <v>2</v>
      </c>
      <c r="BH120" s="210"/>
      <c r="BI120" s="209"/>
      <c r="BJ120" s="209"/>
      <c r="BK120" s="168">
        <f t="shared" si="72"/>
        <v>25.8</v>
      </c>
      <c r="BL120" s="168">
        <f t="shared" si="73"/>
        <v>13.710524524413922</v>
      </c>
    </row>
    <row r="121" spans="1:64" ht="13.5" thickBot="1" x14ac:dyDescent="0.25">
      <c r="A121" s="215">
        <f t="shared" si="77"/>
        <v>42526</v>
      </c>
      <c r="B121" s="190"/>
      <c r="C121" s="168"/>
      <c r="D121" s="198"/>
      <c r="E121" s="132">
        <f t="shared" si="41"/>
        <v>5695.5172955738262</v>
      </c>
      <c r="F121" s="168">
        <f t="shared" si="42"/>
        <v>756.3133426088956</v>
      </c>
      <c r="G121" s="300"/>
      <c r="H121" s="127">
        <f>VLOOKUP(MONTH(A121),ETP_Parametros!$A$6:$D$17,4,FALSE)</f>
        <v>1.8333333333333333</v>
      </c>
      <c r="I121" s="230">
        <f>VLOOKUP(A121,P_Q_obs!$A$4:$F$308,6,FALSE)*1</f>
        <v>7.22</v>
      </c>
      <c r="J121" s="230">
        <f t="shared" si="43"/>
        <v>7.22</v>
      </c>
      <c r="K121" s="230">
        <f t="shared" si="44"/>
        <v>7.22</v>
      </c>
      <c r="L121" s="230">
        <f t="shared" si="45"/>
        <v>7.22</v>
      </c>
      <c r="M121" s="230">
        <f t="shared" si="46"/>
        <v>7.22</v>
      </c>
      <c r="N121" s="230">
        <f t="shared" si="47"/>
        <v>7.22</v>
      </c>
      <c r="O121" s="230">
        <f t="shared" si="48"/>
        <v>7.22</v>
      </c>
      <c r="P121" s="230">
        <f t="shared" si="49"/>
        <v>7.22</v>
      </c>
      <c r="Q121" s="230">
        <f t="shared" si="50"/>
        <v>7.22</v>
      </c>
      <c r="R121" s="230">
        <f t="shared" si="51"/>
        <v>7.22</v>
      </c>
      <c r="S121" s="230">
        <f t="shared" si="52"/>
        <v>7.22</v>
      </c>
      <c r="T121" s="230">
        <f t="shared" si="53"/>
        <v>7.22</v>
      </c>
      <c r="U121" s="230">
        <f t="shared" si="54"/>
        <v>7.22</v>
      </c>
      <c r="V121" s="230">
        <f t="shared" si="55"/>
        <v>7.22</v>
      </c>
      <c r="W121" s="230">
        <f t="shared" si="56"/>
        <v>7.22</v>
      </c>
      <c r="X121" s="230">
        <f t="shared" si="57"/>
        <v>7.22</v>
      </c>
      <c r="Y121" s="230">
        <f t="shared" si="58"/>
        <v>7.22</v>
      </c>
      <c r="Z121" s="292">
        <f t="shared" si="59"/>
        <v>7.22</v>
      </c>
      <c r="AA121" s="300"/>
      <c r="AB121" s="191">
        <f t="shared" si="60"/>
        <v>7.2199999999999971</v>
      </c>
      <c r="AC121" s="139">
        <f t="shared" si="61"/>
        <v>15.941093363333771</v>
      </c>
      <c r="AD121" s="132">
        <f t="shared" si="62"/>
        <v>75.773493556226171</v>
      </c>
      <c r="AE121" s="168">
        <f t="shared" si="63"/>
        <v>0.97014018621300824</v>
      </c>
      <c r="AF121" s="192">
        <f t="shared" si="64"/>
        <v>11.944965630335414</v>
      </c>
      <c r="AG121" s="192">
        <f t="shared" si="74"/>
        <v>1.6088033732479132</v>
      </c>
      <c r="AH121" s="192">
        <f t="shared" si="65"/>
        <v>2.3054262427769445</v>
      </c>
      <c r="AI121" s="168">
        <f t="shared" si="66"/>
        <v>23.228378502205395</v>
      </c>
      <c r="AJ121" s="192">
        <f t="shared" si="67"/>
        <v>7.6579553805435516</v>
      </c>
      <c r="AK121" s="132">
        <f t="shared" si="68"/>
        <v>83.503194566111063</v>
      </c>
      <c r="AL121" s="192">
        <f t="shared" si="69"/>
        <v>1.172620909475085</v>
      </c>
      <c r="AM121" s="192">
        <f t="shared" si="75"/>
        <v>0</v>
      </c>
      <c r="AN121" s="192">
        <f t="shared" si="70"/>
        <v>0</v>
      </c>
      <c r="AO121" s="192">
        <f t="shared" si="76"/>
        <v>0</v>
      </c>
      <c r="AS121" s="132"/>
      <c r="AT121" s="132"/>
      <c r="AU121" s="200"/>
      <c r="AV121" s="132"/>
      <c r="AW121" s="132"/>
      <c r="AX121" s="132"/>
      <c r="AY121" s="132"/>
      <c r="AZ121" s="132"/>
      <c r="BA121" s="167"/>
      <c r="BB121" s="167"/>
      <c r="BD121" s="211">
        <f t="shared" si="71"/>
        <v>42526</v>
      </c>
      <c r="BE121" s="210">
        <v>1</v>
      </c>
      <c r="BF121" s="209">
        <v>0.5</v>
      </c>
      <c r="BG121" s="209">
        <v>2</v>
      </c>
      <c r="BH121" s="210"/>
      <c r="BI121" s="209"/>
      <c r="BJ121" s="209"/>
      <c r="BK121" s="168">
        <f t="shared" si="72"/>
        <v>7.22</v>
      </c>
      <c r="BL121" s="168">
        <f t="shared" si="73"/>
        <v>15.941093363333771</v>
      </c>
    </row>
    <row r="122" spans="1:64" ht="13.5" thickBot="1" x14ac:dyDescent="0.25">
      <c r="A122" s="215">
        <f t="shared" si="77"/>
        <v>42527</v>
      </c>
      <c r="B122" s="190"/>
      <c r="C122" s="168"/>
      <c r="D122" s="198"/>
      <c r="E122" s="132">
        <f t="shared" si="41"/>
        <v>5132.0449433918702</v>
      </c>
      <c r="F122" s="168">
        <f t="shared" si="42"/>
        <v>766.71460204368111</v>
      </c>
      <c r="G122" s="300"/>
      <c r="H122" s="127">
        <f>VLOOKUP(MONTH(A122),ETP_Parametros!$A$6:$D$17,4,FALSE)</f>
        <v>1.8333333333333333</v>
      </c>
      <c r="I122" s="230">
        <f>VLOOKUP(A122,P_Q_obs!$A$4:$F$308,6,FALSE)*1</f>
        <v>12.72</v>
      </c>
      <c r="J122" s="230">
        <f t="shared" si="43"/>
        <v>12.72</v>
      </c>
      <c r="K122" s="230">
        <f t="shared" si="44"/>
        <v>12.72</v>
      </c>
      <c r="L122" s="230">
        <f t="shared" si="45"/>
        <v>12.72</v>
      </c>
      <c r="M122" s="230">
        <f t="shared" si="46"/>
        <v>12.72</v>
      </c>
      <c r="N122" s="230">
        <f t="shared" si="47"/>
        <v>12.72</v>
      </c>
      <c r="O122" s="230">
        <f t="shared" si="48"/>
        <v>12.72</v>
      </c>
      <c r="P122" s="230">
        <f t="shared" si="49"/>
        <v>12.72</v>
      </c>
      <c r="Q122" s="230">
        <f t="shared" si="50"/>
        <v>12.72</v>
      </c>
      <c r="R122" s="230">
        <f t="shared" si="51"/>
        <v>12.72</v>
      </c>
      <c r="S122" s="230">
        <f t="shared" si="52"/>
        <v>12.72</v>
      </c>
      <c r="T122" s="230">
        <f t="shared" si="53"/>
        <v>12.72</v>
      </c>
      <c r="U122" s="230">
        <f t="shared" si="54"/>
        <v>12.72</v>
      </c>
      <c r="V122" s="230">
        <f t="shared" si="55"/>
        <v>12.72</v>
      </c>
      <c r="W122" s="230">
        <f t="shared" si="56"/>
        <v>12.72</v>
      </c>
      <c r="X122" s="230">
        <f t="shared" si="57"/>
        <v>12.72</v>
      </c>
      <c r="Y122" s="230">
        <f t="shared" si="58"/>
        <v>12.72</v>
      </c>
      <c r="Z122" s="292">
        <f t="shared" si="59"/>
        <v>12.72</v>
      </c>
      <c r="AA122" s="300"/>
      <c r="AB122" s="191">
        <f t="shared" si="60"/>
        <v>12.720000000000004</v>
      </c>
      <c r="AC122" s="139">
        <f t="shared" si="61"/>
        <v>7.679809247776987</v>
      </c>
      <c r="AD122" s="132">
        <f t="shared" si="62"/>
        <v>75.462323224382089</v>
      </c>
      <c r="AE122" s="168">
        <f t="shared" si="63"/>
        <v>0.97118987546833546</v>
      </c>
      <c r="AF122" s="192">
        <f t="shared" si="64"/>
        <v>4.0693503859565858</v>
      </c>
      <c r="AG122" s="192">
        <f t="shared" si="74"/>
        <v>1.6088033732479132</v>
      </c>
      <c r="AH122" s="192">
        <f t="shared" si="65"/>
        <v>2.3128258204165775</v>
      </c>
      <c r="AI122" s="168">
        <f t="shared" si="66"/>
        <v>20.529531969443902</v>
      </c>
      <c r="AJ122" s="192">
        <f t="shared" si="67"/>
        <v>6.7681969187180773</v>
      </c>
      <c r="AK122" s="132">
        <f t="shared" si="68"/>
        <v>84.627272914672957</v>
      </c>
      <c r="AL122" s="192">
        <f t="shared" si="69"/>
        <v>1.1887474718546829</v>
      </c>
      <c r="AM122" s="192">
        <f t="shared" si="75"/>
        <v>0</v>
      </c>
      <c r="AN122" s="192">
        <f t="shared" si="70"/>
        <v>0</v>
      </c>
      <c r="AO122" s="192">
        <f t="shared" si="76"/>
        <v>0</v>
      </c>
      <c r="AS122" s="132"/>
      <c r="AT122" s="132"/>
      <c r="AU122" s="200"/>
      <c r="AV122" s="132"/>
      <c r="AW122" s="132"/>
      <c r="AX122" s="132"/>
      <c r="AY122" s="132"/>
      <c r="AZ122" s="132"/>
      <c r="BA122" s="167"/>
      <c r="BB122" s="167"/>
      <c r="BD122" s="211">
        <f t="shared" si="71"/>
        <v>42527</v>
      </c>
      <c r="BE122" s="210">
        <v>1</v>
      </c>
      <c r="BF122" s="209">
        <v>0.5</v>
      </c>
      <c r="BG122" s="209">
        <v>2</v>
      </c>
      <c r="BH122" s="210"/>
      <c r="BI122" s="209"/>
      <c r="BJ122" s="209"/>
      <c r="BK122" s="168">
        <f t="shared" si="72"/>
        <v>12.72</v>
      </c>
      <c r="BL122" s="168">
        <f t="shared" si="73"/>
        <v>7.679809247776987</v>
      </c>
    </row>
    <row r="123" spans="1:64" ht="13.5" thickBot="1" x14ac:dyDescent="0.25">
      <c r="A123" s="215">
        <f t="shared" si="77"/>
        <v>42528</v>
      </c>
      <c r="B123" s="190"/>
      <c r="C123" s="168"/>
      <c r="D123" s="198"/>
      <c r="E123" s="132">
        <f t="shared" si="41"/>
        <v>4428.0445113465776</v>
      </c>
      <c r="F123" s="168">
        <f t="shared" si="42"/>
        <v>777.03573153054424</v>
      </c>
      <c r="G123" s="300"/>
      <c r="H123" s="127">
        <f>VLOOKUP(MONTH(A123),ETP_Parametros!$A$6:$D$17,4,FALSE)</f>
        <v>1.8333333333333333</v>
      </c>
      <c r="I123" s="230">
        <f>VLOOKUP(A123,P_Q_obs!$A$4:$F$308,6,FALSE)*1</f>
        <v>0.23</v>
      </c>
      <c r="J123" s="230">
        <f t="shared" si="43"/>
        <v>0.23</v>
      </c>
      <c r="K123" s="230">
        <f t="shared" si="44"/>
        <v>0.23</v>
      </c>
      <c r="L123" s="230">
        <f t="shared" si="45"/>
        <v>0.23</v>
      </c>
      <c r="M123" s="230">
        <f t="shared" si="46"/>
        <v>0.23</v>
      </c>
      <c r="N123" s="230">
        <f t="shared" si="47"/>
        <v>0.23</v>
      </c>
      <c r="O123" s="230">
        <f t="shared" si="48"/>
        <v>0.23</v>
      </c>
      <c r="P123" s="230">
        <f t="shared" si="49"/>
        <v>0.23</v>
      </c>
      <c r="Q123" s="230">
        <f t="shared" si="50"/>
        <v>0.23</v>
      </c>
      <c r="R123" s="230">
        <f t="shared" si="51"/>
        <v>0.23</v>
      </c>
      <c r="S123" s="230">
        <f t="shared" si="52"/>
        <v>0.23</v>
      </c>
      <c r="T123" s="230">
        <f t="shared" si="53"/>
        <v>0.23</v>
      </c>
      <c r="U123" s="230">
        <f t="shared" si="54"/>
        <v>0.23</v>
      </c>
      <c r="V123" s="230">
        <f t="shared" si="55"/>
        <v>0.23</v>
      </c>
      <c r="W123" s="230">
        <f t="shared" si="56"/>
        <v>0.23</v>
      </c>
      <c r="X123" s="230">
        <f t="shared" si="57"/>
        <v>0.23</v>
      </c>
      <c r="Y123" s="230">
        <f t="shared" si="58"/>
        <v>0.23</v>
      </c>
      <c r="Z123" s="292">
        <f t="shared" si="59"/>
        <v>0.23</v>
      </c>
      <c r="AA123" s="300"/>
      <c r="AB123" s="191">
        <f t="shared" si="60"/>
        <v>0.22999999999999998</v>
      </c>
      <c r="AC123" s="139">
        <f t="shared" si="61"/>
        <v>5.8363796087434654</v>
      </c>
      <c r="AD123" s="132">
        <f t="shared" si="62"/>
        <v>75.103803322596434</v>
      </c>
      <c r="AE123" s="168">
        <f t="shared" si="63"/>
        <v>0.96720160118335941</v>
      </c>
      <c r="AF123" s="192">
        <f t="shared" si="64"/>
        <v>2.3013284801542455</v>
      </c>
      <c r="AG123" s="192">
        <f t="shared" si="74"/>
        <v>1.6088033732479132</v>
      </c>
      <c r="AH123" s="192">
        <f t="shared" si="65"/>
        <v>2.2847676571269782</v>
      </c>
      <c r="AI123" s="168">
        <f t="shared" si="66"/>
        <v>17.170178567243319</v>
      </c>
      <c r="AJ123" s="192">
        <f t="shared" si="67"/>
        <v>5.6606818823548313</v>
      </c>
      <c r="AK123" s="132">
        <f t="shared" si="68"/>
        <v>85.707290774501743</v>
      </c>
      <c r="AL123" s="192">
        <f t="shared" si="69"/>
        <v>1.2047497972981918</v>
      </c>
      <c r="AM123" s="192">
        <f t="shared" si="75"/>
        <v>0</v>
      </c>
      <c r="AN123" s="192">
        <f t="shared" si="70"/>
        <v>0</v>
      </c>
      <c r="AO123" s="192">
        <f t="shared" si="76"/>
        <v>0</v>
      </c>
      <c r="AS123" s="132"/>
      <c r="AT123" s="132"/>
      <c r="AU123" s="200"/>
      <c r="AV123" s="132"/>
      <c r="AW123" s="132"/>
      <c r="AX123" s="132"/>
      <c r="AY123" s="132"/>
      <c r="AZ123" s="132"/>
      <c r="BA123" s="167"/>
      <c r="BB123" s="167"/>
      <c r="BD123" s="211">
        <f t="shared" si="71"/>
        <v>42528</v>
      </c>
      <c r="BE123" s="210">
        <v>1</v>
      </c>
      <c r="BF123" s="209">
        <v>0.5</v>
      </c>
      <c r="BG123" s="209">
        <v>2</v>
      </c>
      <c r="BH123" s="210"/>
      <c r="BI123" s="209"/>
      <c r="BJ123" s="209"/>
      <c r="BK123" s="168">
        <f t="shared" si="72"/>
        <v>0.23</v>
      </c>
      <c r="BL123" s="168">
        <f t="shared" si="73"/>
        <v>5.8363796087434654</v>
      </c>
    </row>
    <row r="124" spans="1:64" ht="13.5" thickBot="1" x14ac:dyDescent="0.25">
      <c r="A124" s="215">
        <f t="shared" si="77"/>
        <v>42529</v>
      </c>
      <c r="B124" s="190"/>
      <c r="C124" s="168"/>
      <c r="D124" s="198"/>
      <c r="E124" s="132">
        <f t="shared" si="41"/>
        <v>3532.7302318108168</v>
      </c>
      <c r="F124" s="168">
        <f t="shared" si="42"/>
        <v>786.95230379944235</v>
      </c>
      <c r="G124" s="300"/>
      <c r="H124" s="127">
        <f>VLOOKUP(MONTH(A124),ETP_Parametros!$A$6:$D$17,4,FALSE)</f>
        <v>1.8333333333333333</v>
      </c>
      <c r="I124" s="230">
        <f>VLOOKUP(A124,P_Q_obs!$A$4:$F$308,6,FALSE)*1</f>
        <v>7.0000000000000007E-2</v>
      </c>
      <c r="J124" s="230">
        <f t="shared" si="43"/>
        <v>7.0000000000000007E-2</v>
      </c>
      <c r="K124" s="230">
        <f t="shared" si="44"/>
        <v>7.0000000000000007E-2</v>
      </c>
      <c r="L124" s="230">
        <f t="shared" si="45"/>
        <v>7.0000000000000007E-2</v>
      </c>
      <c r="M124" s="230">
        <f t="shared" si="46"/>
        <v>7.0000000000000007E-2</v>
      </c>
      <c r="N124" s="230">
        <f t="shared" si="47"/>
        <v>7.0000000000000007E-2</v>
      </c>
      <c r="O124" s="230">
        <f t="shared" si="48"/>
        <v>7.0000000000000007E-2</v>
      </c>
      <c r="P124" s="230">
        <f t="shared" si="49"/>
        <v>7.0000000000000007E-2</v>
      </c>
      <c r="Q124" s="230">
        <f t="shared" si="50"/>
        <v>7.0000000000000007E-2</v>
      </c>
      <c r="R124" s="230">
        <f t="shared" si="51"/>
        <v>7.0000000000000007E-2</v>
      </c>
      <c r="S124" s="230">
        <f t="shared" si="52"/>
        <v>7.0000000000000007E-2</v>
      </c>
      <c r="T124" s="230">
        <f t="shared" si="53"/>
        <v>7.0000000000000007E-2</v>
      </c>
      <c r="U124" s="230">
        <f t="shared" si="54"/>
        <v>7.0000000000000007E-2</v>
      </c>
      <c r="V124" s="230">
        <f t="shared" si="55"/>
        <v>7.0000000000000007E-2</v>
      </c>
      <c r="W124" s="230">
        <f t="shared" si="56"/>
        <v>7.0000000000000007E-2</v>
      </c>
      <c r="X124" s="230">
        <f t="shared" si="57"/>
        <v>7.0000000000000007E-2</v>
      </c>
      <c r="Y124" s="230">
        <f t="shared" si="58"/>
        <v>7.0000000000000007E-2</v>
      </c>
      <c r="Z124" s="292">
        <f t="shared" si="59"/>
        <v>7.0000000000000007E-2</v>
      </c>
      <c r="AA124" s="300"/>
      <c r="AB124" s="191">
        <f t="shared" si="60"/>
        <v>6.9999999999999979E-2</v>
      </c>
      <c r="AC124" s="139">
        <f t="shared" si="61"/>
        <v>0.30336712299471369</v>
      </c>
      <c r="AD124" s="132">
        <f t="shared" si="62"/>
        <v>71.594552201487645</v>
      </c>
      <c r="AE124" s="168">
        <f t="shared" si="63"/>
        <v>0.96260644683021135</v>
      </c>
      <c r="AF124" s="192">
        <f t="shared" si="64"/>
        <v>0</v>
      </c>
      <c r="AG124" s="192">
        <f t="shared" si="74"/>
        <v>1.5599884734143006</v>
      </c>
      <c r="AH124" s="192">
        <f t="shared" si="65"/>
        <v>2.2526297706891945</v>
      </c>
      <c r="AI124" s="168">
        <f t="shared" si="66"/>
        <v>12.913005739834519</v>
      </c>
      <c r="AJ124" s="192">
        <f t="shared" si="67"/>
        <v>4.2571728274087999</v>
      </c>
      <c r="AK124" s="132">
        <f t="shared" si="68"/>
        <v>86.739795665453087</v>
      </c>
      <c r="AL124" s="192">
        <f t="shared" si="69"/>
        <v>1.220124879737857</v>
      </c>
      <c r="AM124" s="192">
        <f t="shared" si="75"/>
        <v>0</v>
      </c>
      <c r="AN124" s="192">
        <f t="shared" si="70"/>
        <v>0</v>
      </c>
      <c r="AO124" s="192">
        <f t="shared" si="76"/>
        <v>0</v>
      </c>
      <c r="AS124" s="132"/>
      <c r="AT124" s="132"/>
      <c r="AU124" s="200"/>
      <c r="AV124" s="132"/>
      <c r="AW124" s="132"/>
      <c r="AX124" s="132"/>
      <c r="AY124" s="132"/>
      <c r="AZ124" s="132"/>
      <c r="BA124" s="167"/>
      <c r="BB124" s="167"/>
      <c r="BD124" s="211">
        <f t="shared" si="71"/>
        <v>42529</v>
      </c>
      <c r="BE124" s="210">
        <v>1</v>
      </c>
      <c r="BF124" s="209">
        <v>0.5</v>
      </c>
      <c r="BG124" s="209">
        <v>2</v>
      </c>
      <c r="BH124" s="210"/>
      <c r="BI124" s="209"/>
      <c r="BJ124" s="209"/>
      <c r="BK124" s="168">
        <f t="shared" si="72"/>
        <v>7.0000000000000007E-2</v>
      </c>
      <c r="BL124" s="168">
        <f t="shared" si="73"/>
        <v>0.30336712299471369</v>
      </c>
    </row>
    <row r="125" spans="1:64" ht="13.5" thickBot="1" x14ac:dyDescent="0.25">
      <c r="A125" s="215">
        <f t="shared" si="77"/>
        <v>42530</v>
      </c>
      <c r="B125" s="190"/>
      <c r="C125" s="168"/>
      <c r="D125" s="198"/>
      <c r="E125" s="132">
        <f t="shared" si="41"/>
        <v>2861.4225665461709</v>
      </c>
      <c r="F125" s="168">
        <f t="shared" si="42"/>
        <v>796.43261866269177</v>
      </c>
      <c r="G125" s="300"/>
      <c r="H125" s="127">
        <f>VLOOKUP(MONTH(A125),ETP_Parametros!$A$6:$D$17,4,FALSE)</f>
        <v>1.8333333333333333</v>
      </c>
      <c r="I125" s="230">
        <f>VLOOKUP(A125,P_Q_obs!$A$4:$F$308,6,FALSE)*1</f>
        <v>0.09</v>
      </c>
      <c r="J125" s="230">
        <f t="shared" si="43"/>
        <v>0.09</v>
      </c>
      <c r="K125" s="230">
        <f t="shared" si="44"/>
        <v>0.09</v>
      </c>
      <c r="L125" s="230">
        <f t="shared" si="45"/>
        <v>0.09</v>
      </c>
      <c r="M125" s="230">
        <f t="shared" si="46"/>
        <v>0.09</v>
      </c>
      <c r="N125" s="230">
        <f t="shared" si="47"/>
        <v>0.09</v>
      </c>
      <c r="O125" s="230">
        <f t="shared" si="48"/>
        <v>0.09</v>
      </c>
      <c r="P125" s="230">
        <f t="shared" si="49"/>
        <v>0.09</v>
      </c>
      <c r="Q125" s="230">
        <f t="shared" si="50"/>
        <v>0.09</v>
      </c>
      <c r="R125" s="230">
        <f t="shared" si="51"/>
        <v>0.09</v>
      </c>
      <c r="S125" s="230">
        <f t="shared" si="52"/>
        <v>0.09</v>
      </c>
      <c r="T125" s="230">
        <f t="shared" si="53"/>
        <v>0.09</v>
      </c>
      <c r="U125" s="230">
        <f t="shared" si="54"/>
        <v>0.09</v>
      </c>
      <c r="V125" s="230">
        <f t="shared" si="55"/>
        <v>0.09</v>
      </c>
      <c r="W125" s="230">
        <f t="shared" si="56"/>
        <v>0.09</v>
      </c>
      <c r="X125" s="230">
        <f t="shared" si="57"/>
        <v>0.09</v>
      </c>
      <c r="Y125" s="230">
        <f t="shared" si="58"/>
        <v>0.09</v>
      </c>
      <c r="Z125" s="292">
        <f t="shared" si="59"/>
        <v>0.09</v>
      </c>
      <c r="AA125" s="300"/>
      <c r="AB125" s="191">
        <f t="shared" si="60"/>
        <v>0.09</v>
      </c>
      <c r="AC125" s="139">
        <f t="shared" si="61"/>
        <v>0.35727652869494109</v>
      </c>
      <c r="AD125" s="132">
        <f t="shared" si="62"/>
        <v>68.497328455136866</v>
      </c>
      <c r="AE125" s="168">
        <f t="shared" si="63"/>
        <v>0.91762832850222609</v>
      </c>
      <c r="AF125" s="192">
        <f t="shared" si="64"/>
        <v>0</v>
      </c>
      <c r="AG125" s="192">
        <f t="shared" si="74"/>
        <v>1.5057130151377502</v>
      </c>
      <c r="AH125" s="192">
        <f t="shared" si="65"/>
        <v>1.9487872599079776</v>
      </c>
      <c r="AI125" s="168">
        <f t="shared" si="66"/>
        <v>9.7113560341830709</v>
      </c>
      <c r="AJ125" s="192">
        <f t="shared" si="67"/>
        <v>3.2016497056514481</v>
      </c>
      <c r="AK125" s="132">
        <f t="shared" si="68"/>
        <v>87.453759355529087</v>
      </c>
      <c r="AL125" s="192">
        <f t="shared" si="69"/>
        <v>1.2348235698319738</v>
      </c>
      <c r="AM125" s="192">
        <f t="shared" si="75"/>
        <v>0</v>
      </c>
      <c r="AN125" s="192">
        <f t="shared" si="70"/>
        <v>0</v>
      </c>
      <c r="AO125" s="192">
        <f t="shared" si="76"/>
        <v>0</v>
      </c>
      <c r="AS125" s="132"/>
      <c r="AT125" s="132"/>
      <c r="AU125" s="200"/>
      <c r="AV125" s="132"/>
      <c r="AW125" s="132"/>
      <c r="AX125" s="132"/>
      <c r="AY125" s="132"/>
      <c r="AZ125" s="132"/>
      <c r="BA125" s="167"/>
      <c r="BB125" s="167"/>
      <c r="BD125" s="211">
        <f t="shared" si="71"/>
        <v>42530</v>
      </c>
      <c r="BE125" s="210">
        <v>1</v>
      </c>
      <c r="BF125" s="209">
        <v>0.5</v>
      </c>
      <c r="BG125" s="209">
        <v>2</v>
      </c>
      <c r="BH125" s="210"/>
      <c r="BI125" s="209"/>
      <c r="BJ125" s="209"/>
      <c r="BK125" s="168">
        <f t="shared" si="72"/>
        <v>0.09</v>
      </c>
      <c r="BL125" s="168">
        <f t="shared" si="73"/>
        <v>0.35727652869494109</v>
      </c>
    </row>
    <row r="126" spans="1:64" ht="13.5" thickBot="1" x14ac:dyDescent="0.25">
      <c r="A126" s="215">
        <f t="shared" si="77"/>
        <v>42531</v>
      </c>
      <c r="B126" s="190"/>
      <c r="C126" s="168"/>
      <c r="D126" s="198"/>
      <c r="E126" s="132">
        <f t="shared" si="41"/>
        <v>2355.9846230912626</v>
      </c>
      <c r="F126" s="168">
        <f t="shared" si="42"/>
        <v>802.98813296791832</v>
      </c>
      <c r="G126" s="300"/>
      <c r="H126" s="127">
        <f>VLOOKUP(MONTH(A126),ETP_Parametros!$A$6:$D$17,4,FALSE)</f>
        <v>1.8333333333333333</v>
      </c>
      <c r="I126" s="230">
        <f>VLOOKUP(A126,P_Q_obs!$A$4:$F$308,6,FALSE)*1</f>
        <v>0.02</v>
      </c>
      <c r="J126" s="230">
        <f t="shared" si="43"/>
        <v>0.02</v>
      </c>
      <c r="K126" s="230">
        <f t="shared" si="44"/>
        <v>0.02</v>
      </c>
      <c r="L126" s="230">
        <f t="shared" si="45"/>
        <v>0.02</v>
      </c>
      <c r="M126" s="230">
        <f t="shared" si="46"/>
        <v>0.02</v>
      </c>
      <c r="N126" s="230">
        <f t="shared" si="47"/>
        <v>0.02</v>
      </c>
      <c r="O126" s="230">
        <f t="shared" si="48"/>
        <v>0.02</v>
      </c>
      <c r="P126" s="230">
        <f t="shared" si="49"/>
        <v>0.02</v>
      </c>
      <c r="Q126" s="230">
        <f t="shared" si="50"/>
        <v>0.02</v>
      </c>
      <c r="R126" s="230">
        <f t="shared" si="51"/>
        <v>0.02</v>
      </c>
      <c r="S126" s="230">
        <f t="shared" si="52"/>
        <v>0.02</v>
      </c>
      <c r="T126" s="230">
        <f t="shared" si="53"/>
        <v>0.02</v>
      </c>
      <c r="U126" s="230">
        <f t="shared" si="54"/>
        <v>0.02</v>
      </c>
      <c r="V126" s="230">
        <f t="shared" si="55"/>
        <v>0.02</v>
      </c>
      <c r="W126" s="230">
        <f t="shared" si="56"/>
        <v>0.02</v>
      </c>
      <c r="X126" s="230">
        <f t="shared" si="57"/>
        <v>0.02</v>
      </c>
      <c r="Y126" s="230">
        <f t="shared" si="58"/>
        <v>0.02</v>
      </c>
      <c r="Z126" s="292">
        <f t="shared" si="59"/>
        <v>0.02</v>
      </c>
      <c r="AA126" s="300"/>
      <c r="AB126" s="191">
        <f t="shared" si="60"/>
        <v>0.02</v>
      </c>
      <c r="AC126" s="139">
        <f t="shared" si="61"/>
        <v>9.5913040173469216E-2</v>
      </c>
      <c r="AD126" s="132">
        <f t="shared" si="62"/>
        <v>65.472322085167406</v>
      </c>
      <c r="AE126" s="168">
        <f t="shared" si="63"/>
        <v>0.87793117052066938</v>
      </c>
      <c r="AF126" s="192">
        <f t="shared" si="64"/>
        <v>0</v>
      </c>
      <c r="AG126" s="192">
        <f t="shared" si="74"/>
        <v>1.4241266211589212</v>
      </c>
      <c r="AH126" s="192">
        <f t="shared" si="65"/>
        <v>1.6967927889840138</v>
      </c>
      <c r="AI126" s="168">
        <f t="shared" si="66"/>
        <v>7.3035231241113454</v>
      </c>
      <c r="AJ126" s="192">
        <f t="shared" si="67"/>
        <v>2.4078329100717255</v>
      </c>
      <c r="AK126" s="132">
        <f t="shared" si="68"/>
        <v>87.905564621840952</v>
      </c>
      <c r="AL126" s="192">
        <f t="shared" si="69"/>
        <v>1.2449875226721485</v>
      </c>
      <c r="AM126" s="192">
        <f t="shared" si="75"/>
        <v>0</v>
      </c>
      <c r="AN126" s="192">
        <f t="shared" si="70"/>
        <v>0</v>
      </c>
      <c r="AO126" s="192">
        <f t="shared" si="76"/>
        <v>0</v>
      </c>
      <c r="AS126" s="132"/>
      <c r="AT126" s="132"/>
      <c r="AU126" s="200"/>
      <c r="AV126" s="132"/>
      <c r="AW126" s="132"/>
      <c r="AX126" s="132"/>
      <c r="AY126" s="132"/>
      <c r="AZ126" s="132"/>
      <c r="BA126" s="167"/>
      <c r="BB126" s="167"/>
      <c r="BD126" s="211">
        <f t="shared" si="71"/>
        <v>42531</v>
      </c>
      <c r="BE126" s="210">
        <v>1</v>
      </c>
      <c r="BF126" s="209">
        <v>0.5</v>
      </c>
      <c r="BG126" s="209">
        <v>2</v>
      </c>
      <c r="BH126" s="210"/>
      <c r="BI126" s="209"/>
      <c r="BJ126" s="209"/>
      <c r="BK126" s="168">
        <f t="shared" si="72"/>
        <v>0.02</v>
      </c>
      <c r="BL126" s="168">
        <f t="shared" si="73"/>
        <v>9.5913040173469216E-2</v>
      </c>
    </row>
    <row r="127" spans="1:64" ht="13.5" thickBot="1" x14ac:dyDescent="0.25">
      <c r="A127" s="215">
        <f t="shared" si="77"/>
        <v>42532</v>
      </c>
      <c r="B127" s="190"/>
      <c r="C127" s="168"/>
      <c r="D127" s="198"/>
      <c r="E127" s="132">
        <f t="shared" si="41"/>
        <v>1975.0831985635255</v>
      </c>
      <c r="F127" s="168">
        <f t="shared" si="42"/>
        <v>807.13654545394945</v>
      </c>
      <c r="G127" s="300"/>
      <c r="H127" s="127">
        <f>VLOOKUP(MONTH(A127),ETP_Parametros!$A$6:$D$17,4,FALSE)</f>
        <v>1.8333333333333333</v>
      </c>
      <c r="I127" s="230">
        <f>VLOOKUP(A127,P_Q_obs!$A$4:$F$308,6,FALSE)*1</f>
        <v>0.22</v>
      </c>
      <c r="J127" s="230">
        <f t="shared" si="43"/>
        <v>0.22</v>
      </c>
      <c r="K127" s="230">
        <f t="shared" si="44"/>
        <v>0.22</v>
      </c>
      <c r="L127" s="230">
        <f t="shared" si="45"/>
        <v>0.22</v>
      </c>
      <c r="M127" s="230">
        <f t="shared" si="46"/>
        <v>0.22</v>
      </c>
      <c r="N127" s="230">
        <f t="shared" si="47"/>
        <v>0.22</v>
      </c>
      <c r="O127" s="230">
        <f t="shared" si="48"/>
        <v>0.22</v>
      </c>
      <c r="P127" s="230">
        <f t="shared" si="49"/>
        <v>0.22</v>
      </c>
      <c r="Q127" s="230">
        <f t="shared" si="50"/>
        <v>0.22</v>
      </c>
      <c r="R127" s="230">
        <f t="shared" si="51"/>
        <v>0.22</v>
      </c>
      <c r="S127" s="230">
        <f t="shared" si="52"/>
        <v>0.22</v>
      </c>
      <c r="T127" s="230">
        <f t="shared" si="53"/>
        <v>0.22</v>
      </c>
      <c r="U127" s="230">
        <f t="shared" si="54"/>
        <v>0.22</v>
      </c>
      <c r="V127" s="230">
        <f t="shared" si="55"/>
        <v>0.22</v>
      </c>
      <c r="W127" s="230">
        <f t="shared" si="56"/>
        <v>0.22</v>
      </c>
      <c r="X127" s="230">
        <f t="shared" si="57"/>
        <v>0.22</v>
      </c>
      <c r="Y127" s="230">
        <f t="shared" si="58"/>
        <v>0.22</v>
      </c>
      <c r="Z127" s="292">
        <f t="shared" si="59"/>
        <v>0.22</v>
      </c>
      <c r="AA127" s="300"/>
      <c r="AB127" s="191">
        <f t="shared" si="60"/>
        <v>0.21999999999999995</v>
      </c>
      <c r="AC127" s="139">
        <f t="shared" si="61"/>
        <v>0.11425873203484921</v>
      </c>
      <c r="AD127" s="132">
        <f t="shared" si="62"/>
        <v>62.752848139658916</v>
      </c>
      <c r="AE127" s="168">
        <f t="shared" si="63"/>
        <v>0.83915962361341756</v>
      </c>
      <c r="AF127" s="192">
        <f t="shared" si="64"/>
        <v>0</v>
      </c>
      <c r="AG127" s="192">
        <f t="shared" si="74"/>
        <v>1.3684202506286542</v>
      </c>
      <c r="AH127" s="192">
        <f t="shared" si="65"/>
        <v>1.4653124269146887</v>
      </c>
      <c r="AI127" s="168">
        <f t="shared" si="66"/>
        <v>5.4926881309543383</v>
      </c>
      <c r="AJ127" s="192">
        <f t="shared" si="67"/>
        <v>1.8108349931570071</v>
      </c>
      <c r="AK127" s="132">
        <f t="shared" si="68"/>
        <v>88.119457647987218</v>
      </c>
      <c r="AL127" s="192">
        <f t="shared" si="69"/>
        <v>1.2514194007684247</v>
      </c>
      <c r="AM127" s="192">
        <f t="shared" si="75"/>
        <v>0</v>
      </c>
      <c r="AN127" s="192">
        <f t="shared" si="70"/>
        <v>0</v>
      </c>
      <c r="AO127" s="192">
        <f t="shared" si="76"/>
        <v>0</v>
      </c>
      <c r="AS127" s="132"/>
      <c r="AT127" s="132"/>
      <c r="AU127" s="200"/>
      <c r="AV127" s="132"/>
      <c r="AW127" s="132"/>
      <c r="AX127" s="132"/>
      <c r="AY127" s="132"/>
      <c r="AZ127" s="132"/>
      <c r="BA127" s="167"/>
      <c r="BB127" s="167"/>
      <c r="BD127" s="211">
        <f t="shared" si="71"/>
        <v>42532</v>
      </c>
      <c r="BE127" s="210">
        <v>1</v>
      </c>
      <c r="BF127" s="209">
        <v>0.5</v>
      </c>
      <c r="BG127" s="209">
        <v>2</v>
      </c>
      <c r="BH127" s="210"/>
      <c r="BI127" s="209"/>
      <c r="BJ127" s="209"/>
      <c r="BK127" s="168">
        <f t="shared" si="72"/>
        <v>0.22</v>
      </c>
      <c r="BL127" s="168">
        <f t="shared" si="73"/>
        <v>0.11425873203484921</v>
      </c>
    </row>
    <row r="128" spans="1:64" ht="13.5" thickBot="1" x14ac:dyDescent="0.25">
      <c r="A128" s="215">
        <f t="shared" si="77"/>
        <v>42533</v>
      </c>
      <c r="B128" s="190"/>
      <c r="C128" s="168"/>
      <c r="D128" s="198"/>
      <c r="E128" s="132">
        <f t="shared" ref="E128:E191" si="78">(AJ128+AL128+AO128)*Y$9/86.4</f>
        <v>1687.4665259029182</v>
      </c>
      <c r="F128" s="168">
        <f t="shared" ref="F128:F191" si="79">(AL128*$Y$9)/86.4</f>
        <v>809.10048117250233</v>
      </c>
      <c r="G128" s="300"/>
      <c r="H128" s="127">
        <f>VLOOKUP(MONTH(A128),ETP_Parametros!$A$6:$D$17,4,FALSE)</f>
        <v>1.8333333333333333</v>
      </c>
      <c r="I128" s="230">
        <f>VLOOKUP(A128,P_Q_obs!$A$4:$F$308,6,FALSE)*1</f>
        <v>0.12</v>
      </c>
      <c r="J128" s="230">
        <f t="shared" ref="J128:J191" si="80">I128</f>
        <v>0.12</v>
      </c>
      <c r="K128" s="230">
        <f t="shared" ref="K128:K191" si="81">J128</f>
        <v>0.12</v>
      </c>
      <c r="L128" s="230">
        <f t="shared" ref="L128:L191" si="82">K128</f>
        <v>0.12</v>
      </c>
      <c r="M128" s="230">
        <f t="shared" ref="M128:M191" si="83">L128</f>
        <v>0.12</v>
      </c>
      <c r="N128" s="230">
        <f t="shared" ref="N128:N191" si="84">M128</f>
        <v>0.12</v>
      </c>
      <c r="O128" s="230">
        <f t="shared" ref="O128:O191" si="85">N128</f>
        <v>0.12</v>
      </c>
      <c r="P128" s="230">
        <f t="shared" ref="P128:P191" si="86">O128</f>
        <v>0.12</v>
      </c>
      <c r="Q128" s="230">
        <f t="shared" ref="Q128:Q191" si="87">P128</f>
        <v>0.12</v>
      </c>
      <c r="R128" s="230">
        <f t="shared" ref="R128:R191" si="88">Q128</f>
        <v>0.12</v>
      </c>
      <c r="S128" s="230">
        <f t="shared" ref="S128:S191" si="89">R128</f>
        <v>0.12</v>
      </c>
      <c r="T128" s="230">
        <f t="shared" ref="T128:T191" si="90">S128</f>
        <v>0.12</v>
      </c>
      <c r="U128" s="230">
        <f t="shared" ref="U128:U191" si="91">T128</f>
        <v>0.12</v>
      </c>
      <c r="V128" s="230">
        <f t="shared" ref="V128:V191" si="92">U128</f>
        <v>0.12</v>
      </c>
      <c r="W128" s="230">
        <f t="shared" ref="W128:W191" si="93">V128</f>
        <v>0.12</v>
      </c>
      <c r="X128" s="230">
        <f t="shared" ref="X128:X191" si="94">W128</f>
        <v>0.12</v>
      </c>
      <c r="Y128" s="230">
        <f t="shared" ref="Y128:Y191" si="95">X128</f>
        <v>0.12</v>
      </c>
      <c r="Z128" s="292">
        <f t="shared" ref="Z128:Z191" si="96">Y128</f>
        <v>0.12</v>
      </c>
      <c r="AA128" s="300"/>
      <c r="AB128" s="191">
        <f t="shared" ref="AB128:AB191" si="97">SUMPRODUCT($I$17:$Z$17,I128:Z128)</f>
        <v>0.12000000000000001</v>
      </c>
      <c r="AC128" s="139">
        <f t="shared" ref="AC128:AC191" si="98">(AB125*$J$5+AB126*$J$6+AB127*$J$7+AB128*$J$8+AB129*$J$9)*BE128</f>
        <v>0.19397892504126635</v>
      </c>
      <c r="AD128" s="132">
        <f t="shared" ref="AD128:AD191" si="99">AD127+AC128-AF128-AG128-AH128</f>
        <v>60.345339041720614</v>
      </c>
      <c r="AE128" s="168">
        <f t="shared" ref="AE128:AE191" si="100">AD127/$O$5</f>
        <v>0.80430408985717106</v>
      </c>
      <c r="AF128" s="192">
        <f t="shared" ref="AF128:AF191" si="101">IF(AC128&gt;O$8,(AC128-O$8)^2/(AC128-O$8+O$5-AD127),0)</f>
        <v>0</v>
      </c>
      <c r="AG128" s="192">
        <f t="shared" si="74"/>
        <v>1.3319280151637876</v>
      </c>
      <c r="AH128" s="192">
        <f t="shared" ref="AH128:AH191" si="102">IF(AD127&gt;(P$9*O$5),(P$7*AE128*(AD127-(P$9*O$5))),0)</f>
        <v>1.2695600078157756</v>
      </c>
      <c r="AI128" s="168">
        <f t="shared" ref="AI128:AI191" si="103">AI127+AF128-AJ128</f>
        <v>4.1308314345342128</v>
      </c>
      <c r="AJ128" s="192">
        <f t="shared" ref="AJ128:AJ191" si="104">(AI127+AF128)*(1-P$6)</f>
        <v>1.3618566964201257</v>
      </c>
      <c r="AK128" s="132">
        <f t="shared" ref="AK128:AK191" si="105">AK127-AL128+AH128</f>
        <v>88.134553284175666</v>
      </c>
      <c r="AL128" s="192">
        <f t="shared" ref="AL128:AL191" si="106">AK127*(1-P$10)</f>
        <v>1.2544643716273232</v>
      </c>
      <c r="AM128" s="192">
        <f t="shared" si="75"/>
        <v>0</v>
      </c>
      <c r="AN128" s="192">
        <f t="shared" ref="AN128:AN191" si="107">AN127+AM128-AO128</f>
        <v>0</v>
      </c>
      <c r="AO128" s="192">
        <f t="shared" si="76"/>
        <v>0</v>
      </c>
      <c r="AS128" s="132"/>
      <c r="AT128" s="132"/>
      <c r="AU128" s="200"/>
      <c r="AV128" s="132"/>
      <c r="AW128" s="132"/>
      <c r="AX128" s="132"/>
      <c r="AY128" s="132"/>
      <c r="AZ128" s="132"/>
      <c r="BA128" s="167"/>
      <c r="BB128" s="167"/>
      <c r="BD128" s="211">
        <f t="shared" ref="BD128:BD191" si="108">A128</f>
        <v>42533</v>
      </c>
      <c r="BE128" s="210">
        <v>1</v>
      </c>
      <c r="BF128" s="209">
        <v>0.5</v>
      </c>
      <c r="BG128" s="209">
        <v>2</v>
      </c>
      <c r="BH128" s="210"/>
      <c r="BI128" s="209"/>
      <c r="BJ128" s="209"/>
      <c r="BK128" s="168">
        <f t="shared" ref="BK128:BK191" si="109">I128</f>
        <v>0.12</v>
      </c>
      <c r="BL128" s="168">
        <f t="shared" ref="BL128:BL191" si="110">AC128</f>
        <v>0.19397892504126635</v>
      </c>
    </row>
    <row r="129" spans="1:64" ht="13.5" thickBot="1" x14ac:dyDescent="0.25">
      <c r="A129" s="215">
        <f t="shared" si="77"/>
        <v>42534</v>
      </c>
      <c r="B129" s="190"/>
      <c r="C129" s="168"/>
      <c r="D129" s="198"/>
      <c r="E129" s="132">
        <f t="shared" si="78"/>
        <v>1469.8231185526186</v>
      </c>
      <c r="F129" s="168">
        <f t="shared" si="79"/>
        <v>809.23908718336179</v>
      </c>
      <c r="G129" s="300"/>
      <c r="H129" s="127">
        <f>VLOOKUP(MONTH(A129),ETP_Parametros!$A$6:$D$17,4,FALSE)</f>
        <v>1.8333333333333333</v>
      </c>
      <c r="I129" s="230">
        <f>VLOOKUP(A129,P_Q_obs!$A$4:$F$308,6,FALSE)*1</f>
        <v>0.28000000000000003</v>
      </c>
      <c r="J129" s="230">
        <f t="shared" si="80"/>
        <v>0.28000000000000003</v>
      </c>
      <c r="K129" s="230">
        <f t="shared" si="81"/>
        <v>0.28000000000000003</v>
      </c>
      <c r="L129" s="230">
        <f t="shared" si="82"/>
        <v>0.28000000000000003</v>
      </c>
      <c r="M129" s="230">
        <f t="shared" si="83"/>
        <v>0.28000000000000003</v>
      </c>
      <c r="N129" s="230">
        <f t="shared" si="84"/>
        <v>0.28000000000000003</v>
      </c>
      <c r="O129" s="230">
        <f t="shared" si="85"/>
        <v>0.28000000000000003</v>
      </c>
      <c r="P129" s="230">
        <f t="shared" si="86"/>
        <v>0.28000000000000003</v>
      </c>
      <c r="Q129" s="230">
        <f t="shared" si="87"/>
        <v>0.28000000000000003</v>
      </c>
      <c r="R129" s="230">
        <f t="shared" si="88"/>
        <v>0.28000000000000003</v>
      </c>
      <c r="S129" s="230">
        <f t="shared" si="89"/>
        <v>0.28000000000000003</v>
      </c>
      <c r="T129" s="230">
        <f t="shared" si="90"/>
        <v>0.28000000000000003</v>
      </c>
      <c r="U129" s="230">
        <f t="shared" si="91"/>
        <v>0.28000000000000003</v>
      </c>
      <c r="V129" s="230">
        <f t="shared" si="92"/>
        <v>0.28000000000000003</v>
      </c>
      <c r="W129" s="230">
        <f t="shared" si="93"/>
        <v>0.28000000000000003</v>
      </c>
      <c r="X129" s="230">
        <f t="shared" si="94"/>
        <v>0.28000000000000003</v>
      </c>
      <c r="Y129" s="230">
        <f t="shared" si="95"/>
        <v>0.28000000000000003</v>
      </c>
      <c r="Z129" s="292">
        <f t="shared" si="96"/>
        <v>0.28000000000000003</v>
      </c>
      <c r="AA129" s="300"/>
      <c r="AB129" s="191">
        <f t="shared" si="97"/>
        <v>0.27999999999999992</v>
      </c>
      <c r="AC129" s="139">
        <f t="shared" si="98"/>
        <v>0.42740880229683176</v>
      </c>
      <c r="AD129" s="132">
        <f t="shared" si="99"/>
        <v>58.325573229261444</v>
      </c>
      <c r="AE129" s="168">
        <f t="shared" si="100"/>
        <v>0.77344701370453717</v>
      </c>
      <c r="AF129" s="192">
        <f t="shared" si="101"/>
        <v>0</v>
      </c>
      <c r="AG129" s="192">
        <f t="shared" si="74"/>
        <v>1.3411549052056988</v>
      </c>
      <c r="AH129" s="192">
        <f t="shared" si="102"/>
        <v>1.1060197095503019</v>
      </c>
      <c r="AI129" s="168">
        <f t="shared" si="103"/>
        <v>3.1066333885538122</v>
      </c>
      <c r="AJ129" s="192">
        <f t="shared" si="104"/>
        <v>1.0241980459804005</v>
      </c>
      <c r="AK129" s="132">
        <f t="shared" si="105"/>
        <v>87.985893721346059</v>
      </c>
      <c r="AL129" s="192">
        <f t="shared" si="106"/>
        <v>1.2546792723799027</v>
      </c>
      <c r="AM129" s="192">
        <f t="shared" si="75"/>
        <v>0</v>
      </c>
      <c r="AN129" s="192">
        <f t="shared" si="107"/>
        <v>0</v>
      </c>
      <c r="AO129" s="192">
        <f t="shared" si="76"/>
        <v>0</v>
      </c>
      <c r="AS129" s="132"/>
      <c r="AT129" s="132"/>
      <c r="AU129" s="200"/>
      <c r="AV129" s="132"/>
      <c r="AW129" s="132"/>
      <c r="AX129" s="132"/>
      <c r="AY129" s="132"/>
      <c r="AZ129" s="132"/>
      <c r="BA129" s="167"/>
      <c r="BB129" s="167"/>
      <c r="BD129" s="211">
        <f t="shared" si="108"/>
        <v>42534</v>
      </c>
      <c r="BE129" s="210">
        <v>1</v>
      </c>
      <c r="BF129" s="209">
        <v>0.5</v>
      </c>
      <c r="BG129" s="209">
        <v>2</v>
      </c>
      <c r="BH129" s="210"/>
      <c r="BI129" s="209"/>
      <c r="BJ129" s="209"/>
      <c r="BK129" s="168">
        <f t="shared" si="109"/>
        <v>0.28000000000000003</v>
      </c>
      <c r="BL129" s="168">
        <f t="shared" si="110"/>
        <v>0.42740880229683176</v>
      </c>
    </row>
    <row r="130" spans="1:64" ht="13.5" thickBot="1" x14ac:dyDescent="0.25">
      <c r="A130" s="215">
        <f t="shared" si="77"/>
        <v>42535</v>
      </c>
      <c r="B130" s="190"/>
      <c r="C130" s="168"/>
      <c r="D130" s="198"/>
      <c r="E130" s="132">
        <f t="shared" si="78"/>
        <v>1304.6729905509453</v>
      </c>
      <c r="F130" s="168">
        <f t="shared" si="79"/>
        <v>807.87411596103755</v>
      </c>
      <c r="G130" s="300"/>
      <c r="H130" s="127">
        <f>VLOOKUP(MONTH(A130),ETP_Parametros!$A$6:$D$17,4,FALSE)</f>
        <v>1.8333333333333333</v>
      </c>
      <c r="I130" s="230">
        <f>VLOOKUP(A130,P_Q_obs!$A$4:$F$308,6,FALSE)*1</f>
        <v>1.3</v>
      </c>
      <c r="J130" s="230">
        <f t="shared" si="80"/>
        <v>1.3</v>
      </c>
      <c r="K130" s="230">
        <f t="shared" si="81"/>
        <v>1.3</v>
      </c>
      <c r="L130" s="230">
        <f t="shared" si="82"/>
        <v>1.3</v>
      </c>
      <c r="M130" s="230">
        <f t="shared" si="83"/>
        <v>1.3</v>
      </c>
      <c r="N130" s="230">
        <f t="shared" si="84"/>
        <v>1.3</v>
      </c>
      <c r="O130" s="230">
        <f t="shared" si="85"/>
        <v>1.3</v>
      </c>
      <c r="P130" s="230">
        <f t="shared" si="86"/>
        <v>1.3</v>
      </c>
      <c r="Q130" s="230">
        <f t="shared" si="87"/>
        <v>1.3</v>
      </c>
      <c r="R130" s="230">
        <f t="shared" si="88"/>
        <v>1.3</v>
      </c>
      <c r="S130" s="230">
        <f t="shared" si="89"/>
        <v>1.3</v>
      </c>
      <c r="T130" s="230">
        <f t="shared" si="90"/>
        <v>1.3</v>
      </c>
      <c r="U130" s="230">
        <f t="shared" si="91"/>
        <v>1.3</v>
      </c>
      <c r="V130" s="230">
        <f t="shared" si="92"/>
        <v>1.3</v>
      </c>
      <c r="W130" s="230">
        <f t="shared" si="93"/>
        <v>1.3</v>
      </c>
      <c r="X130" s="230">
        <f t="shared" si="94"/>
        <v>1.3</v>
      </c>
      <c r="Y130" s="230">
        <f t="shared" si="95"/>
        <v>1.3</v>
      </c>
      <c r="Z130" s="292">
        <f t="shared" si="96"/>
        <v>1.3</v>
      </c>
      <c r="AA130" s="300"/>
      <c r="AB130" s="191">
        <f t="shared" si="97"/>
        <v>1.2999999999999996</v>
      </c>
      <c r="AC130" s="139">
        <f t="shared" si="98"/>
        <v>1.7200191888562764</v>
      </c>
      <c r="AD130" s="132">
        <f t="shared" si="99"/>
        <v>57.432827183053625</v>
      </c>
      <c r="AE130" s="168">
        <f t="shared" si="100"/>
        <v>0.74755964840281885</v>
      </c>
      <c r="AF130" s="192">
        <f t="shared" si="101"/>
        <v>0</v>
      </c>
      <c r="AG130" s="192">
        <f t="shared" si="74"/>
        <v>1.6368787328432557</v>
      </c>
      <c r="AH130" s="192">
        <f t="shared" si="102"/>
        <v>0.97588650222084006</v>
      </c>
      <c r="AI130" s="168">
        <f t="shared" si="103"/>
        <v>2.336374931737101</v>
      </c>
      <c r="AJ130" s="192">
        <f t="shared" si="104"/>
        <v>0.77025845681671146</v>
      </c>
      <c r="AK130" s="132">
        <f t="shared" si="105"/>
        <v>87.709217261591633</v>
      </c>
      <c r="AL130" s="192">
        <f t="shared" si="106"/>
        <v>1.2525629619752654</v>
      </c>
      <c r="AM130" s="192">
        <f t="shared" si="75"/>
        <v>0</v>
      </c>
      <c r="AN130" s="192">
        <f t="shared" si="107"/>
        <v>0</v>
      </c>
      <c r="AO130" s="192">
        <f t="shared" si="76"/>
        <v>0</v>
      </c>
      <c r="AS130" s="132"/>
      <c r="AT130" s="132"/>
      <c r="AU130" s="200"/>
      <c r="AV130" s="132"/>
      <c r="AW130" s="132"/>
      <c r="AX130" s="132"/>
      <c r="AY130" s="132"/>
      <c r="AZ130" s="132"/>
      <c r="BA130" s="167"/>
      <c r="BB130" s="167"/>
      <c r="BD130" s="211">
        <f t="shared" si="108"/>
        <v>42535</v>
      </c>
      <c r="BE130" s="210">
        <v>1</v>
      </c>
      <c r="BF130" s="209">
        <v>0.5</v>
      </c>
      <c r="BG130" s="209">
        <v>2</v>
      </c>
      <c r="BH130" s="210"/>
      <c r="BI130" s="209"/>
      <c r="BJ130" s="209"/>
      <c r="BK130" s="168">
        <f t="shared" si="109"/>
        <v>1.3</v>
      </c>
      <c r="BL130" s="168">
        <f t="shared" si="110"/>
        <v>1.7200191888562764</v>
      </c>
    </row>
    <row r="131" spans="1:64" ht="13.5" thickBot="1" x14ac:dyDescent="0.25">
      <c r="A131" s="215">
        <f t="shared" si="77"/>
        <v>42536</v>
      </c>
      <c r="B131" s="190"/>
      <c r="C131" s="168"/>
      <c r="D131" s="198"/>
      <c r="E131" s="132">
        <f t="shared" si="78"/>
        <v>1187.9482242448214</v>
      </c>
      <c r="F131" s="168">
        <f t="shared" si="79"/>
        <v>805.33371157486135</v>
      </c>
      <c r="G131" s="300"/>
      <c r="H131" s="127">
        <f>VLOOKUP(MONTH(A131),ETP_Parametros!$A$6:$D$17,4,FALSE)</f>
        <v>1.8333333333333333</v>
      </c>
      <c r="I131" s="230">
        <f>VLOOKUP(A131,P_Q_obs!$A$4:$F$308,6,FALSE)*1</f>
        <v>5.31</v>
      </c>
      <c r="J131" s="230">
        <f t="shared" si="80"/>
        <v>5.31</v>
      </c>
      <c r="K131" s="230">
        <f t="shared" si="81"/>
        <v>5.31</v>
      </c>
      <c r="L131" s="230">
        <f t="shared" si="82"/>
        <v>5.31</v>
      </c>
      <c r="M131" s="230">
        <f t="shared" si="83"/>
        <v>5.31</v>
      </c>
      <c r="N131" s="230">
        <f t="shared" si="84"/>
        <v>5.31</v>
      </c>
      <c r="O131" s="230">
        <f t="shared" si="85"/>
        <v>5.31</v>
      </c>
      <c r="P131" s="230">
        <f t="shared" si="86"/>
        <v>5.31</v>
      </c>
      <c r="Q131" s="230">
        <f t="shared" si="87"/>
        <v>5.31</v>
      </c>
      <c r="R131" s="230">
        <f t="shared" si="88"/>
        <v>5.31</v>
      </c>
      <c r="S131" s="230">
        <f t="shared" si="89"/>
        <v>5.31</v>
      </c>
      <c r="T131" s="230">
        <f t="shared" si="90"/>
        <v>5.31</v>
      </c>
      <c r="U131" s="230">
        <f t="shared" si="91"/>
        <v>5.31</v>
      </c>
      <c r="V131" s="230">
        <f t="shared" si="92"/>
        <v>5.31</v>
      </c>
      <c r="W131" s="230">
        <f t="shared" si="93"/>
        <v>5.31</v>
      </c>
      <c r="X131" s="230">
        <f t="shared" si="94"/>
        <v>5.31</v>
      </c>
      <c r="Y131" s="230">
        <f t="shared" si="95"/>
        <v>5.31</v>
      </c>
      <c r="Z131" s="292">
        <f t="shared" si="96"/>
        <v>5.31</v>
      </c>
      <c r="AA131" s="300"/>
      <c r="AB131" s="191">
        <f t="shared" si="97"/>
        <v>5.31</v>
      </c>
      <c r="AC131" s="139">
        <f t="shared" si="98"/>
        <v>3.1044336679282964</v>
      </c>
      <c r="AD131" s="132">
        <f t="shared" si="99"/>
        <v>57.951806112607322</v>
      </c>
      <c r="AE131" s="168">
        <f t="shared" si="100"/>
        <v>0.7361173104459704</v>
      </c>
      <c r="AF131" s="192">
        <f t="shared" si="101"/>
        <v>5.622915978168716E-2</v>
      </c>
      <c r="AG131" s="192">
        <f t="shared" si="74"/>
        <v>1.6088033732479132</v>
      </c>
      <c r="AH131" s="192">
        <f t="shared" si="102"/>
        <v>0.92042220534499541</v>
      </c>
      <c r="AI131" s="168">
        <f t="shared" si="103"/>
        <v>1.799382006770474</v>
      </c>
      <c r="AJ131" s="192">
        <f t="shared" si="104"/>
        <v>0.59322208474831406</v>
      </c>
      <c r="AK131" s="132">
        <f t="shared" si="105"/>
        <v>87.381015257769121</v>
      </c>
      <c r="AL131" s="192">
        <f t="shared" si="106"/>
        <v>1.2486242091674984</v>
      </c>
      <c r="AM131" s="192">
        <f t="shared" si="75"/>
        <v>0</v>
      </c>
      <c r="AN131" s="192">
        <f t="shared" si="107"/>
        <v>0</v>
      </c>
      <c r="AO131" s="192">
        <f t="shared" si="76"/>
        <v>0</v>
      </c>
      <c r="AS131" s="132"/>
      <c r="AT131" s="132"/>
      <c r="AU131" s="200"/>
      <c r="AV131" s="132"/>
      <c r="AW131" s="132"/>
      <c r="AX131" s="132"/>
      <c r="AY131" s="132"/>
      <c r="AZ131" s="132"/>
      <c r="BA131" s="167"/>
      <c r="BB131" s="167"/>
      <c r="BD131" s="211">
        <f t="shared" si="108"/>
        <v>42536</v>
      </c>
      <c r="BE131" s="210">
        <v>1</v>
      </c>
      <c r="BF131" s="209">
        <v>0.5</v>
      </c>
      <c r="BG131" s="209">
        <v>2</v>
      </c>
      <c r="BH131" s="210"/>
      <c r="BI131" s="209"/>
      <c r="BJ131" s="209"/>
      <c r="BK131" s="168">
        <f t="shared" si="109"/>
        <v>5.31</v>
      </c>
      <c r="BL131" s="168">
        <f t="shared" si="110"/>
        <v>3.1044336679282964</v>
      </c>
    </row>
    <row r="132" spans="1:64" ht="13.5" thickBot="1" x14ac:dyDescent="0.25">
      <c r="A132" s="215">
        <f t="shared" si="77"/>
        <v>42537</v>
      </c>
      <c r="B132" s="190"/>
      <c r="C132" s="168"/>
      <c r="D132" s="198"/>
      <c r="E132" s="132">
        <f t="shared" si="78"/>
        <v>1103.7001415834798</v>
      </c>
      <c r="F132" s="168">
        <f t="shared" si="79"/>
        <v>802.32020688131945</v>
      </c>
      <c r="G132" s="300"/>
      <c r="H132" s="127">
        <f>VLOOKUP(MONTH(A132),ETP_Parametros!$A$6:$D$17,4,FALSE)</f>
        <v>1.8333333333333333</v>
      </c>
      <c r="I132" s="230">
        <f>VLOOKUP(A132,P_Q_obs!$A$4:$F$308,6,FALSE)*1</f>
        <v>3.14</v>
      </c>
      <c r="J132" s="230">
        <f t="shared" si="80"/>
        <v>3.14</v>
      </c>
      <c r="K132" s="230">
        <f t="shared" si="81"/>
        <v>3.14</v>
      </c>
      <c r="L132" s="230">
        <f t="shared" si="82"/>
        <v>3.14</v>
      </c>
      <c r="M132" s="230">
        <f t="shared" si="83"/>
        <v>3.14</v>
      </c>
      <c r="N132" s="230">
        <f t="shared" si="84"/>
        <v>3.14</v>
      </c>
      <c r="O132" s="230">
        <f t="shared" si="85"/>
        <v>3.14</v>
      </c>
      <c r="P132" s="230">
        <f t="shared" si="86"/>
        <v>3.14</v>
      </c>
      <c r="Q132" s="230">
        <f t="shared" si="87"/>
        <v>3.14</v>
      </c>
      <c r="R132" s="230">
        <f t="shared" si="88"/>
        <v>3.14</v>
      </c>
      <c r="S132" s="230">
        <f t="shared" si="89"/>
        <v>3.14</v>
      </c>
      <c r="T132" s="230">
        <f t="shared" si="90"/>
        <v>3.14</v>
      </c>
      <c r="U132" s="230">
        <f t="shared" si="91"/>
        <v>3.14</v>
      </c>
      <c r="V132" s="230">
        <f t="shared" si="92"/>
        <v>3.14</v>
      </c>
      <c r="W132" s="230">
        <f t="shared" si="93"/>
        <v>3.14</v>
      </c>
      <c r="X132" s="230">
        <f t="shared" si="94"/>
        <v>3.14</v>
      </c>
      <c r="Y132" s="230">
        <f t="shared" si="95"/>
        <v>3.14</v>
      </c>
      <c r="Z132" s="292">
        <f t="shared" si="96"/>
        <v>3.14</v>
      </c>
      <c r="AA132" s="300"/>
      <c r="AB132" s="191">
        <f t="shared" si="97"/>
        <v>3.140000000000001</v>
      </c>
      <c r="AC132" s="139">
        <f t="shared" si="98"/>
        <v>3.3512419395135078</v>
      </c>
      <c r="AD132" s="132">
        <f t="shared" si="99"/>
        <v>58.656495070328674</v>
      </c>
      <c r="AE132" s="168">
        <f t="shared" si="100"/>
        <v>0.7427690702937586</v>
      </c>
      <c r="AF132" s="192">
        <f t="shared" si="101"/>
        <v>8.5237737102269423E-2</v>
      </c>
      <c r="AG132" s="192">
        <f t="shared" si="74"/>
        <v>1.6088033732479132</v>
      </c>
      <c r="AH132" s="192">
        <f t="shared" si="102"/>
        <v>0.95251187144196747</v>
      </c>
      <c r="AI132" s="168">
        <f t="shared" si="103"/>
        <v>1.4173472614001692</v>
      </c>
      <c r="AJ132" s="192">
        <f t="shared" si="104"/>
        <v>0.4672724824725743</v>
      </c>
      <c r="AK132" s="132">
        <f t="shared" si="105"/>
        <v>87.089575188024824</v>
      </c>
      <c r="AL132" s="192">
        <f t="shared" si="106"/>
        <v>1.2439519411862685</v>
      </c>
      <c r="AM132" s="192">
        <f t="shared" si="75"/>
        <v>0</v>
      </c>
      <c r="AN132" s="192">
        <f t="shared" si="107"/>
        <v>0</v>
      </c>
      <c r="AO132" s="192">
        <f t="shared" si="76"/>
        <v>0</v>
      </c>
      <c r="AS132" s="132"/>
      <c r="AT132" s="132"/>
      <c r="AU132" s="200"/>
      <c r="AV132" s="132"/>
      <c r="AW132" s="132"/>
      <c r="AX132" s="132"/>
      <c r="AY132" s="132"/>
      <c r="AZ132" s="132"/>
      <c r="BA132" s="167"/>
      <c r="BB132" s="167"/>
      <c r="BD132" s="211">
        <f t="shared" si="108"/>
        <v>42537</v>
      </c>
      <c r="BE132" s="210">
        <v>1</v>
      </c>
      <c r="BF132" s="209">
        <v>0.5</v>
      </c>
      <c r="BG132" s="209">
        <v>2</v>
      </c>
      <c r="BH132" s="210"/>
      <c r="BI132" s="209"/>
      <c r="BJ132" s="209"/>
      <c r="BK132" s="168">
        <f t="shared" si="109"/>
        <v>3.14</v>
      </c>
      <c r="BL132" s="168">
        <f t="shared" si="110"/>
        <v>3.3512419395135078</v>
      </c>
    </row>
    <row r="133" spans="1:64" ht="13.5" thickBot="1" x14ac:dyDescent="0.25">
      <c r="A133" s="215">
        <f t="shared" si="77"/>
        <v>42538</v>
      </c>
      <c r="B133" s="190"/>
      <c r="C133" s="168"/>
      <c r="D133" s="198"/>
      <c r="E133" s="132">
        <f t="shared" si="78"/>
        <v>1038.4816173892887</v>
      </c>
      <c r="F133" s="168">
        <f t="shared" si="79"/>
        <v>799.64424510219646</v>
      </c>
      <c r="G133" s="300"/>
      <c r="H133" s="127">
        <f>VLOOKUP(MONTH(A133),ETP_Parametros!$A$6:$D$17,4,FALSE)</f>
        <v>1.8333333333333333</v>
      </c>
      <c r="I133" s="230">
        <f>VLOOKUP(A133,P_Q_obs!$A$4:$F$308,6,FALSE)*1</f>
        <v>0.33</v>
      </c>
      <c r="J133" s="230">
        <f t="shared" si="80"/>
        <v>0.33</v>
      </c>
      <c r="K133" s="230">
        <f t="shared" si="81"/>
        <v>0.33</v>
      </c>
      <c r="L133" s="230">
        <f t="shared" si="82"/>
        <v>0.33</v>
      </c>
      <c r="M133" s="230">
        <f t="shared" si="83"/>
        <v>0.33</v>
      </c>
      <c r="N133" s="230">
        <f t="shared" si="84"/>
        <v>0.33</v>
      </c>
      <c r="O133" s="230">
        <f t="shared" si="85"/>
        <v>0.33</v>
      </c>
      <c r="P133" s="230">
        <f t="shared" si="86"/>
        <v>0.33</v>
      </c>
      <c r="Q133" s="230">
        <f t="shared" si="87"/>
        <v>0.33</v>
      </c>
      <c r="R133" s="230">
        <f t="shared" si="88"/>
        <v>0.33</v>
      </c>
      <c r="S133" s="230">
        <f t="shared" si="89"/>
        <v>0.33</v>
      </c>
      <c r="T133" s="230">
        <f t="shared" si="90"/>
        <v>0.33</v>
      </c>
      <c r="U133" s="230">
        <f t="shared" si="91"/>
        <v>0.33</v>
      </c>
      <c r="V133" s="230">
        <f t="shared" si="92"/>
        <v>0.33</v>
      </c>
      <c r="W133" s="230">
        <f t="shared" si="93"/>
        <v>0.33</v>
      </c>
      <c r="X133" s="230">
        <f t="shared" si="94"/>
        <v>0.33</v>
      </c>
      <c r="Y133" s="230">
        <f t="shared" si="95"/>
        <v>0.33</v>
      </c>
      <c r="Z133" s="292">
        <f t="shared" si="96"/>
        <v>0.33</v>
      </c>
      <c r="AA133" s="300"/>
      <c r="AB133" s="191">
        <f t="shared" si="97"/>
        <v>0.32999999999999996</v>
      </c>
      <c r="AC133" s="139">
        <f t="shared" si="98"/>
        <v>3.2532267753532627</v>
      </c>
      <c r="AD133" s="132">
        <f t="shared" si="99"/>
        <v>59.227977519066521</v>
      </c>
      <c r="AE133" s="168">
        <f t="shared" si="100"/>
        <v>0.75180107804440399</v>
      </c>
      <c r="AF133" s="192">
        <f t="shared" si="101"/>
        <v>7.6174952783628097E-2</v>
      </c>
      <c r="AG133" s="192">
        <f t="shared" si="74"/>
        <v>1.6088033732479132</v>
      </c>
      <c r="AH133" s="192">
        <f t="shared" si="102"/>
        <v>0.99676600058386478</v>
      </c>
      <c r="AI133" s="168">
        <f t="shared" si="103"/>
        <v>1.1232184248286528</v>
      </c>
      <c r="AJ133" s="192">
        <f t="shared" si="104"/>
        <v>0.37030378935514452</v>
      </c>
      <c r="AK133" s="132">
        <f t="shared" si="105"/>
        <v>86.846538174273732</v>
      </c>
      <c r="AL133" s="192">
        <f t="shared" si="106"/>
        <v>1.2398030143349563</v>
      </c>
      <c r="AM133" s="192">
        <f t="shared" si="75"/>
        <v>0</v>
      </c>
      <c r="AN133" s="192">
        <f t="shared" si="107"/>
        <v>0</v>
      </c>
      <c r="AO133" s="192">
        <f t="shared" si="76"/>
        <v>0</v>
      </c>
      <c r="AS133" s="132"/>
      <c r="AT133" s="132"/>
      <c r="AU133" s="200"/>
      <c r="AV133" s="132"/>
      <c r="AW133" s="132"/>
      <c r="AX133" s="132"/>
      <c r="AY133" s="132"/>
      <c r="AZ133" s="132"/>
      <c r="BA133" s="167"/>
      <c r="BB133" s="167"/>
      <c r="BD133" s="211">
        <f t="shared" si="108"/>
        <v>42538</v>
      </c>
      <c r="BE133" s="210">
        <v>1</v>
      </c>
      <c r="BF133" s="209">
        <v>0.5</v>
      </c>
      <c r="BG133" s="209">
        <v>2</v>
      </c>
      <c r="BH133" s="210"/>
      <c r="BI133" s="209"/>
      <c r="BJ133" s="209"/>
      <c r="BK133" s="168">
        <f t="shared" si="109"/>
        <v>0.33</v>
      </c>
      <c r="BL133" s="168">
        <f t="shared" si="110"/>
        <v>3.2532267753532627</v>
      </c>
    </row>
    <row r="134" spans="1:64" ht="13.5" thickBot="1" x14ac:dyDescent="0.25">
      <c r="A134" s="215">
        <f t="shared" si="77"/>
        <v>42539</v>
      </c>
      <c r="B134" s="190"/>
      <c r="C134" s="168"/>
      <c r="D134" s="198"/>
      <c r="E134" s="132">
        <f t="shared" si="78"/>
        <v>1003.1975341113729</v>
      </c>
      <c r="F134" s="168">
        <f t="shared" si="79"/>
        <v>797.41271338358035</v>
      </c>
      <c r="G134" s="300"/>
      <c r="H134" s="127">
        <f>VLOOKUP(MONTH(A134),ETP_Parametros!$A$6:$D$17,4,FALSE)</f>
        <v>1.8333333333333333</v>
      </c>
      <c r="I134" s="230">
        <f>VLOOKUP(A134,P_Q_obs!$A$4:$F$308,6,FALSE)*1</f>
        <v>8.58</v>
      </c>
      <c r="J134" s="230">
        <f t="shared" si="80"/>
        <v>8.58</v>
      </c>
      <c r="K134" s="230">
        <f t="shared" si="81"/>
        <v>8.58</v>
      </c>
      <c r="L134" s="230">
        <f t="shared" si="82"/>
        <v>8.58</v>
      </c>
      <c r="M134" s="230">
        <f t="shared" si="83"/>
        <v>8.58</v>
      </c>
      <c r="N134" s="230">
        <f t="shared" si="84"/>
        <v>8.58</v>
      </c>
      <c r="O134" s="230">
        <f t="shared" si="85"/>
        <v>8.58</v>
      </c>
      <c r="P134" s="230">
        <f t="shared" si="86"/>
        <v>8.58</v>
      </c>
      <c r="Q134" s="230">
        <f t="shared" si="87"/>
        <v>8.58</v>
      </c>
      <c r="R134" s="230">
        <f t="shared" si="88"/>
        <v>8.58</v>
      </c>
      <c r="S134" s="230">
        <f t="shared" si="89"/>
        <v>8.58</v>
      </c>
      <c r="T134" s="230">
        <f t="shared" si="90"/>
        <v>8.58</v>
      </c>
      <c r="U134" s="230">
        <f t="shared" si="91"/>
        <v>8.58</v>
      </c>
      <c r="V134" s="230">
        <f t="shared" si="92"/>
        <v>8.58</v>
      </c>
      <c r="W134" s="230">
        <f t="shared" si="93"/>
        <v>8.58</v>
      </c>
      <c r="X134" s="230">
        <f t="shared" si="94"/>
        <v>8.58</v>
      </c>
      <c r="Y134" s="230">
        <f t="shared" si="95"/>
        <v>8.58</v>
      </c>
      <c r="Z134" s="292">
        <f t="shared" si="96"/>
        <v>8.58</v>
      </c>
      <c r="AA134" s="300"/>
      <c r="AB134" s="191">
        <f t="shared" si="97"/>
        <v>8.58</v>
      </c>
      <c r="AC134" s="139">
        <f t="shared" si="98"/>
        <v>3.8372522376976761</v>
      </c>
      <c r="AD134" s="132">
        <f t="shared" si="99"/>
        <v>60.259578895095814</v>
      </c>
      <c r="AE134" s="168">
        <f t="shared" si="100"/>
        <v>0.75912577619640631</v>
      </c>
      <c r="AF134" s="192">
        <f t="shared" si="101"/>
        <v>0.16361620308438615</v>
      </c>
      <c r="AG134" s="192">
        <f t="shared" si="74"/>
        <v>1.6088033732479132</v>
      </c>
      <c r="AH134" s="192">
        <f t="shared" si="102"/>
        <v>1.0332312853360766</v>
      </c>
      <c r="AI134" s="168">
        <f t="shared" si="103"/>
        <v>0.967776943692365</v>
      </c>
      <c r="AJ134" s="192">
        <f t="shared" si="104"/>
        <v>0.31905768422067393</v>
      </c>
      <c r="AK134" s="132">
        <f t="shared" si="105"/>
        <v>86.643426308543127</v>
      </c>
      <c r="AL134" s="192">
        <f t="shared" si="106"/>
        <v>1.2363431510666716</v>
      </c>
      <c r="AM134" s="192">
        <f t="shared" si="75"/>
        <v>0</v>
      </c>
      <c r="AN134" s="192">
        <f t="shared" si="107"/>
        <v>0</v>
      </c>
      <c r="AO134" s="192">
        <f t="shared" si="76"/>
        <v>0</v>
      </c>
      <c r="AS134" s="132"/>
      <c r="AT134" s="132"/>
      <c r="AU134" s="200"/>
      <c r="AV134" s="132"/>
      <c r="AW134" s="132"/>
      <c r="AX134" s="132"/>
      <c r="AY134" s="132"/>
      <c r="AZ134" s="132"/>
      <c r="BA134" s="167"/>
      <c r="BB134" s="167"/>
      <c r="BD134" s="211">
        <f t="shared" si="108"/>
        <v>42539</v>
      </c>
      <c r="BE134" s="210">
        <v>1</v>
      </c>
      <c r="BF134" s="209">
        <v>0.5</v>
      </c>
      <c r="BG134" s="209">
        <v>2</v>
      </c>
      <c r="BH134" s="210"/>
      <c r="BI134" s="209"/>
      <c r="BJ134" s="209"/>
      <c r="BK134" s="168">
        <f t="shared" si="109"/>
        <v>8.58</v>
      </c>
      <c r="BL134" s="168">
        <f t="shared" si="110"/>
        <v>3.8372522376976761</v>
      </c>
    </row>
    <row r="135" spans="1:64" ht="13.5" thickBot="1" x14ac:dyDescent="0.25">
      <c r="A135" s="215">
        <f t="shared" si="77"/>
        <v>42540</v>
      </c>
      <c r="B135" s="190"/>
      <c r="C135" s="168"/>
      <c r="D135" s="198"/>
      <c r="E135" s="132">
        <f t="shared" si="78"/>
        <v>1167.5275982255639</v>
      </c>
      <c r="F135" s="168">
        <f t="shared" si="79"/>
        <v>795.54776876543519</v>
      </c>
      <c r="G135" s="300"/>
      <c r="H135" s="127">
        <f>VLOOKUP(MONTH(A135),ETP_Parametros!$A$6:$D$17,4,FALSE)</f>
        <v>1.8333333333333333</v>
      </c>
      <c r="I135" s="230">
        <f>VLOOKUP(A135,P_Q_obs!$A$4:$F$308,6,FALSE)*1</f>
        <v>2.36</v>
      </c>
      <c r="J135" s="230">
        <f t="shared" si="80"/>
        <v>2.36</v>
      </c>
      <c r="K135" s="230">
        <f t="shared" si="81"/>
        <v>2.36</v>
      </c>
      <c r="L135" s="230">
        <f t="shared" si="82"/>
        <v>2.36</v>
      </c>
      <c r="M135" s="230">
        <f t="shared" si="83"/>
        <v>2.36</v>
      </c>
      <c r="N135" s="230">
        <f t="shared" si="84"/>
        <v>2.36</v>
      </c>
      <c r="O135" s="230">
        <f t="shared" si="85"/>
        <v>2.36</v>
      </c>
      <c r="P135" s="230">
        <f t="shared" si="86"/>
        <v>2.36</v>
      </c>
      <c r="Q135" s="230">
        <f t="shared" si="87"/>
        <v>2.36</v>
      </c>
      <c r="R135" s="230">
        <f t="shared" si="88"/>
        <v>2.36</v>
      </c>
      <c r="S135" s="230">
        <f t="shared" si="89"/>
        <v>2.36</v>
      </c>
      <c r="T135" s="230">
        <f t="shared" si="90"/>
        <v>2.36</v>
      </c>
      <c r="U135" s="230">
        <f t="shared" si="91"/>
        <v>2.36</v>
      </c>
      <c r="V135" s="230">
        <f t="shared" si="92"/>
        <v>2.36</v>
      </c>
      <c r="W135" s="230">
        <f t="shared" si="93"/>
        <v>2.36</v>
      </c>
      <c r="X135" s="230">
        <f t="shared" si="94"/>
        <v>2.36</v>
      </c>
      <c r="Y135" s="230">
        <f t="shared" si="95"/>
        <v>2.36</v>
      </c>
      <c r="Z135" s="292">
        <f t="shared" si="96"/>
        <v>2.36</v>
      </c>
      <c r="AA135" s="300"/>
      <c r="AB135" s="191">
        <f t="shared" si="97"/>
        <v>2.3600000000000003</v>
      </c>
      <c r="AC135" s="139">
        <f t="shared" si="98"/>
        <v>7.6377362219829763</v>
      </c>
      <c r="AD135" s="132">
        <f t="shared" si="99"/>
        <v>63.829823384901296</v>
      </c>
      <c r="AE135" s="168">
        <f t="shared" si="100"/>
        <v>0.77234782476376485</v>
      </c>
      <c r="AF135" s="192">
        <f t="shared" si="101"/>
        <v>1.3583252622019311</v>
      </c>
      <c r="AG135" s="192">
        <f t="shared" si="74"/>
        <v>1.6088033732479132</v>
      </c>
      <c r="AH135" s="192">
        <f t="shared" si="102"/>
        <v>1.1003630967276576</v>
      </c>
      <c r="AI135" s="168">
        <f t="shared" si="103"/>
        <v>1.7493685938396872</v>
      </c>
      <c r="AJ135" s="192">
        <f t="shared" si="104"/>
        <v>0.57673361205460871</v>
      </c>
      <c r="AK135" s="132">
        <f t="shared" si="105"/>
        <v>86.510337744980561</v>
      </c>
      <c r="AL135" s="192">
        <f t="shared" si="106"/>
        <v>1.2334516602902343</v>
      </c>
      <c r="AM135" s="192">
        <f t="shared" si="75"/>
        <v>0</v>
      </c>
      <c r="AN135" s="192">
        <f t="shared" si="107"/>
        <v>0</v>
      </c>
      <c r="AO135" s="192">
        <f t="shared" si="76"/>
        <v>0</v>
      </c>
      <c r="AS135" s="132"/>
      <c r="AT135" s="132"/>
      <c r="AU135" s="200"/>
      <c r="AV135" s="132"/>
      <c r="AW135" s="132"/>
      <c r="AX135" s="132"/>
      <c r="AY135" s="132"/>
      <c r="AZ135" s="132"/>
      <c r="BA135" s="167"/>
      <c r="BB135" s="167"/>
      <c r="BD135" s="211">
        <f t="shared" si="108"/>
        <v>42540</v>
      </c>
      <c r="BE135" s="210">
        <v>1</v>
      </c>
      <c r="BF135" s="209">
        <v>0.5</v>
      </c>
      <c r="BG135" s="209">
        <v>2</v>
      </c>
      <c r="BH135" s="210"/>
      <c r="BI135" s="209"/>
      <c r="BJ135" s="209"/>
      <c r="BK135" s="168">
        <f t="shared" si="109"/>
        <v>2.36</v>
      </c>
      <c r="BL135" s="168">
        <f t="shared" si="110"/>
        <v>7.6377362219829763</v>
      </c>
    </row>
    <row r="136" spans="1:64" ht="13.5" thickBot="1" x14ac:dyDescent="0.25">
      <c r="A136" s="215">
        <f t="shared" si="77"/>
        <v>42541</v>
      </c>
      <c r="B136" s="190"/>
      <c r="C136" s="168"/>
      <c r="D136" s="198"/>
      <c r="E136" s="132">
        <f t="shared" si="78"/>
        <v>1358.5702870216721</v>
      </c>
      <c r="F136" s="168">
        <f t="shared" si="79"/>
        <v>794.32576827097932</v>
      </c>
      <c r="G136" s="300"/>
      <c r="H136" s="127">
        <f>VLOOKUP(MONTH(A136),ETP_Parametros!$A$6:$D$17,4,FALSE)</f>
        <v>1.8333333333333333</v>
      </c>
      <c r="I136" s="230">
        <f>VLOOKUP(A136,P_Q_obs!$A$4:$F$308,6,FALSE)*1</f>
        <v>15.19</v>
      </c>
      <c r="J136" s="230">
        <f t="shared" si="80"/>
        <v>15.19</v>
      </c>
      <c r="K136" s="230">
        <f t="shared" si="81"/>
        <v>15.19</v>
      </c>
      <c r="L136" s="230">
        <f t="shared" si="82"/>
        <v>15.19</v>
      </c>
      <c r="M136" s="230">
        <f t="shared" si="83"/>
        <v>15.19</v>
      </c>
      <c r="N136" s="230">
        <f t="shared" si="84"/>
        <v>15.19</v>
      </c>
      <c r="O136" s="230">
        <f t="shared" si="85"/>
        <v>15.19</v>
      </c>
      <c r="P136" s="230">
        <f t="shared" si="86"/>
        <v>15.19</v>
      </c>
      <c r="Q136" s="230">
        <f t="shared" si="87"/>
        <v>15.19</v>
      </c>
      <c r="R136" s="230">
        <f t="shared" si="88"/>
        <v>15.19</v>
      </c>
      <c r="S136" s="230">
        <f t="shared" si="89"/>
        <v>15.19</v>
      </c>
      <c r="T136" s="230">
        <f t="shared" si="90"/>
        <v>15.19</v>
      </c>
      <c r="U136" s="230">
        <f t="shared" si="91"/>
        <v>15.19</v>
      </c>
      <c r="V136" s="230">
        <f t="shared" si="92"/>
        <v>15.19</v>
      </c>
      <c r="W136" s="230">
        <f t="shared" si="93"/>
        <v>15.19</v>
      </c>
      <c r="X136" s="230">
        <f t="shared" si="94"/>
        <v>15.19</v>
      </c>
      <c r="Y136" s="230">
        <f t="shared" si="95"/>
        <v>15.19</v>
      </c>
      <c r="Z136" s="292">
        <f t="shared" si="96"/>
        <v>15.19</v>
      </c>
      <c r="AA136" s="300"/>
      <c r="AB136" s="191">
        <f t="shared" si="97"/>
        <v>15.190000000000001</v>
      </c>
      <c r="AC136" s="139">
        <f t="shared" si="98"/>
        <v>7.9922738736290011</v>
      </c>
      <c r="AD136" s="132">
        <f t="shared" si="99"/>
        <v>67.088586766277473</v>
      </c>
      <c r="AE136" s="168">
        <f t="shared" si="100"/>
        <v>0.81810769591016774</v>
      </c>
      <c r="AF136" s="192">
        <f t="shared" si="101"/>
        <v>1.7790227752155354</v>
      </c>
      <c r="AG136" s="192">
        <f t="shared" si="74"/>
        <v>1.6088033732479132</v>
      </c>
      <c r="AH136" s="192">
        <f t="shared" si="102"/>
        <v>1.3456843437893777</v>
      </c>
      <c r="AI136" s="168">
        <f t="shared" si="103"/>
        <v>2.6535622691725855</v>
      </c>
      <c r="AJ136" s="192">
        <f t="shared" si="104"/>
        <v>0.87482909988263757</v>
      </c>
      <c r="AK136" s="132">
        <f t="shared" si="105"/>
        <v>86.624465070885776</v>
      </c>
      <c r="AL136" s="192">
        <f t="shared" si="106"/>
        <v>1.2315570178841584</v>
      </c>
      <c r="AM136" s="192">
        <f t="shared" si="75"/>
        <v>0</v>
      </c>
      <c r="AN136" s="192">
        <f t="shared" si="107"/>
        <v>0</v>
      </c>
      <c r="AO136" s="192">
        <f t="shared" si="76"/>
        <v>0</v>
      </c>
      <c r="AS136" s="132"/>
      <c r="AT136" s="132"/>
      <c r="AU136" s="200"/>
      <c r="AV136" s="132"/>
      <c r="AW136" s="132"/>
      <c r="AX136" s="132"/>
      <c r="AY136" s="132"/>
      <c r="AZ136" s="132"/>
      <c r="BA136" s="167"/>
      <c r="BB136" s="167"/>
      <c r="BD136" s="211">
        <f t="shared" si="108"/>
        <v>42541</v>
      </c>
      <c r="BE136" s="210">
        <v>1</v>
      </c>
      <c r="BF136" s="209">
        <v>0.5</v>
      </c>
      <c r="BG136" s="209">
        <v>2</v>
      </c>
      <c r="BH136" s="210"/>
      <c r="BI136" s="209"/>
      <c r="BJ136" s="209"/>
      <c r="BK136" s="168">
        <f t="shared" si="109"/>
        <v>15.19</v>
      </c>
      <c r="BL136" s="168">
        <f t="shared" si="110"/>
        <v>7.9922738736290011</v>
      </c>
    </row>
    <row r="137" spans="1:64" ht="13.5" thickBot="1" x14ac:dyDescent="0.25">
      <c r="A137" s="215">
        <f t="shared" si="77"/>
        <v>42542</v>
      </c>
      <c r="B137" s="190"/>
      <c r="C137" s="168"/>
      <c r="D137" s="198"/>
      <c r="E137" s="132">
        <f t="shared" si="78"/>
        <v>1698.7433182638597</v>
      </c>
      <c r="F137" s="168">
        <f t="shared" si="79"/>
        <v>795.37366934492502</v>
      </c>
      <c r="G137" s="300"/>
      <c r="H137" s="127">
        <f>VLOOKUP(MONTH(A137),ETP_Parametros!$A$6:$D$17,4,FALSE)</f>
        <v>1.8333333333333333</v>
      </c>
      <c r="I137" s="230">
        <f>VLOOKUP(A137,P_Q_obs!$A$4:$F$308,6,FALSE)*1</f>
        <v>7.4</v>
      </c>
      <c r="J137" s="230">
        <f t="shared" si="80"/>
        <v>7.4</v>
      </c>
      <c r="K137" s="230">
        <f t="shared" si="81"/>
        <v>7.4</v>
      </c>
      <c r="L137" s="230">
        <f t="shared" si="82"/>
        <v>7.4</v>
      </c>
      <c r="M137" s="230">
        <f t="shared" si="83"/>
        <v>7.4</v>
      </c>
      <c r="N137" s="230">
        <f t="shared" si="84"/>
        <v>7.4</v>
      </c>
      <c r="O137" s="230">
        <f t="shared" si="85"/>
        <v>7.4</v>
      </c>
      <c r="P137" s="230">
        <f t="shared" si="86"/>
        <v>7.4</v>
      </c>
      <c r="Q137" s="230">
        <f t="shared" si="87"/>
        <v>7.4</v>
      </c>
      <c r="R137" s="230">
        <f t="shared" si="88"/>
        <v>7.4</v>
      </c>
      <c r="S137" s="230">
        <f t="shared" si="89"/>
        <v>7.4</v>
      </c>
      <c r="T137" s="230">
        <f t="shared" si="90"/>
        <v>7.4</v>
      </c>
      <c r="U137" s="230">
        <f t="shared" si="91"/>
        <v>7.4</v>
      </c>
      <c r="V137" s="230">
        <f t="shared" si="92"/>
        <v>7.4</v>
      </c>
      <c r="W137" s="230">
        <f t="shared" si="93"/>
        <v>7.4</v>
      </c>
      <c r="X137" s="230">
        <f t="shared" si="94"/>
        <v>7.4</v>
      </c>
      <c r="Y137" s="230">
        <f t="shared" si="95"/>
        <v>7.4</v>
      </c>
      <c r="Z137" s="292">
        <f t="shared" si="96"/>
        <v>7.4</v>
      </c>
      <c r="AA137" s="300"/>
      <c r="AB137" s="191">
        <f t="shared" si="97"/>
        <v>7.4000000000000021</v>
      </c>
      <c r="AC137" s="139">
        <f t="shared" si="98"/>
        <v>9.4131399763961188</v>
      </c>
      <c r="AD137" s="132">
        <f t="shared" si="99"/>
        <v>70.310249452520083</v>
      </c>
      <c r="AE137" s="168">
        <f t="shared" si="100"/>
        <v>0.85987530954396518</v>
      </c>
      <c r="AF137" s="192">
        <f t="shared" si="101"/>
        <v>2.9954809494826997</v>
      </c>
      <c r="AG137" s="192">
        <f t="shared" si="74"/>
        <v>1.6088033732479132</v>
      </c>
      <c r="AH137" s="192">
        <f t="shared" si="102"/>
        <v>1.5871929674229022</v>
      </c>
      <c r="AI137" s="168">
        <f t="shared" si="103"/>
        <v>4.2484198531419519</v>
      </c>
      <c r="AJ137" s="192">
        <f t="shared" si="104"/>
        <v>1.4006233655133324</v>
      </c>
      <c r="AK137" s="132">
        <f t="shared" si="105"/>
        <v>86.978476309288098</v>
      </c>
      <c r="AL137" s="192">
        <f t="shared" si="106"/>
        <v>1.2331817290205922</v>
      </c>
      <c r="AM137" s="192">
        <f t="shared" si="75"/>
        <v>0</v>
      </c>
      <c r="AN137" s="192">
        <f t="shared" si="107"/>
        <v>0</v>
      </c>
      <c r="AO137" s="192">
        <f t="shared" si="76"/>
        <v>0</v>
      </c>
      <c r="AS137" s="132"/>
      <c r="AT137" s="132"/>
      <c r="AU137" s="200"/>
      <c r="AV137" s="132"/>
      <c r="AW137" s="132"/>
      <c r="AX137" s="132"/>
      <c r="AY137" s="132"/>
      <c r="AZ137" s="132"/>
      <c r="BA137" s="167"/>
      <c r="BB137" s="167"/>
      <c r="BD137" s="211">
        <f t="shared" si="108"/>
        <v>42542</v>
      </c>
      <c r="BE137" s="210">
        <v>1</v>
      </c>
      <c r="BF137" s="209">
        <v>0.5</v>
      </c>
      <c r="BG137" s="209">
        <v>2</v>
      </c>
      <c r="BH137" s="210"/>
      <c r="BI137" s="209"/>
      <c r="BJ137" s="209"/>
      <c r="BK137" s="168">
        <f t="shared" si="109"/>
        <v>7.4</v>
      </c>
      <c r="BL137" s="168">
        <f t="shared" si="110"/>
        <v>9.4131399763961188</v>
      </c>
    </row>
    <row r="138" spans="1:64" ht="13.5" thickBot="1" x14ac:dyDescent="0.25">
      <c r="A138" s="215">
        <f t="shared" si="77"/>
        <v>42543</v>
      </c>
      <c r="B138" s="190"/>
      <c r="C138" s="168"/>
      <c r="D138" s="198"/>
      <c r="E138" s="132">
        <f t="shared" si="78"/>
        <v>1531.3591094719095</v>
      </c>
      <c r="F138" s="168">
        <f t="shared" si="79"/>
        <v>798.62415080471783</v>
      </c>
      <c r="G138" s="300"/>
      <c r="H138" s="127">
        <f>VLOOKUP(MONTH(A138),ETP_Parametros!$A$6:$D$17,4,FALSE)</f>
        <v>1.8333333333333333</v>
      </c>
      <c r="I138" s="230">
        <f>VLOOKUP(A138,P_Q_obs!$A$4:$F$308,6,FALSE)*1</f>
        <v>1.95</v>
      </c>
      <c r="J138" s="230">
        <f t="shared" si="80"/>
        <v>1.95</v>
      </c>
      <c r="K138" s="230">
        <f t="shared" si="81"/>
        <v>1.95</v>
      </c>
      <c r="L138" s="230">
        <f t="shared" si="82"/>
        <v>1.95</v>
      </c>
      <c r="M138" s="230">
        <f t="shared" si="83"/>
        <v>1.95</v>
      </c>
      <c r="N138" s="230">
        <f t="shared" si="84"/>
        <v>1.95</v>
      </c>
      <c r="O138" s="230">
        <f t="shared" si="85"/>
        <v>1.95</v>
      </c>
      <c r="P138" s="230">
        <f t="shared" si="86"/>
        <v>1.95</v>
      </c>
      <c r="Q138" s="230">
        <f t="shared" si="87"/>
        <v>1.95</v>
      </c>
      <c r="R138" s="230">
        <f t="shared" si="88"/>
        <v>1.95</v>
      </c>
      <c r="S138" s="230">
        <f t="shared" si="89"/>
        <v>1.95</v>
      </c>
      <c r="T138" s="230">
        <f t="shared" si="90"/>
        <v>1.95</v>
      </c>
      <c r="U138" s="230">
        <f t="shared" si="91"/>
        <v>1.95</v>
      </c>
      <c r="V138" s="230">
        <f t="shared" si="92"/>
        <v>1.95</v>
      </c>
      <c r="W138" s="230">
        <f t="shared" si="93"/>
        <v>1.95</v>
      </c>
      <c r="X138" s="230">
        <f t="shared" si="94"/>
        <v>1.95</v>
      </c>
      <c r="Y138" s="230">
        <f t="shared" si="95"/>
        <v>1.95</v>
      </c>
      <c r="Z138" s="292">
        <f t="shared" si="96"/>
        <v>1.95</v>
      </c>
      <c r="AA138" s="300"/>
      <c r="AB138" s="191">
        <f t="shared" si="97"/>
        <v>1.9500000000000002</v>
      </c>
      <c r="AC138" s="139">
        <f t="shared" si="98"/>
        <v>3.7793018872951794</v>
      </c>
      <c r="AD138" s="132">
        <f t="shared" si="99"/>
        <v>70.304700627738214</v>
      </c>
      <c r="AE138" s="168">
        <f t="shared" si="100"/>
        <v>0.90116740307441923</v>
      </c>
      <c r="AF138" s="192">
        <f t="shared" si="101"/>
        <v>0.33359311827458199</v>
      </c>
      <c r="AG138" s="192">
        <f t="shared" si="74"/>
        <v>1.6088033732479132</v>
      </c>
      <c r="AH138" s="192">
        <f t="shared" si="102"/>
        <v>1.8424542205545578</v>
      </c>
      <c r="AI138" s="168">
        <f t="shared" si="103"/>
        <v>3.4459490079372719</v>
      </c>
      <c r="AJ138" s="192">
        <f t="shared" si="104"/>
        <v>1.136063963479262</v>
      </c>
      <c r="AK138" s="132">
        <f t="shared" si="105"/>
        <v>87.582709113815525</v>
      </c>
      <c r="AL138" s="192">
        <f t="shared" si="106"/>
        <v>1.2382214160271261</v>
      </c>
      <c r="AM138" s="192">
        <f t="shared" si="75"/>
        <v>0</v>
      </c>
      <c r="AN138" s="192">
        <f t="shared" si="107"/>
        <v>0</v>
      </c>
      <c r="AO138" s="192">
        <f t="shared" si="76"/>
        <v>0</v>
      </c>
      <c r="AS138" s="132"/>
      <c r="AT138" s="132"/>
      <c r="AU138" s="200"/>
      <c r="AV138" s="132"/>
      <c r="AW138" s="132"/>
      <c r="AX138" s="132"/>
      <c r="AY138" s="132"/>
      <c r="AZ138" s="132"/>
      <c r="BA138" s="167"/>
      <c r="BB138" s="167"/>
      <c r="BD138" s="211">
        <f t="shared" si="108"/>
        <v>42543</v>
      </c>
      <c r="BE138" s="210">
        <v>1</v>
      </c>
      <c r="BF138" s="209">
        <v>0.5</v>
      </c>
      <c r="BG138" s="209">
        <v>2</v>
      </c>
      <c r="BH138" s="210"/>
      <c r="BI138" s="209"/>
      <c r="BJ138" s="209"/>
      <c r="BK138" s="168">
        <f t="shared" si="109"/>
        <v>1.95</v>
      </c>
      <c r="BL138" s="168">
        <f t="shared" si="110"/>
        <v>3.7793018872951794</v>
      </c>
    </row>
    <row r="139" spans="1:64" ht="13.5" thickBot="1" x14ac:dyDescent="0.25">
      <c r="A139" s="215">
        <f t="shared" si="77"/>
        <v>42544</v>
      </c>
      <c r="B139" s="190"/>
      <c r="C139" s="168"/>
      <c r="D139" s="198"/>
      <c r="E139" s="132">
        <f t="shared" si="78"/>
        <v>1355.2328377454887</v>
      </c>
      <c r="F139" s="168">
        <f t="shared" si="79"/>
        <v>804.17213153374507</v>
      </c>
      <c r="G139" s="300"/>
      <c r="H139" s="127">
        <f>VLOOKUP(MONTH(A139),ETP_Parametros!$A$6:$D$17,4,FALSE)</f>
        <v>1.8333333333333333</v>
      </c>
      <c r="I139" s="230">
        <f>VLOOKUP(A139,P_Q_obs!$A$4:$F$308,6,FALSE)*1</f>
        <v>0.15</v>
      </c>
      <c r="J139" s="230">
        <f t="shared" si="80"/>
        <v>0.15</v>
      </c>
      <c r="K139" s="230">
        <f t="shared" si="81"/>
        <v>0.15</v>
      </c>
      <c r="L139" s="230">
        <f t="shared" si="82"/>
        <v>0.15</v>
      </c>
      <c r="M139" s="230">
        <f t="shared" si="83"/>
        <v>0.15</v>
      </c>
      <c r="N139" s="230">
        <f t="shared" si="84"/>
        <v>0.15</v>
      </c>
      <c r="O139" s="230">
        <f t="shared" si="85"/>
        <v>0.15</v>
      </c>
      <c r="P139" s="230">
        <f t="shared" si="86"/>
        <v>0.15</v>
      </c>
      <c r="Q139" s="230">
        <f t="shared" si="87"/>
        <v>0.15</v>
      </c>
      <c r="R139" s="230">
        <f t="shared" si="88"/>
        <v>0.15</v>
      </c>
      <c r="S139" s="230">
        <f t="shared" si="89"/>
        <v>0.15</v>
      </c>
      <c r="T139" s="230">
        <f t="shared" si="90"/>
        <v>0.15</v>
      </c>
      <c r="U139" s="230">
        <f t="shared" si="91"/>
        <v>0.15</v>
      </c>
      <c r="V139" s="230">
        <f t="shared" si="92"/>
        <v>0.15</v>
      </c>
      <c r="W139" s="230">
        <f t="shared" si="93"/>
        <v>0.15</v>
      </c>
      <c r="X139" s="230">
        <f t="shared" si="94"/>
        <v>0.15</v>
      </c>
      <c r="Y139" s="230">
        <f t="shared" si="95"/>
        <v>0.15</v>
      </c>
      <c r="Z139" s="292">
        <f t="shared" si="96"/>
        <v>0.15</v>
      </c>
      <c r="AA139" s="300"/>
      <c r="AB139" s="191">
        <f t="shared" si="97"/>
        <v>0.15</v>
      </c>
      <c r="AC139" s="139">
        <f t="shared" si="98"/>
        <v>1.2089531456222635</v>
      </c>
      <c r="AD139" s="132">
        <f t="shared" si="99"/>
        <v>68.102396607330434</v>
      </c>
      <c r="AE139" s="168">
        <f t="shared" si="100"/>
        <v>0.90109628371333417</v>
      </c>
      <c r="AF139" s="192">
        <f t="shared" si="101"/>
        <v>0</v>
      </c>
      <c r="AG139" s="192">
        <f t="shared" si="74"/>
        <v>1.5692566997776671</v>
      </c>
      <c r="AH139" s="192">
        <f t="shared" si="102"/>
        <v>1.8420004662523755</v>
      </c>
      <c r="AI139" s="168">
        <f t="shared" si="103"/>
        <v>2.5915606610849107</v>
      </c>
      <c r="AJ139" s="192">
        <f t="shared" si="104"/>
        <v>0.8543883468523612</v>
      </c>
      <c r="AK139" s="132">
        <f t="shared" si="105"/>
        <v>88.177886334823029</v>
      </c>
      <c r="AL139" s="192">
        <f t="shared" si="106"/>
        <v>1.2468232452448691</v>
      </c>
      <c r="AM139" s="192">
        <f t="shared" si="75"/>
        <v>0</v>
      </c>
      <c r="AN139" s="192">
        <f t="shared" si="107"/>
        <v>0</v>
      </c>
      <c r="AO139" s="192">
        <f t="shared" si="76"/>
        <v>0</v>
      </c>
      <c r="AS139" s="132"/>
      <c r="AT139" s="132"/>
      <c r="AU139" s="200"/>
      <c r="AV139" s="132"/>
      <c r="AW139" s="132"/>
      <c r="AX139" s="132"/>
      <c r="AY139" s="132"/>
      <c r="AZ139" s="132"/>
      <c r="BA139" s="167"/>
      <c r="BB139" s="167"/>
      <c r="BD139" s="211">
        <f t="shared" si="108"/>
        <v>42544</v>
      </c>
      <c r="BE139" s="210">
        <v>1</v>
      </c>
      <c r="BF139" s="209">
        <v>0.5</v>
      </c>
      <c r="BG139" s="209">
        <v>2</v>
      </c>
      <c r="BH139" s="210"/>
      <c r="BI139" s="209"/>
      <c r="BJ139" s="209"/>
      <c r="BK139" s="168">
        <f t="shared" si="109"/>
        <v>0.15</v>
      </c>
      <c r="BL139" s="168">
        <f t="shared" si="110"/>
        <v>1.2089531456222635</v>
      </c>
    </row>
    <row r="140" spans="1:64" ht="13.5" thickBot="1" x14ac:dyDescent="0.25">
      <c r="A140" s="215">
        <f t="shared" si="77"/>
        <v>42545</v>
      </c>
      <c r="B140" s="190"/>
      <c r="C140" s="168"/>
      <c r="D140" s="198"/>
      <c r="E140" s="132">
        <f t="shared" si="78"/>
        <v>1224.0677198875781</v>
      </c>
      <c r="F140" s="168">
        <f t="shared" si="79"/>
        <v>809.63696516701339</v>
      </c>
      <c r="G140" s="300"/>
      <c r="H140" s="127">
        <f>VLOOKUP(MONTH(A140),ETP_Parametros!$A$6:$D$17,4,FALSE)</f>
        <v>1.8333333333333333</v>
      </c>
      <c r="I140" s="230">
        <f>VLOOKUP(A140,P_Q_obs!$A$4:$F$308,6,FALSE)*1</f>
        <v>0.08</v>
      </c>
      <c r="J140" s="230">
        <f t="shared" si="80"/>
        <v>0.08</v>
      </c>
      <c r="K140" s="230">
        <f t="shared" si="81"/>
        <v>0.08</v>
      </c>
      <c r="L140" s="230">
        <f t="shared" si="82"/>
        <v>0.08</v>
      </c>
      <c r="M140" s="230">
        <f t="shared" si="83"/>
        <v>0.08</v>
      </c>
      <c r="N140" s="230">
        <f t="shared" si="84"/>
        <v>0.08</v>
      </c>
      <c r="O140" s="230">
        <f t="shared" si="85"/>
        <v>0.08</v>
      </c>
      <c r="P140" s="230">
        <f t="shared" si="86"/>
        <v>0.08</v>
      </c>
      <c r="Q140" s="230">
        <f t="shared" si="87"/>
        <v>0.08</v>
      </c>
      <c r="R140" s="230">
        <f t="shared" si="88"/>
        <v>0.08</v>
      </c>
      <c r="S140" s="230">
        <f t="shared" si="89"/>
        <v>0.08</v>
      </c>
      <c r="T140" s="230">
        <f t="shared" si="90"/>
        <v>0.08</v>
      </c>
      <c r="U140" s="230">
        <f t="shared" si="91"/>
        <v>0.08</v>
      </c>
      <c r="V140" s="230">
        <f t="shared" si="92"/>
        <v>0.08</v>
      </c>
      <c r="W140" s="230">
        <f t="shared" si="93"/>
        <v>0.08</v>
      </c>
      <c r="X140" s="230">
        <f t="shared" si="94"/>
        <v>0.08</v>
      </c>
      <c r="Y140" s="230">
        <f t="shared" si="95"/>
        <v>0.08</v>
      </c>
      <c r="Z140" s="292">
        <f t="shared" si="96"/>
        <v>0.08</v>
      </c>
      <c r="AA140" s="300"/>
      <c r="AB140" s="191">
        <f t="shared" si="97"/>
        <v>0.08</v>
      </c>
      <c r="AC140" s="139">
        <f t="shared" si="98"/>
        <v>1.065645619132771</v>
      </c>
      <c r="AD140" s="132">
        <f t="shared" si="99"/>
        <v>65.962540168353115</v>
      </c>
      <c r="AE140" s="168">
        <f t="shared" si="100"/>
        <v>0.87286932377072379</v>
      </c>
      <c r="AF140" s="192">
        <f t="shared" si="101"/>
        <v>0</v>
      </c>
      <c r="AG140" s="192">
        <f t="shared" si="74"/>
        <v>1.5397513606680802</v>
      </c>
      <c r="AH140" s="192">
        <f t="shared" si="102"/>
        <v>1.665750697442008</v>
      </c>
      <c r="AI140" s="168">
        <f t="shared" si="103"/>
        <v>1.9490092989226024</v>
      </c>
      <c r="AJ140" s="192">
        <f t="shared" si="104"/>
        <v>0.64255136216230835</v>
      </c>
      <c r="AK140" s="132">
        <f t="shared" si="105"/>
        <v>88.588340872654982</v>
      </c>
      <c r="AL140" s="192">
        <f t="shared" si="106"/>
        <v>1.2552961596100556</v>
      </c>
      <c r="AM140" s="192">
        <f t="shared" si="75"/>
        <v>0</v>
      </c>
      <c r="AN140" s="192">
        <f t="shared" si="107"/>
        <v>0</v>
      </c>
      <c r="AO140" s="192">
        <f t="shared" si="76"/>
        <v>0</v>
      </c>
      <c r="AS140" s="132"/>
      <c r="AT140" s="132"/>
      <c r="AU140" s="200"/>
      <c r="AV140" s="132"/>
      <c r="AW140" s="132"/>
      <c r="AX140" s="132"/>
      <c r="AY140" s="132"/>
      <c r="AZ140" s="132"/>
      <c r="BA140" s="167"/>
      <c r="BB140" s="167"/>
      <c r="BD140" s="211">
        <f t="shared" si="108"/>
        <v>42545</v>
      </c>
      <c r="BE140" s="210">
        <v>1</v>
      </c>
      <c r="BF140" s="209">
        <v>0.5</v>
      </c>
      <c r="BG140" s="209">
        <v>2</v>
      </c>
      <c r="BH140" s="210"/>
      <c r="BI140" s="209"/>
      <c r="BJ140" s="209"/>
      <c r="BK140" s="168">
        <f t="shared" si="109"/>
        <v>0.08</v>
      </c>
      <c r="BL140" s="168">
        <f t="shared" si="110"/>
        <v>1.065645619132771</v>
      </c>
    </row>
    <row r="141" spans="1:64" ht="13.5" thickBot="1" x14ac:dyDescent="0.25">
      <c r="A141" s="215">
        <f t="shared" si="77"/>
        <v>42546</v>
      </c>
      <c r="B141" s="190"/>
      <c r="C141" s="168"/>
      <c r="D141" s="198"/>
      <c r="E141" s="132">
        <f t="shared" si="78"/>
        <v>1126.7852072573241</v>
      </c>
      <c r="F141" s="168">
        <f t="shared" si="79"/>
        <v>813.40570107305928</v>
      </c>
      <c r="G141" s="300"/>
      <c r="H141" s="127">
        <f>VLOOKUP(MONTH(A141),ETP_Parametros!$A$6:$D$17,4,FALSE)</f>
        <v>1.8333333333333333</v>
      </c>
      <c r="I141" s="230">
        <f>VLOOKUP(A141,P_Q_obs!$A$4:$F$308,6,FALSE)*1</f>
        <v>3.77</v>
      </c>
      <c r="J141" s="230">
        <f t="shared" si="80"/>
        <v>3.77</v>
      </c>
      <c r="K141" s="230">
        <f t="shared" si="81"/>
        <v>3.77</v>
      </c>
      <c r="L141" s="230">
        <f t="shared" si="82"/>
        <v>3.77</v>
      </c>
      <c r="M141" s="230">
        <f t="shared" si="83"/>
        <v>3.77</v>
      </c>
      <c r="N141" s="230">
        <f t="shared" si="84"/>
        <v>3.77</v>
      </c>
      <c r="O141" s="230">
        <f t="shared" si="85"/>
        <v>3.77</v>
      </c>
      <c r="P141" s="230">
        <f t="shared" si="86"/>
        <v>3.77</v>
      </c>
      <c r="Q141" s="230">
        <f t="shared" si="87"/>
        <v>3.77</v>
      </c>
      <c r="R141" s="230">
        <f t="shared" si="88"/>
        <v>3.77</v>
      </c>
      <c r="S141" s="230">
        <f t="shared" si="89"/>
        <v>3.77</v>
      </c>
      <c r="T141" s="230">
        <f t="shared" si="90"/>
        <v>3.77</v>
      </c>
      <c r="U141" s="230">
        <f t="shared" si="91"/>
        <v>3.77</v>
      </c>
      <c r="V141" s="230">
        <f t="shared" si="92"/>
        <v>3.77</v>
      </c>
      <c r="W141" s="230">
        <f t="shared" si="93"/>
        <v>3.77</v>
      </c>
      <c r="X141" s="230">
        <f t="shared" si="94"/>
        <v>3.77</v>
      </c>
      <c r="Y141" s="230">
        <f t="shared" si="95"/>
        <v>3.77</v>
      </c>
      <c r="Z141" s="292">
        <f t="shared" si="96"/>
        <v>3.77</v>
      </c>
      <c r="AA141" s="300"/>
      <c r="AB141" s="191">
        <f t="shared" si="97"/>
        <v>3.7699999999999982</v>
      </c>
      <c r="AC141" s="139">
        <f t="shared" si="98"/>
        <v>2.3636847083541328</v>
      </c>
      <c r="AD141" s="132">
        <f t="shared" si="99"/>
        <v>65.204931260321445</v>
      </c>
      <c r="AE141" s="168">
        <f t="shared" si="100"/>
        <v>0.84544275531049551</v>
      </c>
      <c r="AF141" s="192">
        <f t="shared" si="101"/>
        <v>1.0647389116761259E-2</v>
      </c>
      <c r="AG141" s="192">
        <f t="shared" si="74"/>
        <v>1.6088033732479132</v>
      </c>
      <c r="AH141" s="192">
        <f t="shared" si="102"/>
        <v>1.5018428540211404</v>
      </c>
      <c r="AI141" s="168">
        <f t="shared" si="103"/>
        <v>1.4737795510777933</v>
      </c>
      <c r="AJ141" s="192">
        <f t="shared" si="104"/>
        <v>0.48587713696157037</v>
      </c>
      <c r="AK141" s="132">
        <f t="shared" si="105"/>
        <v>88.829044355956668</v>
      </c>
      <c r="AL141" s="192">
        <f t="shared" si="106"/>
        <v>1.2611393707194547</v>
      </c>
      <c r="AM141" s="192">
        <f t="shared" si="75"/>
        <v>0</v>
      </c>
      <c r="AN141" s="192">
        <f t="shared" si="107"/>
        <v>0</v>
      </c>
      <c r="AO141" s="192">
        <f t="shared" si="76"/>
        <v>0</v>
      </c>
      <c r="AS141" s="132"/>
      <c r="AT141" s="132"/>
      <c r="AU141" s="200"/>
      <c r="AV141" s="132"/>
      <c r="AW141" s="132"/>
      <c r="AX141" s="132"/>
      <c r="AY141" s="132"/>
      <c r="AZ141" s="132"/>
      <c r="BA141" s="167"/>
      <c r="BB141" s="167"/>
      <c r="BD141" s="211">
        <f t="shared" si="108"/>
        <v>42546</v>
      </c>
      <c r="BE141" s="210">
        <v>1</v>
      </c>
      <c r="BF141" s="209">
        <v>0.5</v>
      </c>
      <c r="BG141" s="209">
        <v>2</v>
      </c>
      <c r="BH141" s="210"/>
      <c r="BI141" s="209"/>
      <c r="BJ141" s="209"/>
      <c r="BK141" s="168">
        <f t="shared" si="109"/>
        <v>3.77</v>
      </c>
      <c r="BL141" s="168">
        <f t="shared" si="110"/>
        <v>2.3636847083541328</v>
      </c>
    </row>
    <row r="142" spans="1:64" ht="13.5" thickBot="1" x14ac:dyDescent="0.25">
      <c r="A142" s="215">
        <f t="shared" si="77"/>
        <v>42547</v>
      </c>
      <c r="B142" s="190"/>
      <c r="C142" s="168"/>
      <c r="D142" s="198"/>
      <c r="E142" s="132">
        <f t="shared" si="78"/>
        <v>1065.0984885005582</v>
      </c>
      <c r="F142" s="168">
        <f t="shared" si="79"/>
        <v>815.61580664290159</v>
      </c>
      <c r="G142" s="300"/>
      <c r="H142" s="127">
        <f>VLOOKUP(MONTH(A142),ETP_Parametros!$A$6:$D$17,4,FALSE)</f>
        <v>1.8333333333333333</v>
      </c>
      <c r="I142" s="230">
        <f>VLOOKUP(A142,P_Q_obs!$A$4:$F$308,6,FALSE)*1</f>
        <v>4.37</v>
      </c>
      <c r="J142" s="230">
        <f t="shared" si="80"/>
        <v>4.37</v>
      </c>
      <c r="K142" s="230">
        <f t="shared" si="81"/>
        <v>4.37</v>
      </c>
      <c r="L142" s="230">
        <f t="shared" si="82"/>
        <v>4.37</v>
      </c>
      <c r="M142" s="230">
        <f t="shared" si="83"/>
        <v>4.37</v>
      </c>
      <c r="N142" s="230">
        <f t="shared" si="84"/>
        <v>4.37</v>
      </c>
      <c r="O142" s="230">
        <f t="shared" si="85"/>
        <v>4.37</v>
      </c>
      <c r="P142" s="230">
        <f t="shared" si="86"/>
        <v>4.37</v>
      </c>
      <c r="Q142" s="230">
        <f t="shared" si="87"/>
        <v>4.37</v>
      </c>
      <c r="R142" s="230">
        <f t="shared" si="88"/>
        <v>4.37</v>
      </c>
      <c r="S142" s="230">
        <f t="shared" si="89"/>
        <v>4.37</v>
      </c>
      <c r="T142" s="230">
        <f t="shared" si="90"/>
        <v>4.37</v>
      </c>
      <c r="U142" s="230">
        <f t="shared" si="91"/>
        <v>4.37</v>
      </c>
      <c r="V142" s="230">
        <f t="shared" si="92"/>
        <v>4.37</v>
      </c>
      <c r="W142" s="230">
        <f t="shared" si="93"/>
        <v>4.37</v>
      </c>
      <c r="X142" s="230">
        <f t="shared" si="94"/>
        <v>4.37</v>
      </c>
      <c r="Y142" s="230">
        <f t="shared" si="95"/>
        <v>4.37</v>
      </c>
      <c r="Z142" s="292">
        <f t="shared" si="96"/>
        <v>4.37</v>
      </c>
      <c r="AA142" s="300"/>
      <c r="AB142" s="191">
        <f t="shared" si="97"/>
        <v>4.3699999999999974</v>
      </c>
      <c r="AC142" s="139">
        <f t="shared" si="98"/>
        <v>3.0957977499461289</v>
      </c>
      <c r="AD142" s="132">
        <f t="shared" si="99"/>
        <v>65.160067713821576</v>
      </c>
      <c r="AE142" s="168">
        <f t="shared" si="100"/>
        <v>0.83573247185234922</v>
      </c>
      <c r="AF142" s="192">
        <f t="shared" si="101"/>
        <v>8.631099857316013E-2</v>
      </c>
      <c r="AG142" s="192">
        <f t="shared" si="74"/>
        <v>1.6088033732479132</v>
      </c>
      <c r="AH142" s="192">
        <f t="shared" si="102"/>
        <v>1.4455469246249377</v>
      </c>
      <c r="AI142" s="168">
        <f t="shared" si="103"/>
        <v>1.1732818120329376</v>
      </c>
      <c r="AJ142" s="192">
        <f t="shared" si="104"/>
        <v>0.38680873761801571</v>
      </c>
      <c r="AK142" s="132">
        <f t="shared" si="105"/>
        <v>89.010025266621398</v>
      </c>
      <c r="AL142" s="192">
        <f t="shared" si="106"/>
        <v>1.2645660139602106</v>
      </c>
      <c r="AM142" s="192">
        <f t="shared" si="75"/>
        <v>0</v>
      </c>
      <c r="AN142" s="192">
        <f t="shared" si="107"/>
        <v>0</v>
      </c>
      <c r="AO142" s="192">
        <f t="shared" si="76"/>
        <v>0</v>
      </c>
      <c r="AS142" s="132"/>
      <c r="AT142" s="132"/>
      <c r="AU142" s="200"/>
      <c r="AV142" s="132"/>
      <c r="AW142" s="132"/>
      <c r="AX142" s="132"/>
      <c r="AY142" s="132"/>
      <c r="AZ142" s="132"/>
      <c r="BA142" s="167"/>
      <c r="BB142" s="167"/>
      <c r="BD142" s="211">
        <f t="shared" si="108"/>
        <v>42547</v>
      </c>
      <c r="BE142" s="210">
        <v>1</v>
      </c>
      <c r="BF142" s="209">
        <v>0.5</v>
      </c>
      <c r="BG142" s="209">
        <v>2</v>
      </c>
      <c r="BH142" s="210"/>
      <c r="BI142" s="209"/>
      <c r="BJ142" s="209"/>
      <c r="BK142" s="168">
        <f t="shared" si="109"/>
        <v>4.37</v>
      </c>
      <c r="BL142" s="168">
        <f t="shared" si="110"/>
        <v>3.0957977499461289</v>
      </c>
    </row>
    <row r="143" spans="1:64" ht="13.5" thickBot="1" x14ac:dyDescent="0.25">
      <c r="A143" s="215">
        <f t="shared" si="77"/>
        <v>42548</v>
      </c>
      <c r="B143" s="190"/>
      <c r="C143" s="168"/>
      <c r="D143" s="198"/>
      <c r="E143" s="132">
        <f t="shared" si="78"/>
        <v>1004.9035117708617</v>
      </c>
      <c r="F143" s="168">
        <f t="shared" si="79"/>
        <v>817.27754794057068</v>
      </c>
      <c r="G143" s="300"/>
      <c r="H143" s="127">
        <f>VLOOKUP(MONTH(A143),ETP_Parametros!$A$6:$D$17,4,FALSE)</f>
        <v>1.8333333333333333</v>
      </c>
      <c r="I143" s="230">
        <f>VLOOKUP(A143,P_Q_obs!$A$4:$F$308,6,FALSE)*1</f>
        <v>0</v>
      </c>
      <c r="J143" s="230">
        <f t="shared" si="80"/>
        <v>0</v>
      </c>
      <c r="K143" s="230">
        <f t="shared" si="81"/>
        <v>0</v>
      </c>
      <c r="L143" s="230">
        <f t="shared" si="82"/>
        <v>0</v>
      </c>
      <c r="M143" s="230">
        <f t="shared" si="83"/>
        <v>0</v>
      </c>
      <c r="N143" s="230">
        <f t="shared" si="84"/>
        <v>0</v>
      </c>
      <c r="O143" s="230">
        <f t="shared" si="85"/>
        <v>0</v>
      </c>
      <c r="P143" s="230">
        <f t="shared" si="86"/>
        <v>0</v>
      </c>
      <c r="Q143" s="230">
        <f t="shared" si="87"/>
        <v>0</v>
      </c>
      <c r="R143" s="230">
        <f t="shared" si="88"/>
        <v>0</v>
      </c>
      <c r="S143" s="230">
        <f t="shared" si="89"/>
        <v>0</v>
      </c>
      <c r="T143" s="230">
        <f t="shared" si="90"/>
        <v>0</v>
      </c>
      <c r="U143" s="230">
        <f t="shared" si="91"/>
        <v>0</v>
      </c>
      <c r="V143" s="230">
        <f t="shared" si="92"/>
        <v>0</v>
      </c>
      <c r="W143" s="230">
        <f t="shared" si="93"/>
        <v>0</v>
      </c>
      <c r="X143" s="230">
        <f t="shared" si="94"/>
        <v>0</v>
      </c>
      <c r="Y143" s="230">
        <f t="shared" si="95"/>
        <v>0</v>
      </c>
      <c r="Z143" s="292">
        <f t="shared" si="96"/>
        <v>0</v>
      </c>
      <c r="AA143" s="300"/>
      <c r="AB143" s="191">
        <f t="shared" si="97"/>
        <v>0</v>
      </c>
      <c r="AC143" s="139">
        <f t="shared" si="98"/>
        <v>1.7697105132690412</v>
      </c>
      <c r="AD143" s="132">
        <f t="shared" si="99"/>
        <v>63.852208822662057</v>
      </c>
      <c r="AE143" s="168">
        <f t="shared" si="100"/>
        <v>0.83515745517971895</v>
      </c>
      <c r="AF143" s="192">
        <f t="shared" si="101"/>
        <v>0</v>
      </c>
      <c r="AG143" s="192">
        <f t="shared" si="74"/>
        <v>1.6353277156887494</v>
      </c>
      <c r="AH143" s="192">
        <f t="shared" si="102"/>
        <v>1.4422416887398186</v>
      </c>
      <c r="AI143" s="168">
        <f t="shared" si="103"/>
        <v>0.88237840473765117</v>
      </c>
      <c r="AJ143" s="192">
        <f t="shared" si="104"/>
        <v>0.29090340729528641</v>
      </c>
      <c r="AK143" s="132">
        <f t="shared" si="105"/>
        <v>89.18512450583917</v>
      </c>
      <c r="AL143" s="192">
        <f t="shared" si="106"/>
        <v>1.267142449522042</v>
      </c>
      <c r="AM143" s="192">
        <f t="shared" si="75"/>
        <v>0</v>
      </c>
      <c r="AN143" s="192">
        <f t="shared" si="107"/>
        <v>0</v>
      </c>
      <c r="AO143" s="192">
        <f t="shared" si="76"/>
        <v>0</v>
      </c>
      <c r="AS143" s="132"/>
      <c r="AT143" s="132"/>
      <c r="AU143" s="200"/>
      <c r="AV143" s="132"/>
      <c r="AW143" s="132"/>
      <c r="AX143" s="132"/>
      <c r="AY143" s="132"/>
      <c r="AZ143" s="132"/>
      <c r="BA143" s="167"/>
      <c r="BB143" s="167"/>
      <c r="BD143" s="211">
        <f t="shared" si="108"/>
        <v>42548</v>
      </c>
      <c r="BE143" s="210">
        <v>1</v>
      </c>
      <c r="BF143" s="209">
        <v>0.5</v>
      </c>
      <c r="BG143" s="209">
        <v>2</v>
      </c>
      <c r="BH143" s="210"/>
      <c r="BI143" s="209"/>
      <c r="BJ143" s="209"/>
      <c r="BK143" s="168">
        <f t="shared" si="109"/>
        <v>0</v>
      </c>
      <c r="BL143" s="168">
        <f t="shared" si="110"/>
        <v>1.7697105132690412</v>
      </c>
    </row>
    <row r="144" spans="1:64" ht="13.5" thickBot="1" x14ac:dyDescent="0.25">
      <c r="A144" s="215">
        <f t="shared" si="77"/>
        <v>42549</v>
      </c>
      <c r="B144" s="190"/>
      <c r="C144" s="168"/>
      <c r="D144" s="198"/>
      <c r="E144" s="132">
        <f t="shared" si="78"/>
        <v>959.99128053710399</v>
      </c>
      <c r="F144" s="168">
        <f t="shared" si="79"/>
        <v>818.88528455726635</v>
      </c>
      <c r="G144" s="300"/>
      <c r="H144" s="127">
        <f>VLOOKUP(MONTH(A144),ETP_Parametros!$A$6:$D$17,4,FALSE)</f>
        <v>1.8333333333333333</v>
      </c>
      <c r="I144" s="230">
        <f>VLOOKUP(A144,P_Q_obs!$A$4:$F$308,6,FALSE)*1</f>
        <v>0</v>
      </c>
      <c r="J144" s="230">
        <f t="shared" si="80"/>
        <v>0</v>
      </c>
      <c r="K144" s="230">
        <f t="shared" si="81"/>
        <v>0</v>
      </c>
      <c r="L144" s="230">
        <f t="shared" si="82"/>
        <v>0</v>
      </c>
      <c r="M144" s="230">
        <f t="shared" si="83"/>
        <v>0</v>
      </c>
      <c r="N144" s="230">
        <f t="shared" si="84"/>
        <v>0</v>
      </c>
      <c r="O144" s="230">
        <f t="shared" si="85"/>
        <v>0</v>
      </c>
      <c r="P144" s="230">
        <f t="shared" si="86"/>
        <v>0</v>
      </c>
      <c r="Q144" s="230">
        <f t="shared" si="87"/>
        <v>0</v>
      </c>
      <c r="R144" s="230">
        <f t="shared" si="88"/>
        <v>0</v>
      </c>
      <c r="S144" s="230">
        <f t="shared" si="89"/>
        <v>0</v>
      </c>
      <c r="T144" s="230">
        <f t="shared" si="90"/>
        <v>0</v>
      </c>
      <c r="U144" s="230">
        <f t="shared" si="91"/>
        <v>0</v>
      </c>
      <c r="V144" s="230">
        <f t="shared" si="92"/>
        <v>0</v>
      </c>
      <c r="W144" s="230">
        <f t="shared" si="93"/>
        <v>0</v>
      </c>
      <c r="X144" s="230">
        <f t="shared" si="94"/>
        <v>0</v>
      </c>
      <c r="Y144" s="230">
        <f t="shared" si="95"/>
        <v>0</v>
      </c>
      <c r="Z144" s="292">
        <f t="shared" si="96"/>
        <v>0</v>
      </c>
      <c r="AA144" s="300"/>
      <c r="AB144" s="191">
        <f t="shared" si="97"/>
        <v>0</v>
      </c>
      <c r="AC144" s="139">
        <f t="shared" si="98"/>
        <v>8.666403948274487E-2</v>
      </c>
      <c r="AD144" s="132">
        <f t="shared" si="99"/>
        <v>61.25921211974979</v>
      </c>
      <c r="AE144" s="168">
        <f t="shared" si="100"/>
        <v>0.81839461036390138</v>
      </c>
      <c r="AF144" s="192">
        <f t="shared" si="101"/>
        <v>0</v>
      </c>
      <c r="AG144" s="192">
        <f t="shared" si="74"/>
        <v>1.3323746664590583</v>
      </c>
      <c r="AH144" s="192">
        <f t="shared" si="102"/>
        <v>1.3472860759359511</v>
      </c>
      <c r="AI144" s="168">
        <f t="shared" si="103"/>
        <v>0.66360156712759533</v>
      </c>
      <c r="AJ144" s="192">
        <f t="shared" si="104"/>
        <v>0.21877683761005581</v>
      </c>
      <c r="AK144" s="132">
        <f t="shared" si="105"/>
        <v>89.262775427883795</v>
      </c>
      <c r="AL144" s="192">
        <f t="shared" si="106"/>
        <v>1.2696351538913222</v>
      </c>
      <c r="AM144" s="192">
        <f t="shared" si="75"/>
        <v>0</v>
      </c>
      <c r="AN144" s="192">
        <f t="shared" si="107"/>
        <v>0</v>
      </c>
      <c r="AO144" s="192">
        <f t="shared" si="76"/>
        <v>0</v>
      </c>
      <c r="AS144" s="132"/>
      <c r="AT144" s="132"/>
      <c r="AU144" s="200"/>
      <c r="AV144" s="132"/>
      <c r="AW144" s="132"/>
      <c r="AX144" s="132"/>
      <c r="AY144" s="132"/>
      <c r="AZ144" s="132"/>
      <c r="BA144" s="167"/>
      <c r="BB144" s="167"/>
      <c r="BD144" s="211">
        <f t="shared" si="108"/>
        <v>42549</v>
      </c>
      <c r="BE144" s="210">
        <v>1</v>
      </c>
      <c r="BF144" s="209">
        <v>0.5</v>
      </c>
      <c r="BG144" s="209">
        <v>2</v>
      </c>
      <c r="BH144" s="210"/>
      <c r="BI144" s="209"/>
      <c r="BJ144" s="209"/>
      <c r="BK144" s="168">
        <f t="shared" si="109"/>
        <v>0</v>
      </c>
      <c r="BL144" s="168">
        <f t="shared" si="110"/>
        <v>8.666403948274487E-2</v>
      </c>
    </row>
    <row r="145" spans="1:64" ht="13.5" thickBot="1" x14ac:dyDescent="0.25">
      <c r="A145" s="215">
        <f t="shared" si="77"/>
        <v>42550</v>
      </c>
      <c r="B145" s="190"/>
      <c r="C145" s="168"/>
      <c r="D145" s="198"/>
      <c r="E145" s="132">
        <f t="shared" si="78"/>
        <v>925.71844999602047</v>
      </c>
      <c r="F145" s="168">
        <f t="shared" si="79"/>
        <v>819.59826441514042</v>
      </c>
      <c r="G145" s="300"/>
      <c r="H145" s="127">
        <f>VLOOKUP(MONTH(A145),ETP_Parametros!$A$6:$D$17,4,FALSE)</f>
        <v>1.8333333333333333</v>
      </c>
      <c r="I145" s="230">
        <f>VLOOKUP(A145,P_Q_obs!$A$4:$F$308,6,FALSE)*1</f>
        <v>0</v>
      </c>
      <c r="J145" s="230">
        <f t="shared" si="80"/>
        <v>0</v>
      </c>
      <c r="K145" s="230">
        <f t="shared" si="81"/>
        <v>0</v>
      </c>
      <c r="L145" s="230">
        <f t="shared" si="82"/>
        <v>0</v>
      </c>
      <c r="M145" s="230">
        <f t="shared" si="83"/>
        <v>0</v>
      </c>
      <c r="N145" s="230">
        <f t="shared" si="84"/>
        <v>0</v>
      </c>
      <c r="O145" s="230">
        <f t="shared" si="85"/>
        <v>0</v>
      </c>
      <c r="P145" s="230">
        <f t="shared" si="86"/>
        <v>0</v>
      </c>
      <c r="Q145" s="230">
        <f t="shared" si="87"/>
        <v>0</v>
      </c>
      <c r="R145" s="230">
        <f t="shared" si="88"/>
        <v>0</v>
      </c>
      <c r="S145" s="230">
        <f t="shared" si="89"/>
        <v>0</v>
      </c>
      <c r="T145" s="230">
        <f t="shared" si="90"/>
        <v>0</v>
      </c>
      <c r="U145" s="230">
        <f t="shared" si="91"/>
        <v>0</v>
      </c>
      <c r="V145" s="230">
        <f t="shared" si="92"/>
        <v>0</v>
      </c>
      <c r="W145" s="230">
        <f t="shared" si="93"/>
        <v>0</v>
      </c>
      <c r="X145" s="230">
        <f t="shared" si="94"/>
        <v>0</v>
      </c>
      <c r="Y145" s="230">
        <f t="shared" si="95"/>
        <v>0</v>
      </c>
      <c r="Z145" s="292">
        <f t="shared" si="96"/>
        <v>0</v>
      </c>
      <c r="AA145" s="300"/>
      <c r="AB145" s="191">
        <f t="shared" si="97"/>
        <v>0</v>
      </c>
      <c r="AC145" s="139">
        <f t="shared" si="98"/>
        <v>0.10045672481156367</v>
      </c>
      <c r="AD145" s="132">
        <f t="shared" si="99"/>
        <v>58.907898949848637</v>
      </c>
      <c r="AE145" s="168">
        <f t="shared" si="100"/>
        <v>0.78516013710944443</v>
      </c>
      <c r="AF145" s="192">
        <f t="shared" si="101"/>
        <v>0</v>
      </c>
      <c r="AG145" s="192">
        <f t="shared" si="74"/>
        <v>1.2847503861064189</v>
      </c>
      <c r="AH145" s="192">
        <f t="shared" si="102"/>
        <v>1.1670195086063013</v>
      </c>
      <c r="AI145" s="168">
        <f t="shared" si="103"/>
        <v>0.49906824275139688</v>
      </c>
      <c r="AJ145" s="192">
        <f t="shared" si="104"/>
        <v>0.16453332437619844</v>
      </c>
      <c r="AK145" s="132">
        <f t="shared" si="105"/>
        <v>89.159054347797777</v>
      </c>
      <c r="AL145" s="192">
        <f t="shared" si="106"/>
        <v>1.2707405886923184</v>
      </c>
      <c r="AM145" s="192">
        <f t="shared" si="75"/>
        <v>0</v>
      </c>
      <c r="AN145" s="192">
        <f t="shared" si="107"/>
        <v>0</v>
      </c>
      <c r="AO145" s="192">
        <f t="shared" si="76"/>
        <v>0</v>
      </c>
      <c r="AS145" s="132"/>
      <c r="AT145" s="132"/>
      <c r="AU145" s="200"/>
      <c r="AV145" s="132"/>
      <c r="AW145" s="132"/>
      <c r="AX145" s="132"/>
      <c r="AY145" s="132"/>
      <c r="AZ145" s="132"/>
      <c r="BA145" s="167"/>
      <c r="BB145" s="167"/>
      <c r="BD145" s="211">
        <f t="shared" si="108"/>
        <v>42550</v>
      </c>
      <c r="BE145" s="210">
        <v>1</v>
      </c>
      <c r="BF145" s="209">
        <v>0.5</v>
      </c>
      <c r="BG145" s="209">
        <v>2</v>
      </c>
      <c r="BH145" s="210"/>
      <c r="BI145" s="209"/>
      <c r="BJ145" s="209"/>
      <c r="BK145" s="168">
        <f t="shared" si="109"/>
        <v>0</v>
      </c>
      <c r="BL145" s="168">
        <f t="shared" si="110"/>
        <v>0.10045672481156367</v>
      </c>
    </row>
    <row r="146" spans="1:64" ht="13.5" thickBot="1" x14ac:dyDescent="0.25">
      <c r="A146" s="215">
        <f t="shared" si="77"/>
        <v>42551</v>
      </c>
      <c r="B146" s="190"/>
      <c r="C146" s="168"/>
      <c r="D146" s="198"/>
      <c r="E146" s="132">
        <f t="shared" si="78"/>
        <v>898.45466650071876</v>
      </c>
      <c r="F146" s="168">
        <f t="shared" si="79"/>
        <v>818.64591202844554</v>
      </c>
      <c r="G146" s="300"/>
      <c r="H146" s="127">
        <f>VLOOKUP(MONTH(A146),ETP_Parametros!$A$6:$D$17,4,FALSE)</f>
        <v>1.8333333333333333</v>
      </c>
      <c r="I146" s="230">
        <f>VLOOKUP(A146,P_Q_obs!$A$4:$F$308,6,FALSE)*1</f>
        <v>0</v>
      </c>
      <c r="J146" s="230">
        <f t="shared" si="80"/>
        <v>0</v>
      </c>
      <c r="K146" s="230">
        <f t="shared" si="81"/>
        <v>0</v>
      </c>
      <c r="L146" s="230">
        <f t="shared" si="82"/>
        <v>0</v>
      </c>
      <c r="M146" s="230">
        <f t="shared" si="83"/>
        <v>0</v>
      </c>
      <c r="N146" s="230">
        <f t="shared" si="84"/>
        <v>0</v>
      </c>
      <c r="O146" s="230">
        <f t="shared" si="85"/>
        <v>0</v>
      </c>
      <c r="P146" s="230">
        <f t="shared" si="86"/>
        <v>0</v>
      </c>
      <c r="Q146" s="230">
        <f t="shared" si="87"/>
        <v>0</v>
      </c>
      <c r="R146" s="230">
        <f t="shared" si="88"/>
        <v>0</v>
      </c>
      <c r="S146" s="230">
        <f t="shared" si="89"/>
        <v>0</v>
      </c>
      <c r="T146" s="230">
        <f t="shared" si="90"/>
        <v>0</v>
      </c>
      <c r="U146" s="230">
        <f t="shared" si="91"/>
        <v>0</v>
      </c>
      <c r="V146" s="230">
        <f t="shared" si="92"/>
        <v>0</v>
      </c>
      <c r="W146" s="230">
        <f t="shared" si="93"/>
        <v>0</v>
      </c>
      <c r="X146" s="230">
        <f t="shared" si="94"/>
        <v>0</v>
      </c>
      <c r="Y146" s="230">
        <f t="shared" si="95"/>
        <v>0</v>
      </c>
      <c r="Z146" s="292">
        <f t="shared" si="96"/>
        <v>0</v>
      </c>
      <c r="AA146" s="300"/>
      <c r="AB146" s="191">
        <f t="shared" si="97"/>
        <v>0</v>
      </c>
      <c r="AC146" s="139">
        <f t="shared" si="98"/>
        <v>0</v>
      </c>
      <c r="AD146" s="132">
        <f t="shared" si="99"/>
        <v>56.680470844429408</v>
      </c>
      <c r="AE146" s="168">
        <f t="shared" si="100"/>
        <v>0.75502332491444002</v>
      </c>
      <c r="AF146" s="192">
        <f t="shared" si="101"/>
        <v>0</v>
      </c>
      <c r="AG146" s="192">
        <f t="shared" si="74"/>
        <v>1.2146840720032064</v>
      </c>
      <c r="AH146" s="192">
        <f t="shared" si="102"/>
        <v>1.0127440334160176</v>
      </c>
      <c r="AI146" s="168">
        <f t="shared" si="103"/>
        <v>0.3753292988759277</v>
      </c>
      <c r="AJ146" s="192">
        <f t="shared" si="104"/>
        <v>0.12373894387546922</v>
      </c>
      <c r="AK146" s="132">
        <f t="shared" si="105"/>
        <v>88.902534360841656</v>
      </c>
      <c r="AL146" s="192">
        <f t="shared" si="106"/>
        <v>1.2692640203721368</v>
      </c>
      <c r="AM146" s="192">
        <f t="shared" si="75"/>
        <v>0</v>
      </c>
      <c r="AN146" s="192">
        <f t="shared" si="107"/>
        <v>0</v>
      </c>
      <c r="AO146" s="192">
        <f t="shared" si="76"/>
        <v>0</v>
      </c>
      <c r="AS146" s="132"/>
      <c r="AT146" s="132"/>
      <c r="AU146" s="200"/>
      <c r="AV146" s="132"/>
      <c r="AW146" s="132"/>
      <c r="AX146" s="132"/>
      <c r="AY146" s="132"/>
      <c r="AZ146" s="132"/>
      <c r="BA146" s="167"/>
      <c r="BB146" s="167"/>
      <c r="BD146" s="211">
        <f t="shared" si="108"/>
        <v>42551</v>
      </c>
      <c r="BE146" s="210">
        <v>1</v>
      </c>
      <c r="BF146" s="209">
        <v>0.5</v>
      </c>
      <c r="BG146" s="209">
        <v>2</v>
      </c>
      <c r="BH146" s="210"/>
      <c r="BI146" s="209"/>
      <c r="BJ146" s="209"/>
      <c r="BK146" s="168">
        <f t="shared" si="109"/>
        <v>0</v>
      </c>
      <c r="BL146" s="168">
        <f t="shared" si="110"/>
        <v>0</v>
      </c>
    </row>
    <row r="147" spans="1:64" ht="13.5" thickBot="1" x14ac:dyDescent="0.25">
      <c r="A147" s="215">
        <f t="shared" si="77"/>
        <v>42552</v>
      </c>
      <c r="B147" s="190"/>
      <c r="C147" s="168"/>
      <c r="D147" s="198"/>
      <c r="E147" s="132">
        <f t="shared" si="78"/>
        <v>876.31155922646462</v>
      </c>
      <c r="F147" s="168">
        <f t="shared" si="79"/>
        <v>816.29058154393817</v>
      </c>
      <c r="G147" s="300"/>
      <c r="H147" s="127">
        <f>VLOOKUP(MONTH(A147),ETP_Parametros!$A$6:$D$17,4,FALSE)</f>
        <v>2.161290322580645</v>
      </c>
      <c r="I147" s="230">
        <f>VLOOKUP(A147,P_Q_obs!$A$4:$F$308,6,FALSE)*1</f>
        <v>0</v>
      </c>
      <c r="J147" s="230">
        <f t="shared" si="80"/>
        <v>0</v>
      </c>
      <c r="K147" s="230">
        <f t="shared" si="81"/>
        <v>0</v>
      </c>
      <c r="L147" s="230">
        <f t="shared" si="82"/>
        <v>0</v>
      </c>
      <c r="M147" s="230">
        <f t="shared" si="83"/>
        <v>0</v>
      </c>
      <c r="N147" s="230">
        <f t="shared" si="84"/>
        <v>0</v>
      </c>
      <c r="O147" s="230">
        <f t="shared" si="85"/>
        <v>0</v>
      </c>
      <c r="P147" s="230">
        <f t="shared" si="86"/>
        <v>0</v>
      </c>
      <c r="Q147" s="230">
        <f t="shared" si="87"/>
        <v>0</v>
      </c>
      <c r="R147" s="230">
        <f t="shared" si="88"/>
        <v>0</v>
      </c>
      <c r="S147" s="230">
        <f t="shared" si="89"/>
        <v>0</v>
      </c>
      <c r="T147" s="230">
        <f t="shared" si="90"/>
        <v>0</v>
      </c>
      <c r="U147" s="230">
        <f t="shared" si="91"/>
        <v>0</v>
      </c>
      <c r="V147" s="230">
        <f t="shared" si="92"/>
        <v>0</v>
      </c>
      <c r="W147" s="230">
        <f t="shared" si="93"/>
        <v>0</v>
      </c>
      <c r="X147" s="230">
        <f t="shared" si="94"/>
        <v>0</v>
      </c>
      <c r="Y147" s="230">
        <f t="shared" si="95"/>
        <v>0</v>
      </c>
      <c r="Z147" s="292">
        <f t="shared" si="96"/>
        <v>0</v>
      </c>
      <c r="AA147" s="300"/>
      <c r="AB147" s="191">
        <f t="shared" si="97"/>
        <v>0</v>
      </c>
      <c r="AC147" s="139">
        <f t="shared" si="98"/>
        <v>0</v>
      </c>
      <c r="AD147" s="132">
        <f t="shared" si="99"/>
        <v>54.427984786929976</v>
      </c>
      <c r="AE147" s="168">
        <f t="shared" si="100"/>
        <v>0.72647434923983201</v>
      </c>
      <c r="AF147" s="192">
        <f t="shared" si="101"/>
        <v>0</v>
      </c>
      <c r="AG147" s="192">
        <f t="shared" si="74"/>
        <v>1.3778277484496186</v>
      </c>
      <c r="AH147" s="192">
        <f t="shared" si="102"/>
        <v>0.87465830904981301</v>
      </c>
      <c r="AI147" s="168">
        <f t="shared" si="103"/>
        <v>0.28227017976150548</v>
      </c>
      <c r="AJ147" s="192">
        <f t="shared" si="104"/>
        <v>9.3059119114422217E-2</v>
      </c>
      <c r="AK147" s="132">
        <f t="shared" si="105"/>
        <v>88.511580455747321</v>
      </c>
      <c r="AL147" s="192">
        <f t="shared" si="106"/>
        <v>1.2656122141441384</v>
      </c>
      <c r="AM147" s="192">
        <f t="shared" si="75"/>
        <v>0</v>
      </c>
      <c r="AN147" s="192">
        <f t="shared" si="107"/>
        <v>0</v>
      </c>
      <c r="AO147" s="192">
        <f t="shared" si="76"/>
        <v>0</v>
      </c>
      <c r="AS147" s="132"/>
      <c r="AT147" s="132"/>
      <c r="AU147" s="200"/>
      <c r="AV147" s="132"/>
      <c r="AW147" s="132"/>
      <c r="AX147" s="132"/>
      <c r="AY147" s="132"/>
      <c r="AZ147" s="132"/>
      <c r="BA147" s="167"/>
      <c r="BB147" s="167"/>
      <c r="BD147" s="211">
        <f t="shared" si="108"/>
        <v>42552</v>
      </c>
      <c r="BE147" s="210">
        <v>1</v>
      </c>
      <c r="BF147" s="209">
        <v>0.5</v>
      </c>
      <c r="BG147" s="209">
        <v>2</v>
      </c>
      <c r="BH147" s="210"/>
      <c r="BI147" s="209"/>
      <c r="BJ147" s="209"/>
      <c r="BK147" s="168">
        <f t="shared" si="109"/>
        <v>0</v>
      </c>
      <c r="BL147" s="168">
        <f t="shared" si="110"/>
        <v>0</v>
      </c>
    </row>
    <row r="148" spans="1:64" ht="13.5" thickBot="1" x14ac:dyDescent="0.25">
      <c r="A148" s="215">
        <f t="shared" si="77"/>
        <v>42553</v>
      </c>
      <c r="B148" s="190"/>
      <c r="C148" s="168"/>
      <c r="D148" s="198"/>
      <c r="E148" s="132">
        <f t="shared" si="78"/>
        <v>857.84027854169426</v>
      </c>
      <c r="F148" s="168">
        <f t="shared" si="79"/>
        <v>812.7008977082553</v>
      </c>
      <c r="G148" s="300"/>
      <c r="H148" s="127">
        <f>VLOOKUP(MONTH(A148),ETP_Parametros!$A$6:$D$17,4,FALSE)</f>
        <v>2.161290322580645</v>
      </c>
      <c r="I148" s="230">
        <f>VLOOKUP(A148,P_Q_obs!$A$4:$F$308,6,FALSE)*1</f>
        <v>0</v>
      </c>
      <c r="J148" s="230">
        <f t="shared" si="80"/>
        <v>0</v>
      </c>
      <c r="K148" s="230">
        <f t="shared" si="81"/>
        <v>0</v>
      </c>
      <c r="L148" s="230">
        <f t="shared" si="82"/>
        <v>0</v>
      </c>
      <c r="M148" s="230">
        <f t="shared" si="83"/>
        <v>0</v>
      </c>
      <c r="N148" s="230">
        <f t="shared" si="84"/>
        <v>0</v>
      </c>
      <c r="O148" s="230">
        <f t="shared" si="85"/>
        <v>0</v>
      </c>
      <c r="P148" s="230">
        <f t="shared" si="86"/>
        <v>0</v>
      </c>
      <c r="Q148" s="230">
        <f t="shared" si="87"/>
        <v>0</v>
      </c>
      <c r="R148" s="230">
        <f t="shared" si="88"/>
        <v>0</v>
      </c>
      <c r="S148" s="230">
        <f t="shared" si="89"/>
        <v>0</v>
      </c>
      <c r="T148" s="230">
        <f t="shared" si="90"/>
        <v>0</v>
      </c>
      <c r="U148" s="230">
        <f t="shared" si="91"/>
        <v>0</v>
      </c>
      <c r="V148" s="230">
        <f t="shared" si="92"/>
        <v>0</v>
      </c>
      <c r="W148" s="230">
        <f t="shared" si="93"/>
        <v>0</v>
      </c>
      <c r="X148" s="230">
        <f t="shared" si="94"/>
        <v>0</v>
      </c>
      <c r="Y148" s="230">
        <f t="shared" si="95"/>
        <v>0</v>
      </c>
      <c r="Z148" s="292">
        <f t="shared" si="96"/>
        <v>0</v>
      </c>
      <c r="AA148" s="300"/>
      <c r="AB148" s="191">
        <f t="shared" si="97"/>
        <v>0</v>
      </c>
      <c r="AC148" s="139">
        <f t="shared" si="98"/>
        <v>0</v>
      </c>
      <c r="AD148" s="132">
        <f t="shared" si="99"/>
        <v>52.361916775224678</v>
      </c>
      <c r="AE148" s="168">
        <f t="shared" si="100"/>
        <v>0.69760420545988633</v>
      </c>
      <c r="AF148" s="192">
        <f t="shared" si="101"/>
        <v>0</v>
      </c>
      <c r="AG148" s="192">
        <f t="shared" si="74"/>
        <v>1.3230727729389731</v>
      </c>
      <c r="AH148" s="192">
        <f t="shared" si="102"/>
        <v>0.74299523876632734</v>
      </c>
      <c r="AI148" s="168">
        <f t="shared" si="103"/>
        <v>0.21228413188422895</v>
      </c>
      <c r="AJ148" s="192">
        <f t="shared" si="104"/>
        <v>6.9986047877276539E-2</v>
      </c>
      <c r="AK148" s="132">
        <f t="shared" si="105"/>
        <v>87.994529081406782</v>
      </c>
      <c r="AL148" s="192">
        <f t="shared" si="106"/>
        <v>1.2600466131068671</v>
      </c>
      <c r="AM148" s="192">
        <f t="shared" si="75"/>
        <v>0</v>
      </c>
      <c r="AN148" s="192">
        <f t="shared" si="107"/>
        <v>0</v>
      </c>
      <c r="AO148" s="192">
        <f t="shared" si="76"/>
        <v>0</v>
      </c>
      <c r="AS148" s="132"/>
      <c r="AT148" s="132"/>
      <c r="AU148" s="200"/>
      <c r="AV148" s="132"/>
      <c r="AW148" s="132"/>
      <c r="AX148" s="132"/>
      <c r="AY148" s="132"/>
      <c r="AZ148" s="132"/>
      <c r="BA148" s="167"/>
      <c r="BB148" s="167"/>
      <c r="BD148" s="211">
        <f t="shared" si="108"/>
        <v>42553</v>
      </c>
      <c r="BE148" s="210">
        <v>1</v>
      </c>
      <c r="BF148" s="209">
        <v>0.5</v>
      </c>
      <c r="BG148" s="209">
        <v>2</v>
      </c>
      <c r="BH148" s="210"/>
      <c r="BI148" s="209"/>
      <c r="BJ148" s="209"/>
      <c r="BK148" s="168">
        <f t="shared" si="109"/>
        <v>0</v>
      </c>
      <c r="BL148" s="168">
        <f t="shared" si="110"/>
        <v>0</v>
      </c>
    </row>
    <row r="149" spans="1:64" ht="13.5" thickBot="1" x14ac:dyDescent="0.25">
      <c r="A149" s="215">
        <f t="shared" si="77"/>
        <v>42554</v>
      </c>
      <c r="B149" s="190"/>
      <c r="C149" s="168"/>
      <c r="D149" s="198"/>
      <c r="E149" s="132">
        <f t="shared" si="78"/>
        <v>841.90093065073779</v>
      </c>
      <c r="F149" s="168">
        <f t="shared" si="79"/>
        <v>807.95340462402658</v>
      </c>
      <c r="G149" s="300"/>
      <c r="H149" s="127">
        <f>VLOOKUP(MONTH(A149),ETP_Parametros!$A$6:$D$17,4,FALSE)</f>
        <v>2.161290322580645</v>
      </c>
      <c r="I149" s="230">
        <f>VLOOKUP(A149,P_Q_obs!$A$4:$F$308,6,FALSE)*1</f>
        <v>0</v>
      </c>
      <c r="J149" s="230">
        <f t="shared" si="80"/>
        <v>0</v>
      </c>
      <c r="K149" s="230">
        <f t="shared" si="81"/>
        <v>0</v>
      </c>
      <c r="L149" s="230">
        <f t="shared" si="82"/>
        <v>0</v>
      </c>
      <c r="M149" s="230">
        <f t="shared" si="83"/>
        <v>0</v>
      </c>
      <c r="N149" s="230">
        <f t="shared" si="84"/>
        <v>0</v>
      </c>
      <c r="O149" s="230">
        <f t="shared" si="85"/>
        <v>0</v>
      </c>
      <c r="P149" s="230">
        <f t="shared" si="86"/>
        <v>0</v>
      </c>
      <c r="Q149" s="230">
        <f t="shared" si="87"/>
        <v>0</v>
      </c>
      <c r="R149" s="230">
        <f t="shared" si="88"/>
        <v>0</v>
      </c>
      <c r="S149" s="230">
        <f t="shared" si="89"/>
        <v>0</v>
      </c>
      <c r="T149" s="230">
        <f t="shared" si="90"/>
        <v>0</v>
      </c>
      <c r="U149" s="230">
        <f t="shared" si="91"/>
        <v>0</v>
      </c>
      <c r="V149" s="230">
        <f t="shared" si="92"/>
        <v>0</v>
      </c>
      <c r="W149" s="230">
        <f t="shared" si="93"/>
        <v>0</v>
      </c>
      <c r="X149" s="230">
        <f t="shared" si="94"/>
        <v>0</v>
      </c>
      <c r="Y149" s="230">
        <f t="shared" si="95"/>
        <v>0</v>
      </c>
      <c r="Z149" s="292">
        <f t="shared" si="96"/>
        <v>0</v>
      </c>
      <c r="AA149" s="300"/>
      <c r="AB149" s="191">
        <f t="shared" si="97"/>
        <v>0</v>
      </c>
      <c r="AC149" s="139">
        <f t="shared" si="98"/>
        <v>0</v>
      </c>
      <c r="AD149" s="132">
        <f t="shared" si="99"/>
        <v>50.459786200497753</v>
      </c>
      <c r="AE149" s="168">
        <f t="shared" si="100"/>
        <v>0.67112338425414031</v>
      </c>
      <c r="AF149" s="192">
        <f t="shared" si="101"/>
        <v>0</v>
      </c>
      <c r="AG149" s="192">
        <f t="shared" si="74"/>
        <v>1.2728493751036769</v>
      </c>
      <c r="AH149" s="192">
        <f t="shared" si="102"/>
        <v>0.62928119962325224</v>
      </c>
      <c r="AI149" s="168">
        <f t="shared" si="103"/>
        <v>0.15965041963666321</v>
      </c>
      <c r="AJ149" s="192">
        <f t="shared" si="104"/>
        <v>5.2633712247565745E-2</v>
      </c>
      <c r="AK149" s="132">
        <f t="shared" si="105"/>
        <v>87.371124386483217</v>
      </c>
      <c r="AL149" s="192">
        <f t="shared" si="106"/>
        <v>1.2526858945468164</v>
      </c>
      <c r="AM149" s="192">
        <f t="shared" si="75"/>
        <v>0</v>
      </c>
      <c r="AN149" s="192">
        <f t="shared" si="107"/>
        <v>0</v>
      </c>
      <c r="AO149" s="192">
        <f t="shared" si="76"/>
        <v>0</v>
      </c>
      <c r="AS149" s="132"/>
      <c r="AT149" s="132"/>
      <c r="AU149" s="200"/>
      <c r="AV149" s="132"/>
      <c r="AW149" s="132"/>
      <c r="AX149" s="132"/>
      <c r="AY149" s="132"/>
      <c r="AZ149" s="132"/>
      <c r="BA149" s="167"/>
      <c r="BB149" s="167"/>
      <c r="BD149" s="211">
        <f t="shared" si="108"/>
        <v>42554</v>
      </c>
      <c r="BE149" s="210">
        <v>1</v>
      </c>
      <c r="BF149" s="209">
        <v>0.5</v>
      </c>
      <c r="BG149" s="209">
        <v>2</v>
      </c>
      <c r="BH149" s="210"/>
      <c r="BI149" s="209"/>
      <c r="BJ149" s="209"/>
      <c r="BK149" s="168">
        <f t="shared" si="109"/>
        <v>0</v>
      </c>
      <c r="BL149" s="168">
        <f t="shared" si="110"/>
        <v>0</v>
      </c>
    </row>
    <row r="150" spans="1:64" ht="13.5" thickBot="1" x14ac:dyDescent="0.25">
      <c r="A150" s="215">
        <f t="shared" si="77"/>
        <v>42555</v>
      </c>
      <c r="B150" s="190"/>
      <c r="C150" s="168"/>
      <c r="D150" s="198"/>
      <c r="E150" s="132">
        <f t="shared" si="78"/>
        <v>827.75996917886971</v>
      </c>
      <c r="F150" s="168">
        <f t="shared" si="79"/>
        <v>802.22939029063389</v>
      </c>
      <c r="G150" s="300"/>
      <c r="H150" s="127">
        <f>VLOOKUP(MONTH(A150),ETP_Parametros!$A$6:$D$17,4,FALSE)</f>
        <v>2.161290322580645</v>
      </c>
      <c r="I150" s="230">
        <f>VLOOKUP(A150,P_Q_obs!$A$4:$F$308,6,FALSE)*1</f>
        <v>0</v>
      </c>
      <c r="J150" s="230">
        <f t="shared" si="80"/>
        <v>0</v>
      </c>
      <c r="K150" s="230">
        <f t="shared" si="81"/>
        <v>0</v>
      </c>
      <c r="L150" s="230">
        <f t="shared" si="82"/>
        <v>0</v>
      </c>
      <c r="M150" s="230">
        <f t="shared" si="83"/>
        <v>0</v>
      </c>
      <c r="N150" s="230">
        <f t="shared" si="84"/>
        <v>0</v>
      </c>
      <c r="O150" s="230">
        <f t="shared" si="85"/>
        <v>0</v>
      </c>
      <c r="P150" s="230">
        <f t="shared" si="86"/>
        <v>0</v>
      </c>
      <c r="Q150" s="230">
        <f t="shared" si="87"/>
        <v>0</v>
      </c>
      <c r="R150" s="230">
        <f t="shared" si="88"/>
        <v>0</v>
      </c>
      <c r="S150" s="230">
        <f t="shared" si="89"/>
        <v>0</v>
      </c>
      <c r="T150" s="230">
        <f t="shared" si="90"/>
        <v>0</v>
      </c>
      <c r="U150" s="230">
        <f t="shared" si="91"/>
        <v>0</v>
      </c>
      <c r="V150" s="230">
        <f t="shared" si="92"/>
        <v>0</v>
      </c>
      <c r="W150" s="230">
        <f t="shared" si="93"/>
        <v>0</v>
      </c>
      <c r="X150" s="230">
        <f t="shared" si="94"/>
        <v>0</v>
      </c>
      <c r="Y150" s="230">
        <f t="shared" si="95"/>
        <v>0</v>
      </c>
      <c r="Z150" s="292">
        <f t="shared" si="96"/>
        <v>0</v>
      </c>
      <c r="AA150" s="300"/>
      <c r="AB150" s="191">
        <f t="shared" si="97"/>
        <v>0</v>
      </c>
      <c r="AC150" s="139">
        <f t="shared" si="98"/>
        <v>0</v>
      </c>
      <c r="AD150" s="132">
        <f t="shared" si="99"/>
        <v>48.702618916027227</v>
      </c>
      <c r="AE150" s="168">
        <f t="shared" si="100"/>
        <v>0.64674375136018136</v>
      </c>
      <c r="AF150" s="192">
        <f t="shared" si="101"/>
        <v>0</v>
      </c>
      <c r="AG150" s="192">
        <f t="shared" si="74"/>
        <v>1.2266110808907282</v>
      </c>
      <c r="AH150" s="192">
        <f t="shared" si="102"/>
        <v>0.53055620357979572</v>
      </c>
      <c r="AI150" s="168">
        <f t="shared" si="103"/>
        <v>0.12006670618255587</v>
      </c>
      <c r="AJ150" s="192">
        <f t="shared" si="104"/>
        <v>3.9583713454107342E-2</v>
      </c>
      <c r="AK150" s="132">
        <f t="shared" si="105"/>
        <v>86.657869454845866</v>
      </c>
      <c r="AL150" s="192">
        <f t="shared" si="106"/>
        <v>1.2438111352171477</v>
      </c>
      <c r="AM150" s="192">
        <f t="shared" si="75"/>
        <v>0</v>
      </c>
      <c r="AN150" s="192">
        <f t="shared" si="107"/>
        <v>0</v>
      </c>
      <c r="AO150" s="192">
        <f t="shared" si="76"/>
        <v>0</v>
      </c>
      <c r="AS150" s="132"/>
      <c r="AT150" s="132"/>
      <c r="AU150" s="200"/>
      <c r="AV150" s="132"/>
      <c r="AW150" s="132"/>
      <c r="AX150" s="132"/>
      <c r="AY150" s="132"/>
      <c r="AZ150" s="132"/>
      <c r="BA150" s="167"/>
      <c r="BB150" s="167"/>
      <c r="BD150" s="211">
        <f t="shared" si="108"/>
        <v>42555</v>
      </c>
      <c r="BE150" s="210">
        <v>1</v>
      </c>
      <c r="BF150" s="209">
        <v>0.5</v>
      </c>
      <c r="BG150" s="209">
        <v>2</v>
      </c>
      <c r="BH150" s="210"/>
      <c r="BI150" s="209"/>
      <c r="BJ150" s="209"/>
      <c r="BK150" s="168">
        <f t="shared" si="109"/>
        <v>0</v>
      </c>
      <c r="BL150" s="168">
        <f t="shared" si="110"/>
        <v>0</v>
      </c>
    </row>
    <row r="151" spans="1:64" ht="13.5" thickBot="1" x14ac:dyDescent="0.25">
      <c r="A151" s="215">
        <f t="shared" si="77"/>
        <v>42556</v>
      </c>
      <c r="B151" s="190"/>
      <c r="C151" s="168"/>
      <c r="D151" s="198"/>
      <c r="E151" s="132">
        <f t="shared" si="78"/>
        <v>814.88091271802989</v>
      </c>
      <c r="F151" s="168">
        <f t="shared" si="79"/>
        <v>795.68038370582531</v>
      </c>
      <c r="G151" s="300"/>
      <c r="H151" s="127">
        <f>VLOOKUP(MONTH(A151),ETP_Parametros!$A$6:$D$17,4,FALSE)</f>
        <v>2.161290322580645</v>
      </c>
      <c r="I151" s="230">
        <f>VLOOKUP(A151,P_Q_obs!$A$4:$F$308,6,FALSE)*1</f>
        <v>0</v>
      </c>
      <c r="J151" s="230">
        <f t="shared" si="80"/>
        <v>0</v>
      </c>
      <c r="K151" s="230">
        <f t="shared" si="81"/>
        <v>0</v>
      </c>
      <c r="L151" s="230">
        <f t="shared" si="82"/>
        <v>0</v>
      </c>
      <c r="M151" s="230">
        <f t="shared" si="83"/>
        <v>0</v>
      </c>
      <c r="N151" s="230">
        <f t="shared" si="84"/>
        <v>0</v>
      </c>
      <c r="O151" s="230">
        <f t="shared" si="85"/>
        <v>0</v>
      </c>
      <c r="P151" s="230">
        <f t="shared" si="86"/>
        <v>0</v>
      </c>
      <c r="Q151" s="230">
        <f t="shared" si="87"/>
        <v>0</v>
      </c>
      <c r="R151" s="230">
        <f t="shared" si="88"/>
        <v>0</v>
      </c>
      <c r="S151" s="230">
        <f t="shared" si="89"/>
        <v>0</v>
      </c>
      <c r="T151" s="230">
        <f t="shared" si="90"/>
        <v>0</v>
      </c>
      <c r="U151" s="230">
        <f t="shared" si="91"/>
        <v>0</v>
      </c>
      <c r="V151" s="230">
        <f t="shared" si="92"/>
        <v>0</v>
      </c>
      <c r="W151" s="230">
        <f t="shared" si="93"/>
        <v>0</v>
      </c>
      <c r="X151" s="230">
        <f t="shared" si="94"/>
        <v>0</v>
      </c>
      <c r="Y151" s="230">
        <f t="shared" si="95"/>
        <v>0</v>
      </c>
      <c r="Z151" s="292">
        <f t="shared" si="96"/>
        <v>0</v>
      </c>
      <c r="AA151" s="300"/>
      <c r="AB151" s="191">
        <f t="shared" si="97"/>
        <v>0</v>
      </c>
      <c r="AC151" s="139">
        <f t="shared" si="98"/>
        <v>0</v>
      </c>
      <c r="AD151" s="132">
        <f t="shared" si="99"/>
        <v>47.074284726156471</v>
      </c>
      <c r="AE151" s="168">
        <f t="shared" si="100"/>
        <v>0.62422211488692492</v>
      </c>
      <c r="AF151" s="192">
        <f t="shared" si="101"/>
        <v>0</v>
      </c>
      <c r="AG151" s="192">
        <f t="shared" si="74"/>
        <v>1.1838966537319195</v>
      </c>
      <c r="AH151" s="192">
        <f t="shared" si="102"/>
        <v>0.44443753613883569</v>
      </c>
      <c r="AI151" s="168">
        <f t="shared" si="103"/>
        <v>9.0297375768485663E-2</v>
      </c>
      <c r="AJ151" s="192">
        <f t="shared" si="104"/>
        <v>2.9769330414070209E-2</v>
      </c>
      <c r="AK151" s="132">
        <f t="shared" si="105"/>
        <v>85.8686497187566</v>
      </c>
      <c r="AL151" s="192">
        <f t="shared" si="106"/>
        <v>1.2336572722281036</v>
      </c>
      <c r="AM151" s="192">
        <f t="shared" si="75"/>
        <v>0</v>
      </c>
      <c r="AN151" s="192">
        <f t="shared" si="107"/>
        <v>0</v>
      </c>
      <c r="AO151" s="192">
        <f t="shared" si="76"/>
        <v>0</v>
      </c>
      <c r="AS151" s="132"/>
      <c r="AT151" s="132"/>
      <c r="AU151" s="200"/>
      <c r="AV151" s="132"/>
      <c r="AW151" s="132"/>
      <c r="AX151" s="132"/>
      <c r="AY151" s="132"/>
      <c r="AZ151" s="132"/>
      <c r="BA151" s="167"/>
      <c r="BB151" s="167"/>
      <c r="BD151" s="211">
        <f t="shared" si="108"/>
        <v>42556</v>
      </c>
      <c r="BE151" s="210">
        <v>1</v>
      </c>
      <c r="BF151" s="209">
        <v>0.5</v>
      </c>
      <c r="BG151" s="209">
        <v>2</v>
      </c>
      <c r="BH151" s="210"/>
      <c r="BI151" s="209"/>
      <c r="BJ151" s="209"/>
      <c r="BK151" s="168">
        <f t="shared" si="109"/>
        <v>0</v>
      </c>
      <c r="BL151" s="168">
        <f t="shared" si="110"/>
        <v>0</v>
      </c>
    </row>
    <row r="152" spans="1:64" ht="13.5" thickBot="1" x14ac:dyDescent="0.25">
      <c r="A152" s="215">
        <f t="shared" si="77"/>
        <v>42557</v>
      </c>
      <c r="B152" s="190"/>
      <c r="C152" s="168"/>
      <c r="D152" s="198"/>
      <c r="E152" s="132">
        <f t="shared" si="78"/>
        <v>802.87383020088964</v>
      </c>
      <c r="F152" s="168">
        <f t="shared" si="79"/>
        <v>788.43387895801425</v>
      </c>
      <c r="G152" s="300"/>
      <c r="H152" s="127">
        <f>VLOOKUP(MONTH(A152),ETP_Parametros!$A$6:$D$17,4,FALSE)</f>
        <v>2.161290322580645</v>
      </c>
      <c r="I152" s="230">
        <f>VLOOKUP(A152,P_Q_obs!$A$4:$F$308,6,FALSE)*1</f>
        <v>0</v>
      </c>
      <c r="J152" s="230">
        <f t="shared" si="80"/>
        <v>0</v>
      </c>
      <c r="K152" s="230">
        <f t="shared" si="81"/>
        <v>0</v>
      </c>
      <c r="L152" s="230">
        <f t="shared" si="82"/>
        <v>0</v>
      </c>
      <c r="M152" s="230">
        <f t="shared" si="83"/>
        <v>0</v>
      </c>
      <c r="N152" s="230">
        <f t="shared" si="84"/>
        <v>0</v>
      </c>
      <c r="O152" s="230">
        <f t="shared" si="85"/>
        <v>0</v>
      </c>
      <c r="P152" s="230">
        <f t="shared" si="86"/>
        <v>0</v>
      </c>
      <c r="Q152" s="230">
        <f t="shared" si="87"/>
        <v>0</v>
      </c>
      <c r="R152" s="230">
        <f t="shared" si="88"/>
        <v>0</v>
      </c>
      <c r="S152" s="230">
        <f t="shared" si="89"/>
        <v>0</v>
      </c>
      <c r="T152" s="230">
        <f t="shared" si="90"/>
        <v>0</v>
      </c>
      <c r="U152" s="230">
        <f t="shared" si="91"/>
        <v>0</v>
      </c>
      <c r="V152" s="230">
        <f t="shared" si="92"/>
        <v>0</v>
      </c>
      <c r="W152" s="230">
        <f t="shared" si="93"/>
        <v>0</v>
      </c>
      <c r="X152" s="230">
        <f t="shared" si="94"/>
        <v>0</v>
      </c>
      <c r="Y152" s="230">
        <f t="shared" si="95"/>
        <v>0</v>
      </c>
      <c r="Z152" s="292">
        <f t="shared" si="96"/>
        <v>0</v>
      </c>
      <c r="AA152" s="300"/>
      <c r="AB152" s="191">
        <f t="shared" si="97"/>
        <v>0</v>
      </c>
      <c r="AC152" s="139">
        <f t="shared" si="98"/>
        <v>0</v>
      </c>
      <c r="AD152" s="132">
        <f t="shared" si="99"/>
        <v>45.560980396849466</v>
      </c>
      <c r="AE152" s="168">
        <f t="shared" si="100"/>
        <v>0.6033517339019443</v>
      </c>
      <c r="AF152" s="192">
        <f t="shared" si="101"/>
        <v>0</v>
      </c>
      <c r="AG152" s="192">
        <f t="shared" si="74"/>
        <v>1.1443139897715044</v>
      </c>
      <c r="AH152" s="192">
        <f t="shared" si="102"/>
        <v>0.36899033953550209</v>
      </c>
      <c r="AI152" s="168">
        <f t="shared" si="103"/>
        <v>6.7909050976029159E-2</v>
      </c>
      <c r="AJ152" s="192">
        <f t="shared" si="104"/>
        <v>2.2388324792456508E-2</v>
      </c>
      <c r="AK152" s="132">
        <f t="shared" si="105"/>
        <v>85.015218080364875</v>
      </c>
      <c r="AL152" s="192">
        <f t="shared" si="106"/>
        <v>1.2224219779272232</v>
      </c>
      <c r="AM152" s="192">
        <f t="shared" si="75"/>
        <v>0</v>
      </c>
      <c r="AN152" s="192">
        <f t="shared" si="107"/>
        <v>0</v>
      </c>
      <c r="AO152" s="192">
        <f t="shared" si="76"/>
        <v>0</v>
      </c>
      <c r="AS152" s="132"/>
      <c r="AT152" s="132"/>
      <c r="AU152" s="200"/>
      <c r="AV152" s="132"/>
      <c r="AW152" s="132"/>
      <c r="AX152" s="132"/>
      <c r="AY152" s="132"/>
      <c r="AZ152" s="132"/>
      <c r="BA152" s="167"/>
      <c r="BB152" s="167"/>
      <c r="BD152" s="211">
        <f t="shared" si="108"/>
        <v>42557</v>
      </c>
      <c r="BE152" s="210">
        <v>1</v>
      </c>
      <c r="BF152" s="209">
        <v>0.5</v>
      </c>
      <c r="BG152" s="209">
        <v>2</v>
      </c>
      <c r="BH152" s="210"/>
      <c r="BI152" s="209"/>
      <c r="BJ152" s="209"/>
      <c r="BK152" s="168">
        <f t="shared" si="109"/>
        <v>0</v>
      </c>
      <c r="BL152" s="168">
        <f t="shared" si="110"/>
        <v>0</v>
      </c>
    </row>
    <row r="153" spans="1:64" ht="13.5" thickBot="1" x14ac:dyDescent="0.25">
      <c r="A153" s="215">
        <f t="shared" si="77"/>
        <v>42558</v>
      </c>
      <c r="B153" s="190"/>
      <c r="C153" s="168"/>
      <c r="D153" s="198"/>
      <c r="E153" s="132">
        <f t="shared" si="78"/>
        <v>791.45750032375531</v>
      </c>
      <c r="F153" s="168">
        <f t="shared" si="79"/>
        <v>780.59778954369915</v>
      </c>
      <c r="G153" s="300"/>
      <c r="H153" s="127">
        <f>VLOOKUP(MONTH(A153),ETP_Parametros!$A$6:$D$17,4,FALSE)</f>
        <v>2.161290322580645</v>
      </c>
      <c r="I153" s="230">
        <f>VLOOKUP(A153,P_Q_obs!$A$4:$F$308,6,FALSE)*1</f>
        <v>0</v>
      </c>
      <c r="J153" s="230">
        <f t="shared" si="80"/>
        <v>0</v>
      </c>
      <c r="K153" s="230">
        <f t="shared" si="81"/>
        <v>0</v>
      </c>
      <c r="L153" s="230">
        <f t="shared" si="82"/>
        <v>0</v>
      </c>
      <c r="M153" s="230">
        <f t="shared" si="83"/>
        <v>0</v>
      </c>
      <c r="N153" s="230">
        <f t="shared" si="84"/>
        <v>0</v>
      </c>
      <c r="O153" s="230">
        <f t="shared" si="85"/>
        <v>0</v>
      </c>
      <c r="P153" s="230">
        <f t="shared" si="86"/>
        <v>0</v>
      </c>
      <c r="Q153" s="230">
        <f t="shared" si="87"/>
        <v>0</v>
      </c>
      <c r="R153" s="230">
        <f t="shared" si="88"/>
        <v>0</v>
      </c>
      <c r="S153" s="230">
        <f t="shared" si="89"/>
        <v>0</v>
      </c>
      <c r="T153" s="230">
        <f t="shared" si="90"/>
        <v>0</v>
      </c>
      <c r="U153" s="230">
        <f t="shared" si="91"/>
        <v>0</v>
      </c>
      <c r="V153" s="230">
        <f t="shared" si="92"/>
        <v>0</v>
      </c>
      <c r="W153" s="230">
        <f t="shared" si="93"/>
        <v>0</v>
      </c>
      <c r="X153" s="230">
        <f t="shared" si="94"/>
        <v>0</v>
      </c>
      <c r="Y153" s="230">
        <f t="shared" si="95"/>
        <v>0</v>
      </c>
      <c r="Z153" s="292">
        <f t="shared" si="96"/>
        <v>0</v>
      </c>
      <c r="AA153" s="300"/>
      <c r="AB153" s="191">
        <f t="shared" si="97"/>
        <v>0</v>
      </c>
      <c r="AC153" s="139">
        <f t="shared" si="98"/>
        <v>0</v>
      </c>
      <c r="AD153" s="132">
        <f t="shared" si="99"/>
        <v>44.150822056001786</v>
      </c>
      <c r="AE153" s="168">
        <f t="shared" si="100"/>
        <v>0.58395569217087651</v>
      </c>
      <c r="AF153" s="192">
        <f t="shared" si="101"/>
        <v>0</v>
      </c>
      <c r="AG153" s="192">
        <f t="shared" ref="AG153:AG216" si="111">IF((AC153-AF153)&gt;H153,H153*$O$11,(AC153-AF153+(H153*$O$11-(AC153-AF153))*AE153))</f>
        <v>1.1075275505322995</v>
      </c>
      <c r="AH153" s="192">
        <f t="shared" si="102"/>
        <v>0.30263079031538637</v>
      </c>
      <c r="AI153" s="168">
        <f t="shared" si="103"/>
        <v>5.1071685807223835E-2</v>
      </c>
      <c r="AJ153" s="192">
        <f t="shared" si="104"/>
        <v>1.6837365168805324E-2</v>
      </c>
      <c r="AK153" s="132">
        <f t="shared" si="105"/>
        <v>84.107576304614597</v>
      </c>
      <c r="AL153" s="192">
        <f t="shared" si="106"/>
        <v>1.2102725660656715</v>
      </c>
      <c r="AM153" s="192">
        <f t="shared" ref="AM153:AM216" si="112">IF(AI152&lt;=$O$12,0,(AI152-$O$12)*(1-0.5^(1/$O$13)))</f>
        <v>0</v>
      </c>
      <c r="AN153" s="192">
        <f t="shared" si="107"/>
        <v>0</v>
      </c>
      <c r="AO153" s="192">
        <f t="shared" ref="AO153:AO216" si="113">AN152*(1-0.5^(1/$O$14))</f>
        <v>0</v>
      </c>
      <c r="AS153" s="132"/>
      <c r="AT153" s="132"/>
      <c r="AU153" s="200"/>
      <c r="AV153" s="132"/>
      <c r="AW153" s="132"/>
      <c r="AX153" s="132"/>
      <c r="AY153" s="132"/>
      <c r="AZ153" s="132"/>
      <c r="BA153" s="167"/>
      <c r="BB153" s="167"/>
      <c r="BD153" s="211">
        <f t="shared" si="108"/>
        <v>42558</v>
      </c>
      <c r="BE153" s="210">
        <v>1</v>
      </c>
      <c r="BF153" s="209">
        <v>0.5</v>
      </c>
      <c r="BG153" s="209">
        <v>2</v>
      </c>
      <c r="BH153" s="210"/>
      <c r="BI153" s="209"/>
      <c r="BJ153" s="209"/>
      <c r="BK153" s="168">
        <f t="shared" si="109"/>
        <v>0</v>
      </c>
      <c r="BL153" s="168">
        <f t="shared" si="110"/>
        <v>0</v>
      </c>
    </row>
    <row r="154" spans="1:64" ht="13.5" thickBot="1" x14ac:dyDescent="0.25">
      <c r="A154" s="215">
        <f t="shared" si="77"/>
        <v>42559</v>
      </c>
      <c r="B154" s="190"/>
      <c r="C154" s="168"/>
      <c r="D154" s="198"/>
      <c r="E154" s="132">
        <f t="shared" si="78"/>
        <v>780.43110514121793</v>
      </c>
      <c r="F154" s="168">
        <f t="shared" si="79"/>
        <v>772.26395026355488</v>
      </c>
      <c r="G154" s="300"/>
      <c r="H154" s="127">
        <f>VLOOKUP(MONTH(A154),ETP_Parametros!$A$6:$D$17,4,FALSE)</f>
        <v>2.161290322580645</v>
      </c>
      <c r="I154" s="230">
        <f>VLOOKUP(A154,P_Q_obs!$A$4:$F$308,6,FALSE)*1</f>
        <v>0</v>
      </c>
      <c r="J154" s="230">
        <f t="shared" si="80"/>
        <v>0</v>
      </c>
      <c r="K154" s="230">
        <f t="shared" si="81"/>
        <v>0</v>
      </c>
      <c r="L154" s="230">
        <f t="shared" si="82"/>
        <v>0</v>
      </c>
      <c r="M154" s="230">
        <f t="shared" si="83"/>
        <v>0</v>
      </c>
      <c r="N154" s="230">
        <f t="shared" si="84"/>
        <v>0</v>
      </c>
      <c r="O154" s="230">
        <f t="shared" si="85"/>
        <v>0</v>
      </c>
      <c r="P154" s="230">
        <f t="shared" si="86"/>
        <v>0</v>
      </c>
      <c r="Q154" s="230">
        <f t="shared" si="87"/>
        <v>0</v>
      </c>
      <c r="R154" s="230">
        <f t="shared" si="88"/>
        <v>0</v>
      </c>
      <c r="S154" s="230">
        <f t="shared" si="89"/>
        <v>0</v>
      </c>
      <c r="T154" s="230">
        <f t="shared" si="90"/>
        <v>0</v>
      </c>
      <c r="U154" s="230">
        <f t="shared" si="91"/>
        <v>0</v>
      </c>
      <c r="V154" s="230">
        <f t="shared" si="92"/>
        <v>0</v>
      </c>
      <c r="W154" s="230">
        <f t="shared" si="93"/>
        <v>0</v>
      </c>
      <c r="X154" s="230">
        <f t="shared" si="94"/>
        <v>0</v>
      </c>
      <c r="Y154" s="230">
        <f t="shared" si="95"/>
        <v>0</v>
      </c>
      <c r="Z154" s="292">
        <f t="shared" si="96"/>
        <v>0</v>
      </c>
      <c r="AA154" s="300"/>
      <c r="AB154" s="191">
        <f t="shared" si="97"/>
        <v>0</v>
      </c>
      <c r="AC154" s="139">
        <f t="shared" si="98"/>
        <v>0</v>
      </c>
      <c r="AD154" s="132">
        <f t="shared" si="99"/>
        <v>42.83352078920651</v>
      </c>
      <c r="AE154" s="168">
        <f t="shared" si="100"/>
        <v>0.56588167394678257</v>
      </c>
      <c r="AF154" s="192">
        <f t="shared" si="101"/>
        <v>0</v>
      </c>
      <c r="AG154" s="192">
        <f t="shared" si="111"/>
        <v>1.0732484547029717</v>
      </c>
      <c r="AH154" s="192">
        <f t="shared" si="102"/>
        <v>0.24405281209230503</v>
      </c>
      <c r="AI154" s="168">
        <f t="shared" si="103"/>
        <v>3.8408975735980816E-2</v>
      </c>
      <c r="AJ154" s="192">
        <f t="shared" si="104"/>
        <v>1.2662710071243016E-2</v>
      </c>
      <c r="AK154" s="132">
        <f t="shared" si="105"/>
        <v>83.154277695417534</v>
      </c>
      <c r="AL154" s="192">
        <f t="shared" si="106"/>
        <v>1.1973514212893648</v>
      </c>
      <c r="AM154" s="192">
        <f t="shared" si="112"/>
        <v>0</v>
      </c>
      <c r="AN154" s="192">
        <f t="shared" si="107"/>
        <v>0</v>
      </c>
      <c r="AO154" s="192">
        <f t="shared" si="113"/>
        <v>0</v>
      </c>
      <c r="AS154" s="132"/>
      <c r="AT154" s="132"/>
      <c r="AU154" s="200"/>
      <c r="AV154" s="132"/>
      <c r="AW154" s="132"/>
      <c r="AX154" s="132"/>
      <c r="AY154" s="132"/>
      <c r="AZ154" s="132"/>
      <c r="BA154" s="167"/>
      <c r="BB154" s="167"/>
      <c r="BD154" s="211">
        <f t="shared" si="108"/>
        <v>42559</v>
      </c>
      <c r="BE154" s="210">
        <v>1</v>
      </c>
      <c r="BF154" s="209">
        <v>0.5</v>
      </c>
      <c r="BG154" s="209">
        <v>2</v>
      </c>
      <c r="BH154" s="210"/>
      <c r="BI154" s="209"/>
      <c r="BJ154" s="209"/>
      <c r="BK154" s="168">
        <f t="shared" si="109"/>
        <v>0</v>
      </c>
      <c r="BL154" s="168">
        <f t="shared" si="110"/>
        <v>0</v>
      </c>
    </row>
    <row r="155" spans="1:64" ht="13.5" thickBot="1" x14ac:dyDescent="0.25">
      <c r="A155" s="215">
        <f t="shared" si="77"/>
        <v>42560</v>
      </c>
      <c r="B155" s="190"/>
      <c r="C155" s="168"/>
      <c r="D155" s="198"/>
      <c r="E155" s="132">
        <f t="shared" si="78"/>
        <v>769.65308744276774</v>
      </c>
      <c r="F155" s="168">
        <f t="shared" si="79"/>
        <v>763.51089635253777</v>
      </c>
      <c r="G155" s="300"/>
      <c r="H155" s="127">
        <f>VLOOKUP(MONTH(A155),ETP_Parametros!$A$6:$D$17,4,FALSE)</f>
        <v>2.161290322580645</v>
      </c>
      <c r="I155" s="230">
        <f>VLOOKUP(A155,P_Q_obs!$A$4:$F$308,6,FALSE)*1</f>
        <v>0</v>
      </c>
      <c r="J155" s="230">
        <f t="shared" si="80"/>
        <v>0</v>
      </c>
      <c r="K155" s="230">
        <f t="shared" si="81"/>
        <v>0</v>
      </c>
      <c r="L155" s="230">
        <f t="shared" si="82"/>
        <v>0</v>
      </c>
      <c r="M155" s="230">
        <f t="shared" si="83"/>
        <v>0</v>
      </c>
      <c r="N155" s="230">
        <f t="shared" si="84"/>
        <v>0</v>
      </c>
      <c r="O155" s="230">
        <f t="shared" si="85"/>
        <v>0</v>
      </c>
      <c r="P155" s="230">
        <f t="shared" si="86"/>
        <v>0</v>
      </c>
      <c r="Q155" s="230">
        <f t="shared" si="87"/>
        <v>0</v>
      </c>
      <c r="R155" s="230">
        <f t="shared" si="88"/>
        <v>0</v>
      </c>
      <c r="S155" s="230">
        <f t="shared" si="89"/>
        <v>0</v>
      </c>
      <c r="T155" s="230">
        <f t="shared" si="90"/>
        <v>0</v>
      </c>
      <c r="U155" s="230">
        <f t="shared" si="91"/>
        <v>0</v>
      </c>
      <c r="V155" s="230">
        <f t="shared" si="92"/>
        <v>0</v>
      </c>
      <c r="W155" s="230">
        <f t="shared" si="93"/>
        <v>0</v>
      </c>
      <c r="X155" s="230">
        <f t="shared" si="94"/>
        <v>0</v>
      </c>
      <c r="Y155" s="230">
        <f t="shared" si="95"/>
        <v>0</v>
      </c>
      <c r="Z155" s="292">
        <f t="shared" si="96"/>
        <v>0</v>
      </c>
      <c r="AA155" s="300"/>
      <c r="AB155" s="191">
        <f t="shared" si="97"/>
        <v>0</v>
      </c>
      <c r="AC155" s="139">
        <f t="shared" si="98"/>
        <v>0</v>
      </c>
      <c r="AD155" s="132">
        <f t="shared" si="99"/>
        <v>41.600122192501395</v>
      </c>
      <c r="AE155" s="168">
        <f t="shared" si="100"/>
        <v>0.54899780607676196</v>
      </c>
      <c r="AF155" s="192">
        <f t="shared" si="101"/>
        <v>0</v>
      </c>
      <c r="AG155" s="192">
        <f t="shared" si="111"/>
        <v>1.0412265922974879</v>
      </c>
      <c r="AH155" s="192">
        <f t="shared" si="102"/>
        <v>0.19217200440762278</v>
      </c>
      <c r="AI155" s="168">
        <f t="shared" si="103"/>
        <v>2.8885857080490115E-2</v>
      </c>
      <c r="AJ155" s="192">
        <f t="shared" si="104"/>
        <v>9.5231186554907005E-3</v>
      </c>
      <c r="AK155" s="132">
        <f t="shared" si="105"/>
        <v>82.162669391802709</v>
      </c>
      <c r="AL155" s="192">
        <f t="shared" si="106"/>
        <v>1.1837803080224538</v>
      </c>
      <c r="AM155" s="192">
        <f t="shared" si="112"/>
        <v>0</v>
      </c>
      <c r="AN155" s="192">
        <f t="shared" si="107"/>
        <v>0</v>
      </c>
      <c r="AO155" s="192">
        <f t="shared" si="113"/>
        <v>0</v>
      </c>
      <c r="AS155" s="132"/>
      <c r="AT155" s="132"/>
      <c r="AU155" s="200"/>
      <c r="AV155" s="132"/>
      <c r="AW155" s="132"/>
      <c r="AX155" s="132"/>
      <c r="AY155" s="132"/>
      <c r="AZ155" s="132"/>
      <c r="BA155" s="167"/>
      <c r="BB155" s="167"/>
      <c r="BD155" s="211">
        <f t="shared" si="108"/>
        <v>42560</v>
      </c>
      <c r="BE155" s="210">
        <v>1</v>
      </c>
      <c r="BF155" s="209">
        <v>0.5</v>
      </c>
      <c r="BG155" s="209">
        <v>2</v>
      </c>
      <c r="BH155" s="210"/>
      <c r="BI155" s="209"/>
      <c r="BJ155" s="209"/>
      <c r="BK155" s="168">
        <f t="shared" si="109"/>
        <v>0</v>
      </c>
      <c r="BL155" s="168">
        <f t="shared" si="110"/>
        <v>0</v>
      </c>
    </row>
    <row r="156" spans="1:64" ht="13.5" thickBot="1" x14ac:dyDescent="0.25">
      <c r="A156" s="215">
        <f t="shared" si="77"/>
        <v>42561</v>
      </c>
      <c r="B156" s="190"/>
      <c r="C156" s="168"/>
      <c r="D156" s="198"/>
      <c r="E156" s="132">
        <f t="shared" si="78"/>
        <v>759.02538488633309</v>
      </c>
      <c r="F156" s="168">
        <f t="shared" si="79"/>
        <v>754.4060882090921</v>
      </c>
      <c r="G156" s="300"/>
      <c r="H156" s="127">
        <f>VLOOKUP(MONTH(A156),ETP_Parametros!$A$6:$D$17,4,FALSE)</f>
        <v>2.161290322580645</v>
      </c>
      <c r="I156" s="230">
        <f>VLOOKUP(A156,P_Q_obs!$A$4:$F$308,6,FALSE)*1</f>
        <v>0</v>
      </c>
      <c r="J156" s="230">
        <f t="shared" si="80"/>
        <v>0</v>
      </c>
      <c r="K156" s="230">
        <f t="shared" si="81"/>
        <v>0</v>
      </c>
      <c r="L156" s="230">
        <f t="shared" si="82"/>
        <v>0</v>
      </c>
      <c r="M156" s="230">
        <f t="shared" si="83"/>
        <v>0</v>
      </c>
      <c r="N156" s="230">
        <f t="shared" si="84"/>
        <v>0</v>
      </c>
      <c r="O156" s="230">
        <f t="shared" si="85"/>
        <v>0</v>
      </c>
      <c r="P156" s="230">
        <f t="shared" si="86"/>
        <v>0</v>
      </c>
      <c r="Q156" s="230">
        <f t="shared" si="87"/>
        <v>0</v>
      </c>
      <c r="R156" s="230">
        <f t="shared" si="88"/>
        <v>0</v>
      </c>
      <c r="S156" s="230">
        <f t="shared" si="89"/>
        <v>0</v>
      </c>
      <c r="T156" s="230">
        <f t="shared" si="90"/>
        <v>0</v>
      </c>
      <c r="U156" s="230">
        <f t="shared" si="91"/>
        <v>0</v>
      </c>
      <c r="V156" s="230">
        <f t="shared" si="92"/>
        <v>0</v>
      </c>
      <c r="W156" s="230">
        <f t="shared" si="93"/>
        <v>0</v>
      </c>
      <c r="X156" s="230">
        <f t="shared" si="94"/>
        <v>0</v>
      </c>
      <c r="Y156" s="230">
        <f t="shared" si="95"/>
        <v>0</v>
      </c>
      <c r="Z156" s="292">
        <f t="shared" si="96"/>
        <v>0</v>
      </c>
      <c r="AA156" s="300"/>
      <c r="AB156" s="191">
        <f t="shared" si="97"/>
        <v>0</v>
      </c>
      <c r="AC156" s="139">
        <f t="shared" si="98"/>
        <v>0</v>
      </c>
      <c r="AD156" s="132">
        <f t="shared" si="99"/>
        <v>40.442795582237189</v>
      </c>
      <c r="AE156" s="168">
        <f t="shared" si="100"/>
        <v>0.53318931984604578</v>
      </c>
      <c r="AF156" s="192">
        <f t="shared" si="101"/>
        <v>0</v>
      </c>
      <c r="AG156" s="192">
        <f t="shared" si="111"/>
        <v>1.0112442935247148</v>
      </c>
      <c r="AH156" s="192">
        <f t="shared" si="102"/>
        <v>0.14608231673949151</v>
      </c>
      <c r="AI156" s="168">
        <f t="shared" si="103"/>
        <v>2.1723899773064173E-2</v>
      </c>
      <c r="AJ156" s="192">
        <f t="shared" si="104"/>
        <v>7.1619573074259433E-3</v>
      </c>
      <c r="AK156" s="132">
        <f t="shared" si="105"/>
        <v>81.139087888758525</v>
      </c>
      <c r="AL156" s="192">
        <f t="shared" si="106"/>
        <v>1.1696638197836837</v>
      </c>
      <c r="AM156" s="192">
        <f t="shared" si="112"/>
        <v>0</v>
      </c>
      <c r="AN156" s="192">
        <f t="shared" si="107"/>
        <v>0</v>
      </c>
      <c r="AO156" s="192">
        <f t="shared" si="113"/>
        <v>0</v>
      </c>
      <c r="AS156" s="132"/>
      <c r="AT156" s="132"/>
      <c r="AU156" s="200"/>
      <c r="AV156" s="132"/>
      <c r="AW156" s="132"/>
      <c r="AX156" s="132"/>
      <c r="AY156" s="132"/>
      <c r="AZ156" s="132"/>
      <c r="BA156" s="167"/>
      <c r="BB156" s="167"/>
      <c r="BD156" s="211">
        <f t="shared" si="108"/>
        <v>42561</v>
      </c>
      <c r="BE156" s="210">
        <v>1</v>
      </c>
      <c r="BF156" s="209">
        <v>0.5</v>
      </c>
      <c r="BG156" s="209">
        <v>2</v>
      </c>
      <c r="BH156" s="210"/>
      <c r="BI156" s="209"/>
      <c r="BJ156" s="209"/>
      <c r="BK156" s="168">
        <f t="shared" si="109"/>
        <v>0</v>
      </c>
      <c r="BL156" s="168">
        <f t="shared" si="110"/>
        <v>0</v>
      </c>
    </row>
    <row r="157" spans="1:64" ht="13.5" thickBot="1" x14ac:dyDescent="0.25">
      <c r="A157" s="215">
        <f t="shared" si="77"/>
        <v>42562</v>
      </c>
      <c r="B157" s="190"/>
      <c r="C157" s="168"/>
      <c r="D157" s="198"/>
      <c r="E157" s="132">
        <f t="shared" si="78"/>
        <v>748.48169523450224</v>
      </c>
      <c r="F157" s="168">
        <f t="shared" si="79"/>
        <v>745.00770664005586</v>
      </c>
      <c r="G157" s="300"/>
      <c r="H157" s="127">
        <f>VLOOKUP(MONTH(A157),ETP_Parametros!$A$6:$D$17,4,FALSE)</f>
        <v>2.161290322580645</v>
      </c>
      <c r="I157" s="230">
        <f>VLOOKUP(A157,P_Q_obs!$A$4:$F$308,6,FALSE)*1</f>
        <v>0</v>
      </c>
      <c r="J157" s="230">
        <f t="shared" si="80"/>
        <v>0</v>
      </c>
      <c r="K157" s="230">
        <f t="shared" si="81"/>
        <v>0</v>
      </c>
      <c r="L157" s="230">
        <f t="shared" si="82"/>
        <v>0</v>
      </c>
      <c r="M157" s="230">
        <f t="shared" si="83"/>
        <v>0</v>
      </c>
      <c r="N157" s="230">
        <f t="shared" si="84"/>
        <v>0</v>
      </c>
      <c r="O157" s="230">
        <f t="shared" si="85"/>
        <v>0</v>
      </c>
      <c r="P157" s="230">
        <f t="shared" si="86"/>
        <v>0</v>
      </c>
      <c r="Q157" s="230">
        <f t="shared" si="87"/>
        <v>0</v>
      </c>
      <c r="R157" s="230">
        <f t="shared" si="88"/>
        <v>0</v>
      </c>
      <c r="S157" s="230">
        <f t="shared" si="89"/>
        <v>0</v>
      </c>
      <c r="T157" s="230">
        <f t="shared" si="90"/>
        <v>0</v>
      </c>
      <c r="U157" s="230">
        <f t="shared" si="91"/>
        <v>0</v>
      </c>
      <c r="V157" s="230">
        <f t="shared" si="92"/>
        <v>0</v>
      </c>
      <c r="W157" s="230">
        <f t="shared" si="93"/>
        <v>0</v>
      </c>
      <c r="X157" s="230">
        <f t="shared" si="94"/>
        <v>0</v>
      </c>
      <c r="Y157" s="230">
        <f t="shared" si="95"/>
        <v>0</v>
      </c>
      <c r="Z157" s="292">
        <f t="shared" si="96"/>
        <v>0</v>
      </c>
      <c r="AA157" s="300"/>
      <c r="AB157" s="191">
        <f t="shared" si="97"/>
        <v>0</v>
      </c>
      <c r="AC157" s="139">
        <f t="shared" si="98"/>
        <v>0</v>
      </c>
      <c r="AD157" s="132">
        <f t="shared" si="99"/>
        <v>39.354662114918284</v>
      </c>
      <c r="AE157" s="168">
        <f t="shared" si="100"/>
        <v>0.51835584927807399</v>
      </c>
      <c r="AF157" s="192">
        <f t="shared" si="101"/>
        <v>0</v>
      </c>
      <c r="AG157" s="192">
        <f t="shared" si="111"/>
        <v>0.98311120475737135</v>
      </c>
      <c r="AH157" s="192">
        <f t="shared" si="102"/>
        <v>0.10502226256153341</v>
      </c>
      <c r="AI157" s="168">
        <f t="shared" si="103"/>
        <v>1.6337677640483925E-2</v>
      </c>
      <c r="AJ157" s="192">
        <f t="shared" si="104"/>
        <v>5.3862221325802484E-3</v>
      </c>
      <c r="AK157" s="132">
        <f t="shared" si="105"/>
        <v>80.089017988708335</v>
      </c>
      <c r="AL157" s="192">
        <f t="shared" si="106"/>
        <v>1.1550921626117221</v>
      </c>
      <c r="AM157" s="192">
        <f t="shared" si="112"/>
        <v>0</v>
      </c>
      <c r="AN157" s="192">
        <f t="shared" si="107"/>
        <v>0</v>
      </c>
      <c r="AO157" s="192">
        <f t="shared" si="113"/>
        <v>0</v>
      </c>
      <c r="AS157" s="132"/>
      <c r="AT157" s="132"/>
      <c r="AU157" s="200"/>
      <c r="AV157" s="132"/>
      <c r="AW157" s="132"/>
      <c r="AX157" s="132"/>
      <c r="AY157" s="132"/>
      <c r="AZ157" s="132"/>
      <c r="BA157" s="167"/>
      <c r="BB157" s="167"/>
      <c r="BD157" s="211">
        <f t="shared" si="108"/>
        <v>42562</v>
      </c>
      <c r="BE157" s="210">
        <v>1</v>
      </c>
      <c r="BF157" s="209">
        <v>0.5</v>
      </c>
      <c r="BG157" s="209">
        <v>2</v>
      </c>
      <c r="BH157" s="210"/>
      <c r="BI157" s="209"/>
      <c r="BJ157" s="209"/>
      <c r="BK157" s="168">
        <f t="shared" si="109"/>
        <v>0</v>
      </c>
      <c r="BL157" s="168">
        <f t="shared" si="110"/>
        <v>0</v>
      </c>
    </row>
    <row r="158" spans="1:64" ht="13.5" thickBot="1" x14ac:dyDescent="0.25">
      <c r="A158" s="215">
        <f t="shared" si="77"/>
        <v>42563</v>
      </c>
      <c r="B158" s="190"/>
      <c r="C158" s="168"/>
      <c r="D158" s="198"/>
      <c r="E158" s="132">
        <f t="shared" si="78"/>
        <v>737.97876044532973</v>
      </c>
      <c r="F158" s="168">
        <f t="shared" si="79"/>
        <v>735.36611233077917</v>
      </c>
      <c r="G158" s="300"/>
      <c r="H158" s="127">
        <f>VLOOKUP(MONTH(A158),ETP_Parametros!$A$6:$D$17,4,FALSE)</f>
        <v>2.161290322580645</v>
      </c>
      <c r="I158" s="230">
        <f>VLOOKUP(A158,P_Q_obs!$A$4:$F$308,6,FALSE)*1</f>
        <v>0</v>
      </c>
      <c r="J158" s="230">
        <f t="shared" si="80"/>
        <v>0</v>
      </c>
      <c r="K158" s="230">
        <f t="shared" si="81"/>
        <v>0</v>
      </c>
      <c r="L158" s="230">
        <f t="shared" si="82"/>
        <v>0</v>
      </c>
      <c r="M158" s="230">
        <f t="shared" si="83"/>
        <v>0</v>
      </c>
      <c r="N158" s="230">
        <f t="shared" si="84"/>
        <v>0</v>
      </c>
      <c r="O158" s="230">
        <f t="shared" si="85"/>
        <v>0</v>
      </c>
      <c r="P158" s="230">
        <f t="shared" si="86"/>
        <v>0</v>
      </c>
      <c r="Q158" s="230">
        <f t="shared" si="87"/>
        <v>0</v>
      </c>
      <c r="R158" s="230">
        <f t="shared" si="88"/>
        <v>0</v>
      </c>
      <c r="S158" s="230">
        <f t="shared" si="89"/>
        <v>0</v>
      </c>
      <c r="T158" s="230">
        <f t="shared" si="90"/>
        <v>0</v>
      </c>
      <c r="U158" s="230">
        <f t="shared" si="91"/>
        <v>0</v>
      </c>
      <c r="V158" s="230">
        <f t="shared" si="92"/>
        <v>0</v>
      </c>
      <c r="W158" s="230">
        <f t="shared" si="93"/>
        <v>0</v>
      </c>
      <c r="X158" s="230">
        <f t="shared" si="94"/>
        <v>0</v>
      </c>
      <c r="Y158" s="230">
        <f t="shared" si="95"/>
        <v>0</v>
      </c>
      <c r="Z158" s="292">
        <f t="shared" si="96"/>
        <v>0</v>
      </c>
      <c r="AA158" s="300"/>
      <c r="AB158" s="191">
        <f t="shared" si="97"/>
        <v>0</v>
      </c>
      <c r="AC158" s="139">
        <f t="shared" si="98"/>
        <v>0</v>
      </c>
      <c r="AD158" s="132">
        <f t="shared" si="99"/>
        <v>38.329653656783911</v>
      </c>
      <c r="AE158" s="168">
        <f t="shared" si="100"/>
        <v>0.50440922814420464</v>
      </c>
      <c r="AF158" s="192">
        <f t="shared" si="101"/>
        <v>0</v>
      </c>
      <c r="AG158" s="192">
        <f t="shared" si="111"/>
        <v>0.95666011035126286</v>
      </c>
      <c r="AH158" s="192">
        <f t="shared" si="102"/>
        <v>6.8348347783104876E-2</v>
      </c>
      <c r="AI158" s="168">
        <f t="shared" si="103"/>
        <v>1.2286915032416353E-2</v>
      </c>
      <c r="AJ158" s="192">
        <f t="shared" si="104"/>
        <v>4.0507626080675723E-3</v>
      </c>
      <c r="AK158" s="132">
        <f t="shared" si="105"/>
        <v>79.017222918600694</v>
      </c>
      <c r="AL158" s="192">
        <f t="shared" si="106"/>
        <v>1.140143417890739</v>
      </c>
      <c r="AM158" s="192">
        <f t="shared" si="112"/>
        <v>0</v>
      </c>
      <c r="AN158" s="192">
        <f t="shared" si="107"/>
        <v>0</v>
      </c>
      <c r="AO158" s="192">
        <f t="shared" si="113"/>
        <v>0</v>
      </c>
      <c r="AS158" s="132"/>
      <c r="AT158" s="132"/>
      <c r="AU158" s="200"/>
      <c r="AV158" s="132"/>
      <c r="AW158" s="132"/>
      <c r="AX158" s="132"/>
      <c r="AY158" s="132"/>
      <c r="AZ158" s="132"/>
      <c r="BA158" s="167"/>
      <c r="BB158" s="167"/>
      <c r="BD158" s="211">
        <f t="shared" si="108"/>
        <v>42563</v>
      </c>
      <c r="BE158" s="210">
        <v>1</v>
      </c>
      <c r="BF158" s="209">
        <v>0.5</v>
      </c>
      <c r="BG158" s="209">
        <v>2</v>
      </c>
      <c r="BH158" s="210"/>
      <c r="BI158" s="209"/>
      <c r="BJ158" s="209"/>
      <c r="BK158" s="168">
        <f t="shared" si="109"/>
        <v>0</v>
      </c>
      <c r="BL158" s="168">
        <f t="shared" si="110"/>
        <v>0</v>
      </c>
    </row>
    <row r="159" spans="1:64" ht="13.5" thickBot="1" x14ac:dyDescent="0.25">
      <c r="A159" s="215">
        <f t="shared" si="77"/>
        <v>42564</v>
      </c>
      <c r="B159" s="190"/>
      <c r="C159" s="168"/>
      <c r="D159" s="198"/>
      <c r="E159" s="132">
        <f t="shared" si="78"/>
        <v>727.48990889267679</v>
      </c>
      <c r="F159" s="168">
        <f t="shared" si="79"/>
        <v>725.52504056196983</v>
      </c>
      <c r="G159" s="300"/>
      <c r="H159" s="127">
        <f>VLOOKUP(MONTH(A159),ETP_Parametros!$A$6:$D$17,4,FALSE)</f>
        <v>2.161290322580645</v>
      </c>
      <c r="I159" s="230">
        <f>VLOOKUP(A159,P_Q_obs!$A$4:$F$308,6,FALSE)*1</f>
        <v>0</v>
      </c>
      <c r="J159" s="230">
        <f t="shared" si="80"/>
        <v>0</v>
      </c>
      <c r="K159" s="230">
        <f t="shared" si="81"/>
        <v>0</v>
      </c>
      <c r="L159" s="230">
        <f t="shared" si="82"/>
        <v>0</v>
      </c>
      <c r="M159" s="230">
        <f t="shared" si="83"/>
        <v>0</v>
      </c>
      <c r="N159" s="230">
        <f t="shared" si="84"/>
        <v>0</v>
      </c>
      <c r="O159" s="230">
        <f t="shared" si="85"/>
        <v>0</v>
      </c>
      <c r="P159" s="230">
        <f t="shared" si="86"/>
        <v>0</v>
      </c>
      <c r="Q159" s="230">
        <f t="shared" si="87"/>
        <v>0</v>
      </c>
      <c r="R159" s="230">
        <f t="shared" si="88"/>
        <v>0</v>
      </c>
      <c r="S159" s="230">
        <f t="shared" si="89"/>
        <v>0</v>
      </c>
      <c r="T159" s="230">
        <f t="shared" si="90"/>
        <v>0</v>
      </c>
      <c r="U159" s="230">
        <f t="shared" si="91"/>
        <v>0</v>
      </c>
      <c r="V159" s="230">
        <f t="shared" si="92"/>
        <v>0</v>
      </c>
      <c r="W159" s="230">
        <f t="shared" si="93"/>
        <v>0</v>
      </c>
      <c r="X159" s="230">
        <f t="shared" si="94"/>
        <v>0</v>
      </c>
      <c r="Y159" s="230">
        <f t="shared" si="95"/>
        <v>0</v>
      </c>
      <c r="Z159" s="292">
        <f t="shared" si="96"/>
        <v>0</v>
      </c>
      <c r="AA159" s="300"/>
      <c r="AB159" s="191">
        <f t="shared" si="97"/>
        <v>0</v>
      </c>
      <c r="AC159" s="139">
        <f t="shared" si="98"/>
        <v>0</v>
      </c>
      <c r="AD159" s="132">
        <f t="shared" si="99"/>
        <v>37.362396147875167</v>
      </c>
      <c r="AE159" s="168">
        <f t="shared" si="100"/>
        <v>0.49127168109325814</v>
      </c>
      <c r="AF159" s="192">
        <f t="shared" si="101"/>
        <v>0</v>
      </c>
      <c r="AG159" s="192">
        <f t="shared" si="111"/>
        <v>0.93174350195029543</v>
      </c>
      <c r="AH159" s="192">
        <f t="shared" si="102"/>
        <v>3.5514006958450611E-2</v>
      </c>
      <c r="AI159" s="168">
        <f t="shared" si="103"/>
        <v>9.2404982113080333E-3</v>
      </c>
      <c r="AJ159" s="192">
        <f t="shared" si="104"/>
        <v>3.0464168211083204E-3</v>
      </c>
      <c r="AK159" s="132">
        <f t="shared" si="105"/>
        <v>77.927851530868082</v>
      </c>
      <c r="AL159" s="192">
        <f t="shared" si="106"/>
        <v>1.1248853946910633</v>
      </c>
      <c r="AM159" s="192">
        <f t="shared" si="112"/>
        <v>0</v>
      </c>
      <c r="AN159" s="192">
        <f t="shared" si="107"/>
        <v>0</v>
      </c>
      <c r="AO159" s="192">
        <f t="shared" si="113"/>
        <v>0</v>
      </c>
      <c r="AS159" s="132"/>
      <c r="AT159" s="132"/>
      <c r="AU159" s="200"/>
      <c r="AV159" s="132"/>
      <c r="AW159" s="132"/>
      <c r="AX159" s="132"/>
      <c r="AY159" s="132"/>
      <c r="AZ159" s="132"/>
      <c r="BA159" s="167"/>
      <c r="BB159" s="167"/>
      <c r="BD159" s="211">
        <f t="shared" si="108"/>
        <v>42564</v>
      </c>
      <c r="BE159" s="210">
        <v>1</v>
      </c>
      <c r="BF159" s="209">
        <v>0.5</v>
      </c>
      <c r="BG159" s="209">
        <v>2</v>
      </c>
      <c r="BH159" s="210"/>
      <c r="BI159" s="209"/>
      <c r="BJ159" s="209"/>
      <c r="BK159" s="168">
        <f t="shared" si="109"/>
        <v>0</v>
      </c>
      <c r="BL159" s="168">
        <f t="shared" si="110"/>
        <v>0</v>
      </c>
    </row>
    <row r="160" spans="1:64" ht="13.5" thickBot="1" x14ac:dyDescent="0.25">
      <c r="A160" s="215">
        <f t="shared" si="77"/>
        <v>42565</v>
      </c>
      <c r="B160" s="190"/>
      <c r="C160" s="168"/>
      <c r="D160" s="198"/>
      <c r="E160" s="132">
        <f t="shared" si="78"/>
        <v>717.0002845332757</v>
      </c>
      <c r="F160" s="168">
        <f t="shared" si="79"/>
        <v>715.522585513835</v>
      </c>
      <c r="G160" s="300"/>
      <c r="H160" s="127">
        <f>VLOOKUP(MONTH(A160),ETP_Parametros!$A$6:$D$17,4,FALSE)</f>
        <v>2.161290322580645</v>
      </c>
      <c r="I160" s="230">
        <f>VLOOKUP(A160,P_Q_obs!$A$4:$F$308,6,FALSE)*1</f>
        <v>0</v>
      </c>
      <c r="J160" s="230">
        <f t="shared" si="80"/>
        <v>0</v>
      </c>
      <c r="K160" s="230">
        <f t="shared" si="81"/>
        <v>0</v>
      </c>
      <c r="L160" s="230">
        <f t="shared" si="82"/>
        <v>0</v>
      </c>
      <c r="M160" s="230">
        <f t="shared" si="83"/>
        <v>0</v>
      </c>
      <c r="N160" s="230">
        <f t="shared" si="84"/>
        <v>0</v>
      </c>
      <c r="O160" s="230">
        <f t="shared" si="85"/>
        <v>0</v>
      </c>
      <c r="P160" s="230">
        <f t="shared" si="86"/>
        <v>0</v>
      </c>
      <c r="Q160" s="230">
        <f t="shared" si="87"/>
        <v>0</v>
      </c>
      <c r="R160" s="230">
        <f t="shared" si="88"/>
        <v>0</v>
      </c>
      <c r="S160" s="230">
        <f t="shared" si="89"/>
        <v>0</v>
      </c>
      <c r="T160" s="230">
        <f t="shared" si="90"/>
        <v>0</v>
      </c>
      <c r="U160" s="230">
        <f t="shared" si="91"/>
        <v>0</v>
      </c>
      <c r="V160" s="230">
        <f t="shared" si="92"/>
        <v>0</v>
      </c>
      <c r="W160" s="230">
        <f t="shared" si="93"/>
        <v>0</v>
      </c>
      <c r="X160" s="230">
        <f t="shared" si="94"/>
        <v>0</v>
      </c>
      <c r="Y160" s="230">
        <f t="shared" si="95"/>
        <v>0</v>
      </c>
      <c r="Z160" s="292">
        <f t="shared" si="96"/>
        <v>0</v>
      </c>
      <c r="AA160" s="300"/>
      <c r="AB160" s="191">
        <f t="shared" si="97"/>
        <v>0</v>
      </c>
      <c r="AC160" s="139">
        <f t="shared" si="98"/>
        <v>0</v>
      </c>
      <c r="AD160" s="132">
        <f t="shared" si="99"/>
        <v>36.44811262288777</v>
      </c>
      <c r="AE160" s="168">
        <f t="shared" si="100"/>
        <v>0.47887432872721153</v>
      </c>
      <c r="AF160" s="192">
        <f t="shared" si="101"/>
        <v>0</v>
      </c>
      <c r="AG160" s="192">
        <f t="shared" si="111"/>
        <v>0.908230743220245</v>
      </c>
      <c r="AH160" s="192">
        <f t="shared" si="102"/>
        <v>6.0527817671523739E-3</v>
      </c>
      <c r="AI160" s="168">
        <f t="shared" si="103"/>
        <v>6.9494097556557066E-3</v>
      </c>
      <c r="AJ160" s="192">
        <f t="shared" si="104"/>
        <v>2.2910884556523268E-3</v>
      </c>
      <c r="AK160" s="132">
        <f t="shared" si="105"/>
        <v>76.82452715675835</v>
      </c>
      <c r="AL160" s="192">
        <f t="shared" si="106"/>
        <v>1.1093771558768859</v>
      </c>
      <c r="AM160" s="192">
        <f t="shared" si="112"/>
        <v>0</v>
      </c>
      <c r="AN160" s="192">
        <f t="shared" si="107"/>
        <v>0</v>
      </c>
      <c r="AO160" s="192">
        <f t="shared" si="113"/>
        <v>0</v>
      </c>
      <c r="AS160" s="132"/>
      <c r="AT160" s="132"/>
      <c r="AU160" s="200"/>
      <c r="AV160" s="132"/>
      <c r="AW160" s="132"/>
      <c r="AX160" s="132"/>
      <c r="AY160" s="132"/>
      <c r="AZ160" s="132"/>
      <c r="BA160" s="167"/>
      <c r="BB160" s="167"/>
      <c r="BD160" s="211">
        <f t="shared" si="108"/>
        <v>42565</v>
      </c>
      <c r="BE160" s="210">
        <v>1</v>
      </c>
      <c r="BF160" s="209">
        <v>0.5</v>
      </c>
      <c r="BG160" s="209">
        <v>2</v>
      </c>
      <c r="BH160" s="210"/>
      <c r="BI160" s="209"/>
      <c r="BJ160" s="209"/>
      <c r="BK160" s="168">
        <f t="shared" si="109"/>
        <v>0</v>
      </c>
      <c r="BL160" s="168">
        <f t="shared" si="110"/>
        <v>0</v>
      </c>
    </row>
    <row r="161" spans="1:64" ht="13.5" thickBot="1" x14ac:dyDescent="0.25">
      <c r="A161" s="215">
        <f t="shared" si="77"/>
        <v>42566</v>
      </c>
      <c r="B161" s="190"/>
      <c r="C161" s="168"/>
      <c r="D161" s="198"/>
      <c r="E161" s="132">
        <f t="shared" si="78"/>
        <v>706.50333453673124</v>
      </c>
      <c r="F161" s="168">
        <f t="shared" si="79"/>
        <v>705.39201610488976</v>
      </c>
      <c r="G161" s="300"/>
      <c r="H161" s="127">
        <f>VLOOKUP(MONTH(A161),ETP_Parametros!$A$6:$D$17,4,FALSE)</f>
        <v>2.161290322580645</v>
      </c>
      <c r="I161" s="230">
        <f>VLOOKUP(A161,P_Q_obs!$A$4:$F$308,6,FALSE)*1</f>
        <v>0</v>
      </c>
      <c r="J161" s="230">
        <f t="shared" si="80"/>
        <v>0</v>
      </c>
      <c r="K161" s="230">
        <f t="shared" si="81"/>
        <v>0</v>
      </c>
      <c r="L161" s="230">
        <f t="shared" si="82"/>
        <v>0</v>
      </c>
      <c r="M161" s="230">
        <f t="shared" si="83"/>
        <v>0</v>
      </c>
      <c r="N161" s="230">
        <f t="shared" si="84"/>
        <v>0</v>
      </c>
      <c r="O161" s="230">
        <f t="shared" si="85"/>
        <v>0</v>
      </c>
      <c r="P161" s="230">
        <f t="shared" si="86"/>
        <v>0</v>
      </c>
      <c r="Q161" s="230">
        <f t="shared" si="87"/>
        <v>0</v>
      </c>
      <c r="R161" s="230">
        <f t="shared" si="88"/>
        <v>0</v>
      </c>
      <c r="S161" s="230">
        <f t="shared" si="89"/>
        <v>0</v>
      </c>
      <c r="T161" s="230">
        <f t="shared" si="90"/>
        <v>0</v>
      </c>
      <c r="U161" s="230">
        <f t="shared" si="91"/>
        <v>0</v>
      </c>
      <c r="V161" s="230">
        <f t="shared" si="92"/>
        <v>0</v>
      </c>
      <c r="W161" s="230">
        <f t="shared" si="93"/>
        <v>0</v>
      </c>
      <c r="X161" s="230">
        <f t="shared" si="94"/>
        <v>0</v>
      </c>
      <c r="Y161" s="230">
        <f t="shared" si="95"/>
        <v>0</v>
      </c>
      <c r="Z161" s="292">
        <f t="shared" si="96"/>
        <v>0</v>
      </c>
      <c r="AA161" s="300"/>
      <c r="AB161" s="191">
        <f t="shared" si="97"/>
        <v>0</v>
      </c>
      <c r="AC161" s="139">
        <f t="shared" si="98"/>
        <v>0</v>
      </c>
      <c r="AD161" s="132">
        <f t="shared" si="99"/>
        <v>35.562106910474618</v>
      </c>
      <c r="AE161" s="168">
        <f t="shared" si="100"/>
        <v>0.46715594461817767</v>
      </c>
      <c r="AF161" s="192">
        <f t="shared" si="101"/>
        <v>0</v>
      </c>
      <c r="AG161" s="192">
        <f t="shared" si="111"/>
        <v>0.88600571241315218</v>
      </c>
      <c r="AH161" s="192">
        <f t="shared" si="102"/>
        <v>0</v>
      </c>
      <c r="AI161" s="168">
        <f t="shared" si="103"/>
        <v>5.2263736053649902E-3</v>
      </c>
      <c r="AJ161" s="192">
        <f t="shared" si="104"/>
        <v>1.7230361502907166E-3</v>
      </c>
      <c r="AK161" s="132">
        <f t="shared" si="105"/>
        <v>75.730856873740322</v>
      </c>
      <c r="AL161" s="192">
        <f t="shared" si="106"/>
        <v>1.0936702830180254</v>
      </c>
      <c r="AM161" s="192">
        <f t="shared" si="112"/>
        <v>0</v>
      </c>
      <c r="AN161" s="192">
        <f t="shared" si="107"/>
        <v>0</v>
      </c>
      <c r="AO161" s="192">
        <f t="shared" si="113"/>
        <v>0</v>
      </c>
      <c r="AS161" s="132"/>
      <c r="AT161" s="132"/>
      <c r="AU161" s="200"/>
      <c r="AV161" s="132"/>
      <c r="AW161" s="132"/>
      <c r="AX161" s="132"/>
      <c r="AY161" s="132"/>
      <c r="AZ161" s="132"/>
      <c r="BA161" s="167"/>
      <c r="BB161" s="167"/>
      <c r="BD161" s="211">
        <f t="shared" si="108"/>
        <v>42566</v>
      </c>
      <c r="BE161" s="210">
        <v>1</v>
      </c>
      <c r="BF161" s="209">
        <v>0.5</v>
      </c>
      <c r="BG161" s="209">
        <v>2</v>
      </c>
      <c r="BH161" s="210"/>
      <c r="BI161" s="209"/>
      <c r="BJ161" s="209"/>
      <c r="BK161" s="168">
        <f t="shared" si="109"/>
        <v>0</v>
      </c>
      <c r="BL161" s="168">
        <f t="shared" si="110"/>
        <v>0</v>
      </c>
    </row>
    <row r="162" spans="1:64" ht="13.5" thickBot="1" x14ac:dyDescent="0.25">
      <c r="A162" s="215">
        <f t="shared" si="77"/>
        <v>42567</v>
      </c>
      <c r="B162" s="190"/>
      <c r="C162" s="168"/>
      <c r="D162" s="198"/>
      <c r="E162" s="132">
        <f t="shared" si="78"/>
        <v>696.1858674246821</v>
      </c>
      <c r="F162" s="168">
        <f t="shared" si="79"/>
        <v>695.35008920414964</v>
      </c>
      <c r="G162" s="300"/>
      <c r="H162" s="127">
        <f>VLOOKUP(MONTH(A162),ETP_Parametros!$A$6:$D$17,4,FALSE)</f>
        <v>2.161290322580645</v>
      </c>
      <c r="I162" s="230">
        <f>VLOOKUP(A162,P_Q_obs!$A$4:$F$308,6,FALSE)*1</f>
        <v>0</v>
      </c>
      <c r="J162" s="230">
        <f t="shared" si="80"/>
        <v>0</v>
      </c>
      <c r="K162" s="230">
        <f t="shared" si="81"/>
        <v>0</v>
      </c>
      <c r="L162" s="230">
        <f t="shared" si="82"/>
        <v>0</v>
      </c>
      <c r="M162" s="230">
        <f t="shared" si="83"/>
        <v>0</v>
      </c>
      <c r="N162" s="230">
        <f t="shared" si="84"/>
        <v>0</v>
      </c>
      <c r="O162" s="230">
        <f t="shared" si="85"/>
        <v>0</v>
      </c>
      <c r="P162" s="230">
        <f t="shared" si="86"/>
        <v>0</v>
      </c>
      <c r="Q162" s="230">
        <f t="shared" si="87"/>
        <v>0</v>
      </c>
      <c r="R162" s="230">
        <f t="shared" si="88"/>
        <v>0</v>
      </c>
      <c r="S162" s="230">
        <f t="shared" si="89"/>
        <v>0</v>
      </c>
      <c r="T162" s="230">
        <f t="shared" si="90"/>
        <v>0</v>
      </c>
      <c r="U162" s="230">
        <f t="shared" si="91"/>
        <v>0</v>
      </c>
      <c r="V162" s="230">
        <f t="shared" si="92"/>
        <v>0</v>
      </c>
      <c r="W162" s="230">
        <f t="shared" si="93"/>
        <v>0</v>
      </c>
      <c r="X162" s="230">
        <f t="shared" si="94"/>
        <v>0</v>
      </c>
      <c r="Y162" s="230">
        <f t="shared" si="95"/>
        <v>0</v>
      </c>
      <c r="Z162" s="292">
        <f t="shared" si="96"/>
        <v>0</v>
      </c>
      <c r="AA162" s="300"/>
      <c r="AB162" s="191">
        <f t="shared" si="97"/>
        <v>0</v>
      </c>
      <c r="AC162" s="139">
        <f t="shared" si="98"/>
        <v>0</v>
      </c>
      <c r="AD162" s="132">
        <f t="shared" si="99"/>
        <v>34.69763883241172</v>
      </c>
      <c r="AE162" s="168">
        <f t="shared" si="100"/>
        <v>0.45579999760929046</v>
      </c>
      <c r="AF162" s="192">
        <f t="shared" si="101"/>
        <v>0</v>
      </c>
      <c r="AG162" s="192">
        <f t="shared" si="111"/>
        <v>0.8644680780628955</v>
      </c>
      <c r="AH162" s="192">
        <f t="shared" si="102"/>
        <v>0</v>
      </c>
      <c r="AI162" s="168">
        <f t="shared" si="103"/>
        <v>3.9305469130850755E-3</v>
      </c>
      <c r="AJ162" s="192">
        <f t="shared" si="104"/>
        <v>1.2958266922799147E-3</v>
      </c>
      <c r="AK162" s="132">
        <f t="shared" si="105"/>
        <v>74.652756028403516</v>
      </c>
      <c r="AL162" s="192">
        <f t="shared" si="106"/>
        <v>1.0781008453368004</v>
      </c>
      <c r="AM162" s="192">
        <f t="shared" si="112"/>
        <v>0</v>
      </c>
      <c r="AN162" s="192">
        <f t="shared" si="107"/>
        <v>0</v>
      </c>
      <c r="AO162" s="192">
        <f t="shared" si="113"/>
        <v>0</v>
      </c>
      <c r="AS162" s="132"/>
      <c r="AT162" s="132"/>
      <c r="AU162" s="200"/>
      <c r="AV162" s="132"/>
      <c r="AW162" s="132"/>
      <c r="AX162" s="132"/>
      <c r="AY162" s="132"/>
      <c r="AZ162" s="132"/>
      <c r="BA162" s="167"/>
      <c r="BB162" s="167"/>
      <c r="BD162" s="211">
        <f t="shared" si="108"/>
        <v>42567</v>
      </c>
      <c r="BE162" s="210">
        <v>1</v>
      </c>
      <c r="BF162" s="209">
        <v>0.5</v>
      </c>
      <c r="BG162" s="209">
        <v>2</v>
      </c>
      <c r="BH162" s="210"/>
      <c r="BI162" s="209"/>
      <c r="BJ162" s="209"/>
      <c r="BK162" s="168">
        <f t="shared" si="109"/>
        <v>0</v>
      </c>
      <c r="BL162" s="168">
        <f t="shared" si="110"/>
        <v>0</v>
      </c>
    </row>
    <row r="163" spans="1:64" ht="13.5" thickBot="1" x14ac:dyDescent="0.25">
      <c r="A163" s="215">
        <f t="shared" si="77"/>
        <v>42568</v>
      </c>
      <c r="B163" s="190"/>
      <c r="C163" s="168"/>
      <c r="D163" s="198"/>
      <c r="E163" s="132">
        <f t="shared" si="78"/>
        <v>686.07967412222729</v>
      </c>
      <c r="F163" s="168">
        <f t="shared" si="79"/>
        <v>685.45111869301627</v>
      </c>
      <c r="G163" s="300"/>
      <c r="H163" s="127">
        <f>VLOOKUP(MONTH(A163),ETP_Parametros!$A$6:$D$17,4,FALSE)</f>
        <v>2.161290322580645</v>
      </c>
      <c r="I163" s="230">
        <f>VLOOKUP(A163,P_Q_obs!$A$4:$F$308,6,FALSE)*1</f>
        <v>0</v>
      </c>
      <c r="J163" s="230">
        <f t="shared" si="80"/>
        <v>0</v>
      </c>
      <c r="K163" s="230">
        <f t="shared" si="81"/>
        <v>0</v>
      </c>
      <c r="L163" s="230">
        <f t="shared" si="82"/>
        <v>0</v>
      </c>
      <c r="M163" s="230">
        <f t="shared" si="83"/>
        <v>0</v>
      </c>
      <c r="N163" s="230">
        <f t="shared" si="84"/>
        <v>0</v>
      </c>
      <c r="O163" s="230">
        <f t="shared" si="85"/>
        <v>0</v>
      </c>
      <c r="P163" s="230">
        <f t="shared" si="86"/>
        <v>0</v>
      </c>
      <c r="Q163" s="230">
        <f t="shared" si="87"/>
        <v>0</v>
      </c>
      <c r="R163" s="230">
        <f t="shared" si="88"/>
        <v>0</v>
      </c>
      <c r="S163" s="230">
        <f t="shared" si="89"/>
        <v>0</v>
      </c>
      <c r="T163" s="230">
        <f t="shared" si="90"/>
        <v>0</v>
      </c>
      <c r="U163" s="230">
        <f t="shared" si="91"/>
        <v>0</v>
      </c>
      <c r="V163" s="230">
        <f t="shared" si="92"/>
        <v>0</v>
      </c>
      <c r="W163" s="230">
        <f t="shared" si="93"/>
        <v>0</v>
      </c>
      <c r="X163" s="230">
        <f t="shared" si="94"/>
        <v>0</v>
      </c>
      <c r="Y163" s="230">
        <f t="shared" si="95"/>
        <v>0</v>
      </c>
      <c r="Z163" s="292">
        <f t="shared" si="96"/>
        <v>0</v>
      </c>
      <c r="AA163" s="300"/>
      <c r="AB163" s="191">
        <f t="shared" si="97"/>
        <v>0</v>
      </c>
      <c r="AC163" s="139">
        <f t="shared" si="98"/>
        <v>0</v>
      </c>
      <c r="AD163" s="132">
        <f t="shared" si="99"/>
        <v>33.854184837115938</v>
      </c>
      <c r="AE163" s="168">
        <f t="shared" si="100"/>
        <v>0.44472009874654</v>
      </c>
      <c r="AF163" s="192">
        <f t="shared" si="101"/>
        <v>0</v>
      </c>
      <c r="AG163" s="192">
        <f t="shared" si="111"/>
        <v>0.84345399529577891</v>
      </c>
      <c r="AH163" s="192">
        <f t="shared" si="102"/>
        <v>0</v>
      </c>
      <c r="AI163" s="168">
        <f t="shared" si="103"/>
        <v>2.9560073968121344E-3</v>
      </c>
      <c r="AJ163" s="192">
        <f t="shared" si="104"/>
        <v>9.7453951627294081E-4</v>
      </c>
      <c r="AK163" s="132">
        <f t="shared" si="105"/>
        <v>73.590002974980038</v>
      </c>
      <c r="AL163" s="192">
        <f t="shared" si="106"/>
        <v>1.0627530534234757</v>
      </c>
      <c r="AM163" s="192">
        <f t="shared" si="112"/>
        <v>0</v>
      </c>
      <c r="AN163" s="192">
        <f t="shared" si="107"/>
        <v>0</v>
      </c>
      <c r="AO163" s="192">
        <f t="shared" si="113"/>
        <v>0</v>
      </c>
      <c r="AS163" s="132"/>
      <c r="AT163" s="132"/>
      <c r="AU163" s="200"/>
      <c r="AV163" s="132"/>
      <c r="AW163" s="132"/>
      <c r="AX163" s="132"/>
      <c r="AY163" s="132"/>
      <c r="AZ163" s="132"/>
      <c r="BA163" s="167"/>
      <c r="BB163" s="167"/>
      <c r="BD163" s="211">
        <f t="shared" si="108"/>
        <v>42568</v>
      </c>
      <c r="BE163" s="210">
        <v>1</v>
      </c>
      <c r="BF163" s="209">
        <v>0.5</v>
      </c>
      <c r="BG163" s="209">
        <v>2</v>
      </c>
      <c r="BH163" s="210"/>
      <c r="BI163" s="209"/>
      <c r="BJ163" s="209"/>
      <c r="BK163" s="168">
        <f t="shared" si="109"/>
        <v>0</v>
      </c>
      <c r="BL163" s="168">
        <f t="shared" si="110"/>
        <v>0</v>
      </c>
    </row>
    <row r="164" spans="1:64" ht="13.5" thickBot="1" x14ac:dyDescent="0.25">
      <c r="A164" s="215">
        <f t="shared" si="77"/>
        <v>42569</v>
      </c>
      <c r="B164" s="190"/>
      <c r="C164" s="168"/>
      <c r="D164" s="198"/>
      <c r="E164" s="132">
        <f t="shared" si="78"/>
        <v>676.16578089291102</v>
      </c>
      <c r="F164" s="168">
        <f t="shared" si="79"/>
        <v>675.69306945118547</v>
      </c>
      <c r="G164" s="300"/>
      <c r="H164" s="127">
        <f>VLOOKUP(MONTH(A164),ETP_Parametros!$A$6:$D$17,4,FALSE)</f>
        <v>2.161290322580645</v>
      </c>
      <c r="I164" s="230">
        <f>VLOOKUP(A164,P_Q_obs!$A$4:$F$308,6,FALSE)*1</f>
        <v>0</v>
      </c>
      <c r="J164" s="230">
        <f t="shared" si="80"/>
        <v>0</v>
      </c>
      <c r="K164" s="230">
        <f t="shared" si="81"/>
        <v>0</v>
      </c>
      <c r="L164" s="230">
        <f t="shared" si="82"/>
        <v>0</v>
      </c>
      <c r="M164" s="230">
        <f t="shared" si="83"/>
        <v>0</v>
      </c>
      <c r="N164" s="230">
        <f t="shared" si="84"/>
        <v>0</v>
      </c>
      <c r="O164" s="230">
        <f t="shared" si="85"/>
        <v>0</v>
      </c>
      <c r="P164" s="230">
        <f t="shared" si="86"/>
        <v>0</v>
      </c>
      <c r="Q164" s="230">
        <f t="shared" si="87"/>
        <v>0</v>
      </c>
      <c r="R164" s="230">
        <f t="shared" si="88"/>
        <v>0</v>
      </c>
      <c r="S164" s="230">
        <f t="shared" si="89"/>
        <v>0</v>
      </c>
      <c r="T164" s="230">
        <f t="shared" si="90"/>
        <v>0</v>
      </c>
      <c r="U164" s="230">
        <f t="shared" si="91"/>
        <v>0</v>
      </c>
      <c r="V164" s="230">
        <f t="shared" si="92"/>
        <v>0</v>
      </c>
      <c r="W164" s="230">
        <f t="shared" si="93"/>
        <v>0</v>
      </c>
      <c r="X164" s="230">
        <f t="shared" si="94"/>
        <v>0</v>
      </c>
      <c r="Y164" s="230">
        <f t="shared" si="95"/>
        <v>0</v>
      </c>
      <c r="Z164" s="292">
        <f t="shared" si="96"/>
        <v>0</v>
      </c>
      <c r="AA164" s="300"/>
      <c r="AB164" s="191">
        <f t="shared" si="97"/>
        <v>0</v>
      </c>
      <c r="AC164" s="139">
        <f t="shared" si="98"/>
        <v>0</v>
      </c>
      <c r="AD164" s="132">
        <f t="shared" si="99"/>
        <v>33.031234099854991</v>
      </c>
      <c r="AE164" s="168">
        <f t="shared" si="100"/>
        <v>0.43390953766231677</v>
      </c>
      <c r="AF164" s="192">
        <f t="shared" si="101"/>
        <v>0</v>
      </c>
      <c r="AG164" s="192">
        <f t="shared" si="111"/>
        <v>0.82295073726094492</v>
      </c>
      <c r="AH164" s="192">
        <f t="shared" si="102"/>
        <v>0</v>
      </c>
      <c r="AI164" s="168">
        <f t="shared" si="103"/>
        <v>2.2230951374524206E-3</v>
      </c>
      <c r="AJ164" s="192">
        <f t="shared" si="104"/>
        <v>7.329122593597141E-4</v>
      </c>
      <c r="AK164" s="132">
        <f t="shared" si="105"/>
        <v>72.542379223040498</v>
      </c>
      <c r="AL164" s="192">
        <f t="shared" si="106"/>
        <v>1.0476237519395333</v>
      </c>
      <c r="AM164" s="192">
        <f t="shared" si="112"/>
        <v>0</v>
      </c>
      <c r="AN164" s="192">
        <f t="shared" si="107"/>
        <v>0</v>
      </c>
      <c r="AO164" s="192">
        <f t="shared" si="113"/>
        <v>0</v>
      </c>
      <c r="AS164" s="132"/>
      <c r="AT164" s="132"/>
      <c r="AU164" s="200"/>
      <c r="AV164" s="132"/>
      <c r="AW164" s="132"/>
      <c r="AX164" s="132"/>
      <c r="AY164" s="132"/>
      <c r="AZ164" s="132"/>
      <c r="BA164" s="167"/>
      <c r="BB164" s="167"/>
      <c r="BD164" s="211">
        <f t="shared" si="108"/>
        <v>42569</v>
      </c>
      <c r="BE164" s="210">
        <v>1</v>
      </c>
      <c r="BF164" s="209">
        <v>0.5</v>
      </c>
      <c r="BG164" s="209">
        <v>2</v>
      </c>
      <c r="BH164" s="210"/>
      <c r="BI164" s="209"/>
      <c r="BJ164" s="209"/>
      <c r="BK164" s="168">
        <f t="shared" si="109"/>
        <v>0</v>
      </c>
      <c r="BL164" s="168">
        <f t="shared" si="110"/>
        <v>0</v>
      </c>
    </row>
    <row r="165" spans="1:64" ht="13.5" thickBot="1" x14ac:dyDescent="0.25">
      <c r="A165" s="215">
        <f t="shared" si="77"/>
        <v>42570</v>
      </c>
      <c r="B165" s="190"/>
      <c r="C165" s="168"/>
      <c r="D165" s="198"/>
      <c r="E165" s="132">
        <f t="shared" si="78"/>
        <v>666.42944273141086</v>
      </c>
      <c r="F165" s="168">
        <f t="shared" si="79"/>
        <v>666.07393533022798</v>
      </c>
      <c r="G165" s="300"/>
      <c r="H165" s="127">
        <f>VLOOKUP(MONTH(A165),ETP_Parametros!$A$6:$D$17,4,FALSE)</f>
        <v>2.161290322580645</v>
      </c>
      <c r="I165" s="230">
        <f>VLOOKUP(A165,P_Q_obs!$A$4:$F$308,6,FALSE)*1</f>
        <v>0</v>
      </c>
      <c r="J165" s="230">
        <f t="shared" si="80"/>
        <v>0</v>
      </c>
      <c r="K165" s="230">
        <f t="shared" si="81"/>
        <v>0</v>
      </c>
      <c r="L165" s="230">
        <f t="shared" si="82"/>
        <v>0</v>
      </c>
      <c r="M165" s="230">
        <f t="shared" si="83"/>
        <v>0</v>
      </c>
      <c r="N165" s="230">
        <f t="shared" si="84"/>
        <v>0</v>
      </c>
      <c r="O165" s="230">
        <f t="shared" si="85"/>
        <v>0</v>
      </c>
      <c r="P165" s="230">
        <f t="shared" si="86"/>
        <v>0</v>
      </c>
      <c r="Q165" s="230">
        <f t="shared" si="87"/>
        <v>0</v>
      </c>
      <c r="R165" s="230">
        <f t="shared" si="88"/>
        <v>0</v>
      </c>
      <c r="S165" s="230">
        <f t="shared" si="89"/>
        <v>0</v>
      </c>
      <c r="T165" s="230">
        <f t="shared" si="90"/>
        <v>0</v>
      </c>
      <c r="U165" s="230">
        <f t="shared" si="91"/>
        <v>0</v>
      </c>
      <c r="V165" s="230">
        <f t="shared" si="92"/>
        <v>0</v>
      </c>
      <c r="W165" s="230">
        <f t="shared" si="93"/>
        <v>0</v>
      </c>
      <c r="X165" s="230">
        <f t="shared" si="94"/>
        <v>0</v>
      </c>
      <c r="Y165" s="230">
        <f t="shared" si="95"/>
        <v>0</v>
      </c>
      <c r="Z165" s="292">
        <f t="shared" si="96"/>
        <v>0</v>
      </c>
      <c r="AA165" s="300"/>
      <c r="AB165" s="191">
        <f t="shared" si="97"/>
        <v>0</v>
      </c>
      <c r="AC165" s="139">
        <f t="shared" si="98"/>
        <v>0</v>
      </c>
      <c r="AD165" s="132">
        <f t="shared" si="99"/>
        <v>32.228288213374441</v>
      </c>
      <c r="AE165" s="168">
        <f t="shared" si="100"/>
        <v>0.42336176710922785</v>
      </c>
      <c r="AF165" s="192">
        <f t="shared" si="101"/>
        <v>0</v>
      </c>
      <c r="AG165" s="192">
        <f t="shared" si="111"/>
        <v>0.80294588648055232</v>
      </c>
      <c r="AH165" s="192">
        <f t="shared" si="102"/>
        <v>0</v>
      </c>
      <c r="AI165" s="168">
        <f t="shared" si="103"/>
        <v>1.671901090468986E-3</v>
      </c>
      <c r="AJ165" s="192">
        <f t="shared" si="104"/>
        <v>5.5119404698343458E-4</v>
      </c>
      <c r="AK165" s="132">
        <f t="shared" si="105"/>
        <v>71.509669392574793</v>
      </c>
      <c r="AL165" s="192">
        <f t="shared" si="106"/>
        <v>1.0327098304657019</v>
      </c>
      <c r="AM165" s="192">
        <f t="shared" si="112"/>
        <v>0</v>
      </c>
      <c r="AN165" s="192">
        <f t="shared" si="107"/>
        <v>0</v>
      </c>
      <c r="AO165" s="192">
        <f t="shared" si="113"/>
        <v>0</v>
      </c>
      <c r="AS165" s="132"/>
      <c r="AT165" s="132"/>
      <c r="AU165" s="200"/>
      <c r="AV165" s="132"/>
      <c r="AW165" s="132"/>
      <c r="AX165" s="132"/>
      <c r="AY165" s="132"/>
      <c r="AZ165" s="132"/>
      <c r="BA165" s="167"/>
      <c r="BB165" s="167"/>
      <c r="BD165" s="211">
        <f t="shared" si="108"/>
        <v>42570</v>
      </c>
      <c r="BE165" s="210">
        <v>1</v>
      </c>
      <c r="BF165" s="209">
        <v>0.5</v>
      </c>
      <c r="BG165" s="209">
        <v>2</v>
      </c>
      <c r="BH165" s="210"/>
      <c r="BI165" s="209"/>
      <c r="BJ165" s="209"/>
      <c r="BK165" s="168">
        <f t="shared" si="109"/>
        <v>0</v>
      </c>
      <c r="BL165" s="168">
        <f t="shared" si="110"/>
        <v>0</v>
      </c>
    </row>
    <row r="166" spans="1:64" ht="13.5" thickBot="1" x14ac:dyDescent="0.25">
      <c r="A166" s="215">
        <f t="shared" si="77"/>
        <v>42571</v>
      </c>
      <c r="B166" s="190"/>
      <c r="C166" s="168"/>
      <c r="D166" s="198"/>
      <c r="E166" s="132">
        <f t="shared" si="78"/>
        <v>656.85910166309088</v>
      </c>
      <c r="F166" s="168">
        <f t="shared" si="79"/>
        <v>656.59173874114754</v>
      </c>
      <c r="G166" s="300"/>
      <c r="H166" s="127">
        <f>VLOOKUP(MONTH(A166),ETP_Parametros!$A$6:$D$17,4,FALSE)</f>
        <v>2.161290322580645</v>
      </c>
      <c r="I166" s="230">
        <f>VLOOKUP(A166,P_Q_obs!$A$4:$F$308,6,FALSE)*1</f>
        <v>0</v>
      </c>
      <c r="J166" s="230">
        <f t="shared" si="80"/>
        <v>0</v>
      </c>
      <c r="K166" s="230">
        <f t="shared" si="81"/>
        <v>0</v>
      </c>
      <c r="L166" s="230">
        <f t="shared" si="82"/>
        <v>0</v>
      </c>
      <c r="M166" s="230">
        <f t="shared" si="83"/>
        <v>0</v>
      </c>
      <c r="N166" s="230">
        <f t="shared" si="84"/>
        <v>0</v>
      </c>
      <c r="O166" s="230">
        <f t="shared" si="85"/>
        <v>0</v>
      </c>
      <c r="P166" s="230">
        <f t="shared" si="86"/>
        <v>0</v>
      </c>
      <c r="Q166" s="230">
        <f t="shared" si="87"/>
        <v>0</v>
      </c>
      <c r="R166" s="230">
        <f t="shared" si="88"/>
        <v>0</v>
      </c>
      <c r="S166" s="230">
        <f t="shared" si="89"/>
        <v>0</v>
      </c>
      <c r="T166" s="230">
        <f t="shared" si="90"/>
        <v>0</v>
      </c>
      <c r="U166" s="230">
        <f t="shared" si="91"/>
        <v>0</v>
      </c>
      <c r="V166" s="230">
        <f t="shared" si="92"/>
        <v>0</v>
      </c>
      <c r="W166" s="230">
        <f t="shared" si="93"/>
        <v>0</v>
      </c>
      <c r="X166" s="230">
        <f t="shared" si="94"/>
        <v>0</v>
      </c>
      <c r="Y166" s="230">
        <f t="shared" si="95"/>
        <v>0</v>
      </c>
      <c r="Z166" s="292">
        <f t="shared" si="96"/>
        <v>0</v>
      </c>
      <c r="AA166" s="300"/>
      <c r="AB166" s="191">
        <f t="shared" si="97"/>
        <v>0</v>
      </c>
      <c r="AC166" s="139">
        <f t="shared" si="98"/>
        <v>0</v>
      </c>
      <c r="AD166" s="132">
        <f t="shared" si="99"/>
        <v>31.444860886045117</v>
      </c>
      <c r="AE166" s="168">
        <f t="shared" si="100"/>
        <v>0.41307039899485931</v>
      </c>
      <c r="AF166" s="192">
        <f t="shared" si="101"/>
        <v>0</v>
      </c>
      <c r="AG166" s="192">
        <f t="shared" si="111"/>
        <v>0.78342732732932563</v>
      </c>
      <c r="AH166" s="192">
        <f t="shared" si="102"/>
        <v>0</v>
      </c>
      <c r="AI166" s="168">
        <f t="shared" si="103"/>
        <v>1.2573700554779832E-3</v>
      </c>
      <c r="AJ166" s="192">
        <f t="shared" si="104"/>
        <v>4.1453103499100293E-4</v>
      </c>
      <c r="AK166" s="132">
        <f t="shared" si="105"/>
        <v>70.491661169712302</v>
      </c>
      <c r="AL166" s="192">
        <f t="shared" si="106"/>
        <v>1.0180082228624905</v>
      </c>
      <c r="AM166" s="192">
        <f t="shared" si="112"/>
        <v>0</v>
      </c>
      <c r="AN166" s="192">
        <f t="shared" si="107"/>
        <v>0</v>
      </c>
      <c r="AO166" s="192">
        <f t="shared" si="113"/>
        <v>0</v>
      </c>
      <c r="AS166" s="132"/>
      <c r="AT166" s="132"/>
      <c r="AU166" s="200"/>
      <c r="AV166" s="132"/>
      <c r="AW166" s="132"/>
      <c r="AX166" s="132"/>
      <c r="AY166" s="132"/>
      <c r="AZ166" s="132"/>
      <c r="BA166" s="167"/>
      <c r="BB166" s="167"/>
      <c r="BD166" s="211">
        <f t="shared" si="108"/>
        <v>42571</v>
      </c>
      <c r="BE166" s="210">
        <v>1</v>
      </c>
      <c r="BF166" s="209">
        <v>0.5</v>
      </c>
      <c r="BG166" s="209">
        <v>2</v>
      </c>
      <c r="BH166" s="210"/>
      <c r="BI166" s="209"/>
      <c r="BJ166" s="209"/>
      <c r="BK166" s="168">
        <f t="shared" si="109"/>
        <v>0</v>
      </c>
      <c r="BL166" s="168">
        <f t="shared" si="110"/>
        <v>0</v>
      </c>
    </row>
    <row r="167" spans="1:64" ht="13.5" thickBot="1" x14ac:dyDescent="0.25">
      <c r="A167" s="215">
        <f t="shared" si="77"/>
        <v>42572</v>
      </c>
      <c r="B167" s="190"/>
      <c r="C167" s="168"/>
      <c r="D167" s="198"/>
      <c r="E167" s="132">
        <f t="shared" si="78"/>
        <v>647.44560322629661</v>
      </c>
      <c r="F167" s="168">
        <f t="shared" si="79"/>
        <v>647.24453024780939</v>
      </c>
      <c r="G167" s="300"/>
      <c r="H167" s="127">
        <f>VLOOKUP(MONTH(A167),ETP_Parametros!$A$6:$D$17,4,FALSE)</f>
        <v>2.161290322580645</v>
      </c>
      <c r="I167" s="230">
        <f>VLOOKUP(A167,P_Q_obs!$A$4:$F$308,6,FALSE)*1</f>
        <v>0</v>
      </c>
      <c r="J167" s="230">
        <f t="shared" si="80"/>
        <v>0</v>
      </c>
      <c r="K167" s="230">
        <f t="shared" si="81"/>
        <v>0</v>
      </c>
      <c r="L167" s="230">
        <f t="shared" si="82"/>
        <v>0</v>
      </c>
      <c r="M167" s="230">
        <f t="shared" si="83"/>
        <v>0</v>
      </c>
      <c r="N167" s="230">
        <f t="shared" si="84"/>
        <v>0</v>
      </c>
      <c r="O167" s="230">
        <f t="shared" si="85"/>
        <v>0</v>
      </c>
      <c r="P167" s="230">
        <f t="shared" si="86"/>
        <v>0</v>
      </c>
      <c r="Q167" s="230">
        <f t="shared" si="87"/>
        <v>0</v>
      </c>
      <c r="R167" s="230">
        <f t="shared" si="88"/>
        <v>0</v>
      </c>
      <c r="S167" s="230">
        <f t="shared" si="89"/>
        <v>0</v>
      </c>
      <c r="T167" s="230">
        <f t="shared" si="90"/>
        <v>0</v>
      </c>
      <c r="U167" s="230">
        <f t="shared" si="91"/>
        <v>0</v>
      </c>
      <c r="V167" s="230">
        <f t="shared" si="92"/>
        <v>0</v>
      </c>
      <c r="W167" s="230">
        <f t="shared" si="93"/>
        <v>0</v>
      </c>
      <c r="X167" s="230">
        <f t="shared" si="94"/>
        <v>0</v>
      </c>
      <c r="Y167" s="230">
        <f t="shared" si="95"/>
        <v>0</v>
      </c>
      <c r="Z167" s="292">
        <f t="shared" si="96"/>
        <v>0</v>
      </c>
      <c r="AA167" s="300"/>
      <c r="AB167" s="191">
        <f t="shared" si="97"/>
        <v>0</v>
      </c>
      <c r="AC167" s="139">
        <f t="shared" si="98"/>
        <v>0</v>
      </c>
      <c r="AD167" s="132">
        <f t="shared" si="99"/>
        <v>30.680477647348201</v>
      </c>
      <c r="AE167" s="168">
        <f t="shared" si="100"/>
        <v>0.4030292005129274</v>
      </c>
      <c r="AF167" s="192">
        <f t="shared" si="101"/>
        <v>0</v>
      </c>
      <c r="AG167" s="192">
        <f t="shared" si="111"/>
        <v>0.76438323869691527</v>
      </c>
      <c r="AH167" s="192">
        <f t="shared" si="102"/>
        <v>0</v>
      </c>
      <c r="AI167" s="168">
        <f t="shared" si="103"/>
        <v>9.4561781520773156E-4</v>
      </c>
      <c r="AJ167" s="192">
        <f t="shared" si="104"/>
        <v>3.1175224027025166E-4</v>
      </c>
      <c r="AK167" s="132">
        <f t="shared" si="105"/>
        <v>69.488145263072482</v>
      </c>
      <c r="AL167" s="192">
        <f t="shared" si="106"/>
        <v>1.0035159066398223</v>
      </c>
      <c r="AM167" s="192">
        <f t="shared" si="112"/>
        <v>0</v>
      </c>
      <c r="AN167" s="192">
        <f t="shared" si="107"/>
        <v>0</v>
      </c>
      <c r="AO167" s="192">
        <f t="shared" si="113"/>
        <v>0</v>
      </c>
      <c r="AS167" s="132"/>
      <c r="AT167" s="132"/>
      <c r="AU167" s="200"/>
      <c r="AV167" s="132"/>
      <c r="AW167" s="132"/>
      <c r="AX167" s="132"/>
      <c r="AY167" s="132"/>
      <c r="AZ167" s="132"/>
      <c r="BA167" s="167"/>
      <c r="BB167" s="167"/>
      <c r="BD167" s="211">
        <f t="shared" si="108"/>
        <v>42572</v>
      </c>
      <c r="BE167" s="210">
        <v>1</v>
      </c>
      <c r="BF167" s="209">
        <v>0.5</v>
      </c>
      <c r="BG167" s="209">
        <v>2</v>
      </c>
      <c r="BH167" s="210"/>
      <c r="BI167" s="209"/>
      <c r="BJ167" s="209"/>
      <c r="BK167" s="168">
        <f t="shared" si="109"/>
        <v>0</v>
      </c>
      <c r="BL167" s="168">
        <f t="shared" si="110"/>
        <v>0</v>
      </c>
    </row>
    <row r="168" spans="1:64" ht="13.5" thickBot="1" x14ac:dyDescent="0.25">
      <c r="A168" s="215">
        <f t="shared" si="77"/>
        <v>42573</v>
      </c>
      <c r="B168" s="190"/>
      <c r="C168" s="168"/>
      <c r="D168" s="198"/>
      <c r="E168" s="132">
        <f t="shared" si="78"/>
        <v>638.18160712495785</v>
      </c>
      <c r="F168" s="168">
        <f t="shared" si="79"/>
        <v>638.0303881661589</v>
      </c>
      <c r="G168" s="300"/>
      <c r="H168" s="127">
        <f>VLOOKUP(MONTH(A168),ETP_Parametros!$A$6:$D$17,4,FALSE)</f>
        <v>2.161290322580645</v>
      </c>
      <c r="I168" s="230">
        <f>VLOOKUP(A168,P_Q_obs!$A$4:$F$308,6,FALSE)*1</f>
        <v>0</v>
      </c>
      <c r="J168" s="230">
        <f t="shared" si="80"/>
        <v>0</v>
      </c>
      <c r="K168" s="230">
        <f t="shared" si="81"/>
        <v>0</v>
      </c>
      <c r="L168" s="230">
        <f t="shared" si="82"/>
        <v>0</v>
      </c>
      <c r="M168" s="230">
        <f t="shared" si="83"/>
        <v>0</v>
      </c>
      <c r="N168" s="230">
        <f t="shared" si="84"/>
        <v>0</v>
      </c>
      <c r="O168" s="230">
        <f t="shared" si="85"/>
        <v>0</v>
      </c>
      <c r="P168" s="230">
        <f t="shared" si="86"/>
        <v>0</v>
      </c>
      <c r="Q168" s="230">
        <f t="shared" si="87"/>
        <v>0</v>
      </c>
      <c r="R168" s="230">
        <f t="shared" si="88"/>
        <v>0</v>
      </c>
      <c r="S168" s="230">
        <f t="shared" si="89"/>
        <v>0</v>
      </c>
      <c r="T168" s="230">
        <f t="shared" si="90"/>
        <v>0</v>
      </c>
      <c r="U168" s="230">
        <f t="shared" si="91"/>
        <v>0</v>
      </c>
      <c r="V168" s="230">
        <f t="shared" si="92"/>
        <v>0</v>
      </c>
      <c r="W168" s="230">
        <f t="shared" si="93"/>
        <v>0</v>
      </c>
      <c r="X168" s="230">
        <f t="shared" si="94"/>
        <v>0</v>
      </c>
      <c r="Y168" s="230">
        <f t="shared" si="95"/>
        <v>0</v>
      </c>
      <c r="Z168" s="292">
        <f t="shared" si="96"/>
        <v>0</v>
      </c>
      <c r="AA168" s="300"/>
      <c r="AB168" s="191">
        <f t="shared" si="97"/>
        <v>0</v>
      </c>
      <c r="AC168" s="139">
        <f t="shared" si="98"/>
        <v>0</v>
      </c>
      <c r="AD168" s="132">
        <f t="shared" si="99"/>
        <v>29.934675560519572</v>
      </c>
      <c r="AE168" s="168">
        <f t="shared" si="100"/>
        <v>0.39323209036847712</v>
      </c>
      <c r="AF168" s="192">
        <f t="shared" si="101"/>
        <v>0</v>
      </c>
      <c r="AG168" s="192">
        <f t="shared" si="111"/>
        <v>0.74580208682862748</v>
      </c>
      <c r="AH168" s="192">
        <f t="shared" si="102"/>
        <v>0</v>
      </c>
      <c r="AI168" s="168">
        <f t="shared" si="103"/>
        <v>7.1116140275689986E-4</v>
      </c>
      <c r="AJ168" s="192">
        <f t="shared" si="104"/>
        <v>2.3445641245083173E-4</v>
      </c>
      <c r="AK168" s="132">
        <f t="shared" si="105"/>
        <v>68.498915360736831</v>
      </c>
      <c r="AL168" s="192">
        <f t="shared" si="106"/>
        <v>0.98922990233564467</v>
      </c>
      <c r="AM168" s="192">
        <f t="shared" si="112"/>
        <v>0</v>
      </c>
      <c r="AN168" s="192">
        <f t="shared" si="107"/>
        <v>0</v>
      </c>
      <c r="AO168" s="192">
        <f t="shared" si="113"/>
        <v>0</v>
      </c>
      <c r="AS168" s="132"/>
      <c r="AT168" s="132"/>
      <c r="AU168" s="200"/>
      <c r="AV168" s="132"/>
      <c r="AW168" s="132"/>
      <c r="AX168" s="132"/>
      <c r="AY168" s="132"/>
      <c r="AZ168" s="132"/>
      <c r="BA168" s="167"/>
      <c r="BB168" s="167"/>
      <c r="BD168" s="211">
        <f t="shared" si="108"/>
        <v>42573</v>
      </c>
      <c r="BE168" s="210">
        <v>1</v>
      </c>
      <c r="BF168" s="209">
        <v>0.5</v>
      </c>
      <c r="BG168" s="209">
        <v>2</v>
      </c>
      <c r="BH168" s="210"/>
      <c r="BI168" s="209"/>
      <c r="BJ168" s="209"/>
      <c r="BK168" s="168">
        <f t="shared" si="109"/>
        <v>0</v>
      </c>
      <c r="BL168" s="168">
        <f t="shared" si="110"/>
        <v>0</v>
      </c>
    </row>
    <row r="169" spans="1:64" ht="13.5" thickBot="1" x14ac:dyDescent="0.25">
      <c r="A169" s="215">
        <f t="shared" si="77"/>
        <v>42574</v>
      </c>
      <c r="B169" s="190"/>
      <c r="C169" s="168"/>
      <c r="D169" s="198"/>
      <c r="E169" s="132">
        <f t="shared" si="78"/>
        <v>629.06114391027563</v>
      </c>
      <c r="F169" s="168">
        <f t="shared" si="79"/>
        <v>628.94741816914279</v>
      </c>
      <c r="G169" s="300"/>
      <c r="H169" s="127">
        <f>VLOOKUP(MONTH(A169),ETP_Parametros!$A$6:$D$17,4,FALSE)</f>
        <v>2.161290322580645</v>
      </c>
      <c r="I169" s="230">
        <f>VLOOKUP(A169,P_Q_obs!$A$4:$F$308,6,FALSE)*1</f>
        <v>0</v>
      </c>
      <c r="J169" s="230">
        <f t="shared" si="80"/>
        <v>0</v>
      </c>
      <c r="K169" s="230">
        <f t="shared" si="81"/>
        <v>0</v>
      </c>
      <c r="L169" s="230">
        <f t="shared" si="82"/>
        <v>0</v>
      </c>
      <c r="M169" s="230">
        <f t="shared" si="83"/>
        <v>0</v>
      </c>
      <c r="N169" s="230">
        <f t="shared" si="84"/>
        <v>0</v>
      </c>
      <c r="O169" s="230">
        <f t="shared" si="85"/>
        <v>0</v>
      </c>
      <c r="P169" s="230">
        <f t="shared" si="86"/>
        <v>0</v>
      </c>
      <c r="Q169" s="230">
        <f t="shared" si="87"/>
        <v>0</v>
      </c>
      <c r="R169" s="230">
        <f t="shared" si="88"/>
        <v>0</v>
      </c>
      <c r="S169" s="230">
        <f t="shared" si="89"/>
        <v>0</v>
      </c>
      <c r="T169" s="230">
        <f t="shared" si="90"/>
        <v>0</v>
      </c>
      <c r="U169" s="230">
        <f t="shared" si="91"/>
        <v>0</v>
      </c>
      <c r="V169" s="230">
        <f t="shared" si="92"/>
        <v>0</v>
      </c>
      <c r="W169" s="230">
        <f t="shared" si="93"/>
        <v>0</v>
      </c>
      <c r="X169" s="230">
        <f t="shared" si="94"/>
        <v>0</v>
      </c>
      <c r="Y169" s="230">
        <f t="shared" si="95"/>
        <v>0</v>
      </c>
      <c r="Z169" s="292">
        <f t="shared" si="96"/>
        <v>0</v>
      </c>
      <c r="AA169" s="300"/>
      <c r="AB169" s="191">
        <f t="shared" si="97"/>
        <v>0</v>
      </c>
      <c r="AC169" s="139">
        <f t="shared" si="98"/>
        <v>0</v>
      </c>
      <c r="AD169" s="132">
        <f t="shared" si="99"/>
        <v>29.207002942179386</v>
      </c>
      <c r="AE169" s="168">
        <f t="shared" si="100"/>
        <v>0.38367313509484097</v>
      </c>
      <c r="AF169" s="192">
        <f t="shared" si="101"/>
        <v>0</v>
      </c>
      <c r="AG169" s="192">
        <f t="shared" si="111"/>
        <v>0.72767261834018582</v>
      </c>
      <c r="AH169" s="192">
        <f t="shared" si="102"/>
        <v>0</v>
      </c>
      <c r="AI169" s="168">
        <f t="shared" si="103"/>
        <v>5.3483609618761171E-4</v>
      </c>
      <c r="AJ169" s="192">
        <f t="shared" si="104"/>
        <v>1.7632530656928817E-4</v>
      </c>
      <c r="AK169" s="132">
        <f t="shared" si="105"/>
        <v>67.523768087833446</v>
      </c>
      <c r="AL169" s="192">
        <f t="shared" si="106"/>
        <v>0.97514727290338332</v>
      </c>
      <c r="AM169" s="192">
        <f t="shared" si="112"/>
        <v>0</v>
      </c>
      <c r="AN169" s="192">
        <f t="shared" si="107"/>
        <v>0</v>
      </c>
      <c r="AO169" s="192">
        <f t="shared" si="113"/>
        <v>0</v>
      </c>
      <c r="AS169" s="132"/>
      <c r="AT169" s="132"/>
      <c r="AU169" s="200"/>
      <c r="AV169" s="132"/>
      <c r="AW169" s="132"/>
      <c r="AX169" s="132"/>
      <c r="AY169" s="132"/>
      <c r="AZ169" s="132"/>
      <c r="BA169" s="167"/>
      <c r="BB169" s="167"/>
      <c r="BD169" s="211">
        <f t="shared" si="108"/>
        <v>42574</v>
      </c>
      <c r="BE169" s="210">
        <v>1</v>
      </c>
      <c r="BF169" s="209">
        <v>0.5</v>
      </c>
      <c r="BG169" s="209">
        <v>2</v>
      </c>
      <c r="BH169" s="210"/>
      <c r="BI169" s="209"/>
      <c r="BJ169" s="209"/>
      <c r="BK169" s="168">
        <f t="shared" si="109"/>
        <v>0</v>
      </c>
      <c r="BL169" s="168">
        <f t="shared" si="110"/>
        <v>0</v>
      </c>
    </row>
    <row r="170" spans="1:64" ht="13.5" thickBot="1" x14ac:dyDescent="0.25">
      <c r="A170" s="215">
        <f t="shared" si="77"/>
        <v>42575</v>
      </c>
      <c r="B170" s="190"/>
      <c r="C170" s="168"/>
      <c r="D170" s="198"/>
      <c r="E170" s="132">
        <f t="shared" si="78"/>
        <v>620.07928148638996</v>
      </c>
      <c r="F170" s="168">
        <f t="shared" si="79"/>
        <v>619.99375289725708</v>
      </c>
      <c r="G170" s="300"/>
      <c r="H170" s="127">
        <f>VLOOKUP(MONTH(A170),ETP_Parametros!$A$6:$D$17,4,FALSE)</f>
        <v>2.161290322580645</v>
      </c>
      <c r="I170" s="230">
        <f>VLOOKUP(A170,P_Q_obs!$A$4:$F$308,6,FALSE)*1</f>
        <v>0</v>
      </c>
      <c r="J170" s="230">
        <f t="shared" si="80"/>
        <v>0</v>
      </c>
      <c r="K170" s="230">
        <f t="shared" si="81"/>
        <v>0</v>
      </c>
      <c r="L170" s="230">
        <f t="shared" si="82"/>
        <v>0</v>
      </c>
      <c r="M170" s="230">
        <f t="shared" si="83"/>
        <v>0</v>
      </c>
      <c r="N170" s="230">
        <f t="shared" si="84"/>
        <v>0</v>
      </c>
      <c r="O170" s="230">
        <f t="shared" si="85"/>
        <v>0</v>
      </c>
      <c r="P170" s="230">
        <f t="shared" si="86"/>
        <v>0</v>
      </c>
      <c r="Q170" s="230">
        <f t="shared" si="87"/>
        <v>0</v>
      </c>
      <c r="R170" s="230">
        <f t="shared" si="88"/>
        <v>0</v>
      </c>
      <c r="S170" s="230">
        <f t="shared" si="89"/>
        <v>0</v>
      </c>
      <c r="T170" s="230">
        <f t="shared" si="90"/>
        <v>0</v>
      </c>
      <c r="U170" s="230">
        <f t="shared" si="91"/>
        <v>0</v>
      </c>
      <c r="V170" s="230">
        <f t="shared" si="92"/>
        <v>0</v>
      </c>
      <c r="W170" s="230">
        <f t="shared" si="93"/>
        <v>0</v>
      </c>
      <c r="X170" s="230">
        <f t="shared" si="94"/>
        <v>0</v>
      </c>
      <c r="Y170" s="230">
        <f t="shared" si="95"/>
        <v>0</v>
      </c>
      <c r="Z170" s="292">
        <f t="shared" si="96"/>
        <v>0</v>
      </c>
      <c r="AA170" s="300"/>
      <c r="AB170" s="191">
        <f t="shared" si="97"/>
        <v>0</v>
      </c>
      <c r="AC170" s="139">
        <f t="shared" si="98"/>
        <v>0</v>
      </c>
      <c r="AD170" s="132">
        <f t="shared" si="99"/>
        <v>28.49701908877709</v>
      </c>
      <c r="AE170" s="168">
        <f t="shared" si="100"/>
        <v>0.37434654546012758</v>
      </c>
      <c r="AF170" s="192">
        <f t="shared" si="101"/>
        <v>0</v>
      </c>
      <c r="AG170" s="192">
        <f t="shared" si="111"/>
        <v>0.70998385340229486</v>
      </c>
      <c r="AH170" s="192">
        <f t="shared" si="102"/>
        <v>0</v>
      </c>
      <c r="AI170" s="168">
        <f t="shared" si="103"/>
        <v>4.0222887332791056E-4</v>
      </c>
      <c r="AJ170" s="192">
        <f t="shared" si="104"/>
        <v>1.3260722285970118E-4</v>
      </c>
      <c r="AK170" s="132">
        <f t="shared" si="105"/>
        <v>66.562502964725326</v>
      </c>
      <c r="AL170" s="192">
        <f t="shared" si="106"/>
        <v>0.96126512310811862</v>
      </c>
      <c r="AM170" s="192">
        <f t="shared" si="112"/>
        <v>0</v>
      </c>
      <c r="AN170" s="192">
        <f t="shared" si="107"/>
        <v>0</v>
      </c>
      <c r="AO170" s="192">
        <f t="shared" si="113"/>
        <v>0</v>
      </c>
      <c r="AS170" s="132"/>
      <c r="AT170" s="132"/>
      <c r="AU170" s="200"/>
      <c r="AV170" s="132"/>
      <c r="AW170" s="132"/>
      <c r="AX170" s="132"/>
      <c r="AY170" s="132"/>
      <c r="AZ170" s="132"/>
      <c r="BA170" s="167"/>
      <c r="BB170" s="167"/>
      <c r="BD170" s="211">
        <f t="shared" si="108"/>
        <v>42575</v>
      </c>
      <c r="BE170" s="210">
        <v>1</v>
      </c>
      <c r="BF170" s="209">
        <v>0.5</v>
      </c>
      <c r="BG170" s="209">
        <v>2</v>
      </c>
      <c r="BH170" s="210"/>
      <c r="BI170" s="209"/>
      <c r="BJ170" s="209"/>
      <c r="BK170" s="168">
        <f t="shared" si="109"/>
        <v>0</v>
      </c>
      <c r="BL170" s="168">
        <f t="shared" si="110"/>
        <v>0</v>
      </c>
    </row>
    <row r="171" spans="1:64" ht="13.5" thickBot="1" x14ac:dyDescent="0.25">
      <c r="A171" s="215">
        <f t="shared" si="77"/>
        <v>42576</v>
      </c>
      <c r="B171" s="190"/>
      <c r="C171" s="168"/>
      <c r="D171" s="198"/>
      <c r="E171" s="132">
        <f t="shared" si="78"/>
        <v>611.23187421159082</v>
      </c>
      <c r="F171" s="168">
        <f t="shared" si="79"/>
        <v>611.1675515746382</v>
      </c>
      <c r="G171" s="300"/>
      <c r="H171" s="127">
        <f>VLOOKUP(MONTH(A171),ETP_Parametros!$A$6:$D$17,4,FALSE)</f>
        <v>2.161290322580645</v>
      </c>
      <c r="I171" s="230">
        <f>VLOOKUP(A171,P_Q_obs!$A$4:$F$308,6,FALSE)*1</f>
        <v>0</v>
      </c>
      <c r="J171" s="230">
        <f t="shared" si="80"/>
        <v>0</v>
      </c>
      <c r="K171" s="230">
        <f t="shared" si="81"/>
        <v>0</v>
      </c>
      <c r="L171" s="230">
        <f t="shared" si="82"/>
        <v>0</v>
      </c>
      <c r="M171" s="230">
        <f t="shared" si="83"/>
        <v>0</v>
      </c>
      <c r="N171" s="230">
        <f t="shared" si="84"/>
        <v>0</v>
      </c>
      <c r="O171" s="230">
        <f t="shared" si="85"/>
        <v>0</v>
      </c>
      <c r="P171" s="230">
        <f t="shared" si="86"/>
        <v>0</v>
      </c>
      <c r="Q171" s="230">
        <f t="shared" si="87"/>
        <v>0</v>
      </c>
      <c r="R171" s="230">
        <f t="shared" si="88"/>
        <v>0</v>
      </c>
      <c r="S171" s="230">
        <f t="shared" si="89"/>
        <v>0</v>
      </c>
      <c r="T171" s="230">
        <f t="shared" si="90"/>
        <v>0</v>
      </c>
      <c r="U171" s="230">
        <f t="shared" si="91"/>
        <v>0</v>
      </c>
      <c r="V171" s="230">
        <f t="shared" si="92"/>
        <v>0</v>
      </c>
      <c r="W171" s="230">
        <f t="shared" si="93"/>
        <v>0</v>
      </c>
      <c r="X171" s="230">
        <f t="shared" si="94"/>
        <v>0</v>
      </c>
      <c r="Y171" s="230">
        <f t="shared" si="95"/>
        <v>0</v>
      </c>
      <c r="Z171" s="292">
        <f t="shared" si="96"/>
        <v>0</v>
      </c>
      <c r="AA171" s="300"/>
      <c r="AB171" s="191">
        <f t="shared" si="97"/>
        <v>0</v>
      </c>
      <c r="AC171" s="139">
        <f t="shared" si="98"/>
        <v>0</v>
      </c>
      <c r="AD171" s="132">
        <f t="shared" si="99"/>
        <v>27.804294009686213</v>
      </c>
      <c r="AE171" s="168">
        <f t="shared" si="100"/>
        <v>0.36524667296106361</v>
      </c>
      <c r="AF171" s="192">
        <f t="shared" si="101"/>
        <v>0</v>
      </c>
      <c r="AG171" s="192">
        <f t="shared" si="111"/>
        <v>0.69272507909087766</v>
      </c>
      <c r="AH171" s="192">
        <f t="shared" si="102"/>
        <v>0</v>
      </c>
      <c r="AI171" s="168">
        <f t="shared" si="103"/>
        <v>3.0250027567677051E-4</v>
      </c>
      <c r="AJ171" s="192">
        <f t="shared" si="104"/>
        <v>9.9728597651140021E-5</v>
      </c>
      <c r="AK171" s="132">
        <f t="shared" si="105"/>
        <v>65.614922365793973</v>
      </c>
      <c r="AL171" s="192">
        <f t="shared" si="106"/>
        <v>0.94758059893135593</v>
      </c>
      <c r="AM171" s="192">
        <f t="shared" si="112"/>
        <v>0</v>
      </c>
      <c r="AN171" s="192">
        <f t="shared" si="107"/>
        <v>0</v>
      </c>
      <c r="AO171" s="192">
        <f t="shared" si="113"/>
        <v>0</v>
      </c>
      <c r="AS171" s="132"/>
      <c r="AT171" s="132"/>
      <c r="AU171" s="200"/>
      <c r="AV171" s="132"/>
      <c r="AW171" s="132"/>
      <c r="AX171" s="132"/>
      <c r="AY171" s="132"/>
      <c r="AZ171" s="132"/>
      <c r="BA171" s="167"/>
      <c r="BB171" s="167"/>
      <c r="BD171" s="211">
        <f t="shared" si="108"/>
        <v>42576</v>
      </c>
      <c r="BE171" s="210">
        <v>1</v>
      </c>
      <c r="BF171" s="209">
        <v>0.5</v>
      </c>
      <c r="BG171" s="209">
        <v>2</v>
      </c>
      <c r="BH171" s="210"/>
      <c r="BI171" s="209"/>
      <c r="BJ171" s="209"/>
      <c r="BK171" s="168">
        <f t="shared" si="109"/>
        <v>0</v>
      </c>
      <c r="BL171" s="168">
        <f t="shared" si="110"/>
        <v>0</v>
      </c>
    </row>
    <row r="172" spans="1:64" ht="13.5" thickBot="1" x14ac:dyDescent="0.25">
      <c r="A172" s="215">
        <f t="shared" si="77"/>
        <v>42577</v>
      </c>
      <c r="B172" s="190"/>
      <c r="C172" s="168"/>
      <c r="D172" s="198"/>
      <c r="E172" s="132">
        <f t="shared" si="78"/>
        <v>602.5153741176357</v>
      </c>
      <c r="F172" s="168">
        <f t="shared" si="79"/>
        <v>602.46699963061928</v>
      </c>
      <c r="G172" s="300"/>
      <c r="H172" s="127">
        <f>VLOOKUP(MONTH(A172),ETP_Parametros!$A$6:$D$17,4,FALSE)</f>
        <v>2.161290322580645</v>
      </c>
      <c r="I172" s="230">
        <f>VLOOKUP(A172,P_Q_obs!$A$4:$F$308,6,FALSE)*1</f>
        <v>0</v>
      </c>
      <c r="J172" s="230">
        <f t="shared" si="80"/>
        <v>0</v>
      </c>
      <c r="K172" s="230">
        <f t="shared" si="81"/>
        <v>0</v>
      </c>
      <c r="L172" s="230">
        <f t="shared" si="82"/>
        <v>0</v>
      </c>
      <c r="M172" s="230">
        <f t="shared" si="83"/>
        <v>0</v>
      </c>
      <c r="N172" s="230">
        <f t="shared" si="84"/>
        <v>0</v>
      </c>
      <c r="O172" s="230">
        <f t="shared" si="85"/>
        <v>0</v>
      </c>
      <c r="P172" s="230">
        <f t="shared" si="86"/>
        <v>0</v>
      </c>
      <c r="Q172" s="230">
        <f t="shared" si="87"/>
        <v>0</v>
      </c>
      <c r="R172" s="230">
        <f t="shared" si="88"/>
        <v>0</v>
      </c>
      <c r="S172" s="230">
        <f t="shared" si="89"/>
        <v>0</v>
      </c>
      <c r="T172" s="230">
        <f t="shared" si="90"/>
        <v>0</v>
      </c>
      <c r="U172" s="230">
        <f t="shared" si="91"/>
        <v>0</v>
      </c>
      <c r="V172" s="230">
        <f t="shared" si="92"/>
        <v>0</v>
      </c>
      <c r="W172" s="230">
        <f t="shared" si="93"/>
        <v>0</v>
      </c>
      <c r="X172" s="230">
        <f t="shared" si="94"/>
        <v>0</v>
      </c>
      <c r="Y172" s="230">
        <f t="shared" si="95"/>
        <v>0</v>
      </c>
      <c r="Z172" s="292">
        <f t="shared" si="96"/>
        <v>0</v>
      </c>
      <c r="AA172" s="300"/>
      <c r="AB172" s="191">
        <f t="shared" si="97"/>
        <v>0</v>
      </c>
      <c r="AC172" s="139">
        <f t="shared" si="98"/>
        <v>0</v>
      </c>
      <c r="AD172" s="132">
        <f t="shared" si="99"/>
        <v>27.128408166787253</v>
      </c>
      <c r="AE172" s="168">
        <f t="shared" si="100"/>
        <v>0.35636800640206628</v>
      </c>
      <c r="AF172" s="192">
        <f t="shared" si="101"/>
        <v>0</v>
      </c>
      <c r="AG172" s="192">
        <f t="shared" si="111"/>
        <v>0.67588584289896136</v>
      </c>
      <c r="AH172" s="192">
        <f t="shared" si="102"/>
        <v>0</v>
      </c>
      <c r="AI172" s="168">
        <f t="shared" si="103"/>
        <v>2.2749837928696639E-4</v>
      </c>
      <c r="AJ172" s="192">
        <f t="shared" si="104"/>
        <v>7.5001896389804108E-5</v>
      </c>
      <c r="AK172" s="132">
        <f t="shared" si="105"/>
        <v>64.680831478809708</v>
      </c>
      <c r="AL172" s="192">
        <f t="shared" si="106"/>
        <v>0.93409088698427145</v>
      </c>
      <c r="AM172" s="192">
        <f t="shared" si="112"/>
        <v>0</v>
      </c>
      <c r="AN172" s="192">
        <f t="shared" si="107"/>
        <v>0</v>
      </c>
      <c r="AO172" s="192">
        <f t="shared" si="113"/>
        <v>0</v>
      </c>
      <c r="AS172" s="132"/>
      <c r="AT172" s="132"/>
      <c r="AU172" s="200"/>
      <c r="AV172" s="132"/>
      <c r="AW172" s="132"/>
      <c r="AX172" s="132"/>
      <c r="AY172" s="132"/>
      <c r="AZ172" s="132"/>
      <c r="BA172" s="167"/>
      <c r="BB172" s="167"/>
      <c r="BD172" s="211">
        <f t="shared" si="108"/>
        <v>42577</v>
      </c>
      <c r="BE172" s="210">
        <v>1</v>
      </c>
      <c r="BF172" s="209">
        <v>0.5</v>
      </c>
      <c r="BG172" s="209">
        <v>2</v>
      </c>
      <c r="BH172" s="210"/>
      <c r="BI172" s="209"/>
      <c r="BJ172" s="209"/>
      <c r="BK172" s="168">
        <f t="shared" si="109"/>
        <v>0</v>
      </c>
      <c r="BL172" s="168">
        <f t="shared" si="110"/>
        <v>0</v>
      </c>
    </row>
    <row r="173" spans="1:64" ht="13.5" thickBot="1" x14ac:dyDescent="0.25">
      <c r="A173" s="215">
        <f t="shared" si="77"/>
        <v>42578</v>
      </c>
      <c r="B173" s="190"/>
      <c r="C173" s="168"/>
      <c r="D173" s="198"/>
      <c r="E173" s="132">
        <f t="shared" si="78"/>
        <v>593.92668884689203</v>
      </c>
      <c r="F173" s="168">
        <f t="shared" si="79"/>
        <v>593.89030832667459</v>
      </c>
      <c r="G173" s="300"/>
      <c r="H173" s="127">
        <f>VLOOKUP(MONTH(A173),ETP_Parametros!$A$6:$D$17,4,FALSE)</f>
        <v>2.161290322580645</v>
      </c>
      <c r="I173" s="230">
        <f>VLOOKUP(A173,P_Q_obs!$A$4:$F$308,6,FALSE)*1</f>
        <v>0</v>
      </c>
      <c r="J173" s="230">
        <f t="shared" si="80"/>
        <v>0</v>
      </c>
      <c r="K173" s="230">
        <f t="shared" si="81"/>
        <v>0</v>
      </c>
      <c r="L173" s="230">
        <f t="shared" si="82"/>
        <v>0</v>
      </c>
      <c r="M173" s="230">
        <f t="shared" si="83"/>
        <v>0</v>
      </c>
      <c r="N173" s="230">
        <f t="shared" si="84"/>
        <v>0</v>
      </c>
      <c r="O173" s="230">
        <f t="shared" si="85"/>
        <v>0</v>
      </c>
      <c r="P173" s="230">
        <f t="shared" si="86"/>
        <v>0</v>
      </c>
      <c r="Q173" s="230">
        <f t="shared" si="87"/>
        <v>0</v>
      </c>
      <c r="R173" s="230">
        <f t="shared" si="88"/>
        <v>0</v>
      </c>
      <c r="S173" s="230">
        <f t="shared" si="89"/>
        <v>0</v>
      </c>
      <c r="T173" s="230">
        <f t="shared" si="90"/>
        <v>0</v>
      </c>
      <c r="U173" s="230">
        <f t="shared" si="91"/>
        <v>0</v>
      </c>
      <c r="V173" s="230">
        <f t="shared" si="92"/>
        <v>0</v>
      </c>
      <c r="W173" s="230">
        <f t="shared" si="93"/>
        <v>0</v>
      </c>
      <c r="X173" s="230">
        <f t="shared" si="94"/>
        <v>0</v>
      </c>
      <c r="Y173" s="230">
        <f t="shared" si="95"/>
        <v>0</v>
      </c>
      <c r="Z173" s="292">
        <f t="shared" si="96"/>
        <v>0</v>
      </c>
      <c r="AA173" s="300"/>
      <c r="AB173" s="191">
        <f t="shared" si="97"/>
        <v>0</v>
      </c>
      <c r="AC173" s="139">
        <f t="shared" si="98"/>
        <v>0</v>
      </c>
      <c r="AD173" s="132">
        <f t="shared" si="99"/>
        <v>26.468952220380974</v>
      </c>
      <c r="AE173" s="168">
        <f t="shared" si="100"/>
        <v>0.34770516855747391</v>
      </c>
      <c r="AF173" s="192">
        <f t="shared" si="101"/>
        <v>0</v>
      </c>
      <c r="AG173" s="192">
        <f t="shared" si="111"/>
        <v>0.65945594640627947</v>
      </c>
      <c r="AH173" s="192">
        <f t="shared" si="102"/>
        <v>0</v>
      </c>
      <c r="AI173" s="168">
        <f t="shared" si="103"/>
        <v>1.7109244764291901E-4</v>
      </c>
      <c r="AJ173" s="192">
        <f t="shared" si="104"/>
        <v>5.640593164404739E-5</v>
      </c>
      <c r="AK173" s="132">
        <f t="shared" si="105"/>
        <v>63.7600382648804</v>
      </c>
      <c r="AL173" s="192">
        <f t="shared" si="106"/>
        <v>0.92079321392930924</v>
      </c>
      <c r="AM173" s="192">
        <f t="shared" si="112"/>
        <v>0</v>
      </c>
      <c r="AN173" s="192">
        <f t="shared" si="107"/>
        <v>0</v>
      </c>
      <c r="AO173" s="192">
        <f t="shared" si="113"/>
        <v>0</v>
      </c>
      <c r="AS173" s="132"/>
      <c r="AT173" s="132"/>
      <c r="AU173" s="200"/>
      <c r="AV173" s="132"/>
      <c r="AW173" s="132"/>
      <c r="AX173" s="132"/>
      <c r="AY173" s="132"/>
      <c r="AZ173" s="132"/>
      <c r="BA173" s="167"/>
      <c r="BB173" s="167"/>
      <c r="BD173" s="211">
        <f t="shared" si="108"/>
        <v>42578</v>
      </c>
      <c r="BE173" s="210">
        <v>1</v>
      </c>
      <c r="BF173" s="209">
        <v>0.5</v>
      </c>
      <c r="BG173" s="209">
        <v>2</v>
      </c>
      <c r="BH173" s="210"/>
      <c r="BI173" s="209"/>
      <c r="BJ173" s="209"/>
      <c r="BK173" s="168">
        <f t="shared" si="109"/>
        <v>0</v>
      </c>
      <c r="BL173" s="168">
        <f t="shared" si="110"/>
        <v>0</v>
      </c>
    </row>
    <row r="174" spans="1:64" ht="13.5" thickBot="1" x14ac:dyDescent="0.25">
      <c r="A174" s="215">
        <f t="shared" si="77"/>
        <v>42579</v>
      </c>
      <c r="B174" s="190"/>
      <c r="C174" s="168"/>
      <c r="D174" s="198"/>
      <c r="E174" s="132">
        <f t="shared" si="78"/>
        <v>585.46307472535</v>
      </c>
      <c r="F174" s="168">
        <f t="shared" si="79"/>
        <v>585.435714388674</v>
      </c>
      <c r="G174" s="300"/>
      <c r="H174" s="127">
        <f>VLOOKUP(MONTH(A174),ETP_Parametros!$A$6:$D$17,4,FALSE)</f>
        <v>2.161290322580645</v>
      </c>
      <c r="I174" s="230">
        <f>VLOOKUP(A174,P_Q_obs!$A$4:$F$308,6,FALSE)*1</f>
        <v>0</v>
      </c>
      <c r="J174" s="230">
        <f t="shared" si="80"/>
        <v>0</v>
      </c>
      <c r="K174" s="230">
        <f t="shared" si="81"/>
        <v>0</v>
      </c>
      <c r="L174" s="230">
        <f t="shared" si="82"/>
        <v>0</v>
      </c>
      <c r="M174" s="230">
        <f t="shared" si="83"/>
        <v>0</v>
      </c>
      <c r="N174" s="230">
        <f t="shared" si="84"/>
        <v>0</v>
      </c>
      <c r="O174" s="230">
        <f t="shared" si="85"/>
        <v>0</v>
      </c>
      <c r="P174" s="230">
        <f t="shared" si="86"/>
        <v>0</v>
      </c>
      <c r="Q174" s="230">
        <f t="shared" si="87"/>
        <v>0</v>
      </c>
      <c r="R174" s="230">
        <f t="shared" si="88"/>
        <v>0</v>
      </c>
      <c r="S174" s="230">
        <f t="shared" si="89"/>
        <v>0</v>
      </c>
      <c r="T174" s="230">
        <f t="shared" si="90"/>
        <v>0</v>
      </c>
      <c r="U174" s="230">
        <f t="shared" si="91"/>
        <v>0</v>
      </c>
      <c r="V174" s="230">
        <f t="shared" si="92"/>
        <v>0</v>
      </c>
      <c r="W174" s="230">
        <f t="shared" si="93"/>
        <v>0</v>
      </c>
      <c r="X174" s="230">
        <f t="shared" si="94"/>
        <v>0</v>
      </c>
      <c r="Y174" s="230">
        <f t="shared" si="95"/>
        <v>0</v>
      </c>
      <c r="Z174" s="292">
        <f t="shared" si="96"/>
        <v>0</v>
      </c>
      <c r="AA174" s="300"/>
      <c r="AB174" s="191">
        <f t="shared" si="97"/>
        <v>0</v>
      </c>
      <c r="AC174" s="139">
        <f t="shared" si="98"/>
        <v>0</v>
      </c>
      <c r="AD174" s="132">
        <f t="shared" si="99"/>
        <v>25.825526781278217</v>
      </c>
      <c r="AE174" s="168">
        <f t="shared" si="100"/>
        <v>0.339252912914913</v>
      </c>
      <c r="AF174" s="192">
        <f t="shared" si="101"/>
        <v>0</v>
      </c>
      <c r="AG174" s="192">
        <f t="shared" si="111"/>
        <v>0.64342543910275785</v>
      </c>
      <c r="AH174" s="192">
        <f t="shared" si="102"/>
        <v>0</v>
      </c>
      <c r="AI174" s="168">
        <f t="shared" si="103"/>
        <v>1.2867179859563088E-4</v>
      </c>
      <c r="AJ174" s="192">
        <f t="shared" si="104"/>
        <v>4.2420649047288141E-5</v>
      </c>
      <c r="AK174" s="132">
        <f t="shared" si="105"/>
        <v>62.852353418970388</v>
      </c>
      <c r="AL174" s="192">
        <f t="shared" si="106"/>
        <v>0.90768484591001386</v>
      </c>
      <c r="AM174" s="192">
        <f t="shared" si="112"/>
        <v>0</v>
      </c>
      <c r="AN174" s="192">
        <f t="shared" si="107"/>
        <v>0</v>
      </c>
      <c r="AO174" s="192">
        <f t="shared" si="113"/>
        <v>0</v>
      </c>
      <c r="AS174" s="132"/>
      <c r="AT174" s="132"/>
      <c r="AU174" s="200"/>
      <c r="AV174" s="132"/>
      <c r="AW174" s="132"/>
      <c r="AX174" s="132"/>
      <c r="AY174" s="132"/>
      <c r="AZ174" s="132"/>
      <c r="BA174" s="167"/>
      <c r="BB174" s="167"/>
      <c r="BD174" s="211">
        <f t="shared" si="108"/>
        <v>42579</v>
      </c>
      <c r="BE174" s="210">
        <v>1</v>
      </c>
      <c r="BF174" s="209">
        <v>0.5</v>
      </c>
      <c r="BG174" s="209">
        <v>2</v>
      </c>
      <c r="BH174" s="210"/>
      <c r="BI174" s="209"/>
      <c r="BJ174" s="209"/>
      <c r="BK174" s="168">
        <f t="shared" si="109"/>
        <v>0</v>
      </c>
      <c r="BL174" s="168">
        <f t="shared" si="110"/>
        <v>0</v>
      </c>
    </row>
    <row r="175" spans="1:64" ht="13.5" thickBot="1" x14ac:dyDescent="0.25">
      <c r="A175" s="215">
        <f t="shared" si="77"/>
        <v>42580</v>
      </c>
      <c r="B175" s="190"/>
      <c r="C175" s="168"/>
      <c r="D175" s="198"/>
      <c r="E175" s="132">
        <f t="shared" si="78"/>
        <v>577.12205626116031</v>
      </c>
      <c r="F175" s="168">
        <f t="shared" si="79"/>
        <v>577.1014796443734</v>
      </c>
      <c r="G175" s="300"/>
      <c r="H175" s="127">
        <f>VLOOKUP(MONTH(A175),ETP_Parametros!$A$6:$D$17,4,FALSE)</f>
        <v>2.161290322580645</v>
      </c>
      <c r="I175" s="230">
        <f>VLOOKUP(A175,P_Q_obs!$A$4:$F$308,6,FALSE)*1</f>
        <v>0</v>
      </c>
      <c r="J175" s="230">
        <f t="shared" si="80"/>
        <v>0</v>
      </c>
      <c r="K175" s="230">
        <f t="shared" si="81"/>
        <v>0</v>
      </c>
      <c r="L175" s="230">
        <f t="shared" si="82"/>
        <v>0</v>
      </c>
      <c r="M175" s="230">
        <f t="shared" si="83"/>
        <v>0</v>
      </c>
      <c r="N175" s="230">
        <f t="shared" si="84"/>
        <v>0</v>
      </c>
      <c r="O175" s="230">
        <f t="shared" si="85"/>
        <v>0</v>
      </c>
      <c r="P175" s="230">
        <f t="shared" si="86"/>
        <v>0</v>
      </c>
      <c r="Q175" s="230">
        <f t="shared" si="87"/>
        <v>0</v>
      </c>
      <c r="R175" s="230">
        <f t="shared" si="88"/>
        <v>0</v>
      </c>
      <c r="S175" s="230">
        <f t="shared" si="89"/>
        <v>0</v>
      </c>
      <c r="T175" s="230">
        <f t="shared" si="90"/>
        <v>0</v>
      </c>
      <c r="U175" s="230">
        <f t="shared" si="91"/>
        <v>0</v>
      </c>
      <c r="V175" s="230">
        <f t="shared" si="92"/>
        <v>0</v>
      </c>
      <c r="W175" s="230">
        <f t="shared" si="93"/>
        <v>0</v>
      </c>
      <c r="X175" s="230">
        <f t="shared" si="94"/>
        <v>0</v>
      </c>
      <c r="Y175" s="230">
        <f t="shared" si="95"/>
        <v>0</v>
      </c>
      <c r="Z175" s="292">
        <f t="shared" si="96"/>
        <v>0</v>
      </c>
      <c r="AA175" s="300"/>
      <c r="AB175" s="191">
        <f t="shared" si="97"/>
        <v>0</v>
      </c>
      <c r="AC175" s="139">
        <f t="shared" si="98"/>
        <v>0</v>
      </c>
      <c r="AD175" s="132">
        <f t="shared" si="99"/>
        <v>25.197742168916072</v>
      </c>
      <c r="AE175" s="168">
        <f t="shared" si="100"/>
        <v>0.33100612049783013</v>
      </c>
      <c r="AF175" s="192">
        <f t="shared" si="101"/>
        <v>0</v>
      </c>
      <c r="AG175" s="192">
        <f t="shared" si="111"/>
        <v>0.62778461236214356</v>
      </c>
      <c r="AH175" s="192">
        <f t="shared" si="102"/>
        <v>0</v>
      </c>
      <c r="AI175" s="168">
        <f t="shared" si="103"/>
        <v>9.6768922193391833E-5</v>
      </c>
      <c r="AJ175" s="192">
        <f t="shared" si="104"/>
        <v>3.190287640223905E-5</v>
      </c>
      <c r="AK175" s="132">
        <f t="shared" si="105"/>
        <v>61.957590330981411</v>
      </c>
      <c r="AL175" s="192">
        <f t="shared" si="106"/>
        <v>0.8947630879889793</v>
      </c>
      <c r="AM175" s="192">
        <f t="shared" si="112"/>
        <v>0</v>
      </c>
      <c r="AN175" s="192">
        <f t="shared" si="107"/>
        <v>0</v>
      </c>
      <c r="AO175" s="192">
        <f t="shared" si="113"/>
        <v>0</v>
      </c>
      <c r="AS175" s="132"/>
      <c r="AT175" s="132"/>
      <c r="AU175" s="200"/>
      <c r="AV175" s="132"/>
      <c r="AW175" s="132"/>
      <c r="AX175" s="132"/>
      <c r="AY175" s="132"/>
      <c r="AZ175" s="132"/>
      <c r="BA175" s="167"/>
      <c r="BB175" s="167"/>
      <c r="BD175" s="211">
        <f t="shared" si="108"/>
        <v>42580</v>
      </c>
      <c r="BE175" s="210">
        <v>1</v>
      </c>
      <c r="BF175" s="209">
        <v>0.5</v>
      </c>
      <c r="BG175" s="209">
        <v>2</v>
      </c>
      <c r="BH175" s="210"/>
      <c r="BI175" s="209"/>
      <c r="BJ175" s="209"/>
      <c r="BK175" s="168">
        <f t="shared" si="109"/>
        <v>0</v>
      </c>
      <c r="BL175" s="168">
        <f t="shared" si="110"/>
        <v>0</v>
      </c>
    </row>
    <row r="176" spans="1:64" ht="13.5" thickBot="1" x14ac:dyDescent="0.25">
      <c r="A176" s="215">
        <f t="shared" si="77"/>
        <v>42581</v>
      </c>
      <c r="B176" s="190"/>
      <c r="C176" s="168"/>
      <c r="D176" s="198"/>
      <c r="E176" s="132">
        <f t="shared" si="78"/>
        <v>568.90136551798003</v>
      </c>
      <c r="F176" s="168">
        <f t="shared" si="79"/>
        <v>568.88589066606539</v>
      </c>
      <c r="G176" s="300"/>
      <c r="H176" s="127">
        <f>VLOOKUP(MONTH(A176),ETP_Parametros!$A$6:$D$17,4,FALSE)</f>
        <v>2.161290322580645</v>
      </c>
      <c r="I176" s="230">
        <f>VLOOKUP(A176,P_Q_obs!$A$4:$F$308,6,FALSE)*1</f>
        <v>0</v>
      </c>
      <c r="J176" s="230">
        <f t="shared" si="80"/>
        <v>0</v>
      </c>
      <c r="K176" s="230">
        <f t="shared" si="81"/>
        <v>0</v>
      </c>
      <c r="L176" s="230">
        <f t="shared" si="82"/>
        <v>0</v>
      </c>
      <c r="M176" s="230">
        <f t="shared" si="83"/>
        <v>0</v>
      </c>
      <c r="N176" s="230">
        <f t="shared" si="84"/>
        <v>0</v>
      </c>
      <c r="O176" s="230">
        <f t="shared" si="85"/>
        <v>0</v>
      </c>
      <c r="P176" s="230">
        <f t="shared" si="86"/>
        <v>0</v>
      </c>
      <c r="Q176" s="230">
        <f t="shared" si="87"/>
        <v>0</v>
      </c>
      <c r="R176" s="230">
        <f t="shared" si="88"/>
        <v>0</v>
      </c>
      <c r="S176" s="230">
        <f t="shared" si="89"/>
        <v>0</v>
      </c>
      <c r="T176" s="230">
        <f t="shared" si="90"/>
        <v>0</v>
      </c>
      <c r="U176" s="230">
        <f t="shared" si="91"/>
        <v>0</v>
      </c>
      <c r="V176" s="230">
        <f t="shared" si="92"/>
        <v>0</v>
      </c>
      <c r="W176" s="230">
        <f t="shared" si="93"/>
        <v>0</v>
      </c>
      <c r="X176" s="230">
        <f t="shared" si="94"/>
        <v>0</v>
      </c>
      <c r="Y176" s="230">
        <f t="shared" si="95"/>
        <v>0</v>
      </c>
      <c r="Z176" s="292">
        <f t="shared" si="96"/>
        <v>0</v>
      </c>
      <c r="AA176" s="300"/>
      <c r="AB176" s="191">
        <f t="shared" si="97"/>
        <v>0</v>
      </c>
      <c r="AC176" s="139">
        <f t="shared" si="98"/>
        <v>0</v>
      </c>
      <c r="AD176" s="132">
        <f t="shared" si="99"/>
        <v>24.585218175353944</v>
      </c>
      <c r="AE176" s="168">
        <f t="shared" si="100"/>
        <v>0.32295979676526371</v>
      </c>
      <c r="AF176" s="192">
        <f t="shared" si="101"/>
        <v>0</v>
      </c>
      <c r="AG176" s="192">
        <f t="shared" si="111"/>
        <v>0.61252399356212772</v>
      </c>
      <c r="AH176" s="192">
        <f t="shared" si="102"/>
        <v>0</v>
      </c>
      <c r="AI176" s="168">
        <f t="shared" si="103"/>
        <v>7.2776042650177805E-5</v>
      </c>
      <c r="AJ176" s="192">
        <f t="shared" si="104"/>
        <v>2.3992879543214021E-5</v>
      </c>
      <c r="AK176" s="132">
        <f t="shared" si="105"/>
        <v>61.075565047387613</v>
      </c>
      <c r="AL176" s="192">
        <f t="shared" si="106"/>
        <v>0.88202528359379917</v>
      </c>
      <c r="AM176" s="192">
        <f t="shared" si="112"/>
        <v>0</v>
      </c>
      <c r="AN176" s="192">
        <f t="shared" si="107"/>
        <v>0</v>
      </c>
      <c r="AO176" s="192">
        <f t="shared" si="113"/>
        <v>0</v>
      </c>
      <c r="AS176" s="132"/>
      <c r="AT176" s="132"/>
      <c r="AU176" s="200"/>
      <c r="AV176" s="132"/>
      <c r="AW176" s="132"/>
      <c r="AX176" s="132"/>
      <c r="AY176" s="132"/>
      <c r="AZ176" s="132"/>
      <c r="BA176" s="167"/>
      <c r="BB176" s="167"/>
      <c r="BD176" s="211">
        <f t="shared" si="108"/>
        <v>42581</v>
      </c>
      <c r="BE176" s="210">
        <v>1</v>
      </c>
      <c r="BF176" s="209">
        <v>0.5</v>
      </c>
      <c r="BG176" s="209">
        <v>2</v>
      </c>
      <c r="BH176" s="210"/>
      <c r="BI176" s="209"/>
      <c r="BJ176" s="209"/>
      <c r="BK176" s="168">
        <f t="shared" si="109"/>
        <v>0</v>
      </c>
      <c r="BL176" s="168">
        <f t="shared" si="110"/>
        <v>0</v>
      </c>
    </row>
    <row r="177" spans="1:64" ht="13.5" thickBot="1" x14ac:dyDescent="0.25">
      <c r="A177" s="215">
        <f t="shared" si="77"/>
        <v>42582</v>
      </c>
      <c r="B177" s="190"/>
      <c r="C177" s="168"/>
      <c r="D177" s="198"/>
      <c r="E177" s="132">
        <f t="shared" si="78"/>
        <v>560.79889643657168</v>
      </c>
      <c r="F177" s="168">
        <f t="shared" si="79"/>
        <v>560.78725841831738</v>
      </c>
      <c r="G177" s="300"/>
      <c r="H177" s="127">
        <f>VLOOKUP(MONTH(A177),ETP_Parametros!$A$6:$D$17,4,FALSE)</f>
        <v>2.161290322580645</v>
      </c>
      <c r="I177" s="230">
        <f>VLOOKUP(A177,P_Q_obs!$A$4:$F$308,6,FALSE)*1</f>
        <v>0</v>
      </c>
      <c r="J177" s="230">
        <f t="shared" si="80"/>
        <v>0</v>
      </c>
      <c r="K177" s="230">
        <f t="shared" si="81"/>
        <v>0</v>
      </c>
      <c r="L177" s="230">
        <f t="shared" si="82"/>
        <v>0</v>
      </c>
      <c r="M177" s="230">
        <f t="shared" si="83"/>
        <v>0</v>
      </c>
      <c r="N177" s="230">
        <f t="shared" si="84"/>
        <v>0</v>
      </c>
      <c r="O177" s="230">
        <f t="shared" si="85"/>
        <v>0</v>
      </c>
      <c r="P177" s="230">
        <f t="shared" si="86"/>
        <v>0</v>
      </c>
      <c r="Q177" s="230">
        <f t="shared" si="87"/>
        <v>0</v>
      </c>
      <c r="R177" s="230">
        <f t="shared" si="88"/>
        <v>0</v>
      </c>
      <c r="S177" s="230">
        <f t="shared" si="89"/>
        <v>0</v>
      </c>
      <c r="T177" s="230">
        <f t="shared" si="90"/>
        <v>0</v>
      </c>
      <c r="U177" s="230">
        <f t="shared" si="91"/>
        <v>0</v>
      </c>
      <c r="V177" s="230">
        <f t="shared" si="92"/>
        <v>0</v>
      </c>
      <c r="W177" s="230">
        <f t="shared" si="93"/>
        <v>0</v>
      </c>
      <c r="X177" s="230">
        <f t="shared" si="94"/>
        <v>0</v>
      </c>
      <c r="Y177" s="230">
        <f t="shared" si="95"/>
        <v>0</v>
      </c>
      <c r="Z177" s="292">
        <f t="shared" si="96"/>
        <v>0</v>
      </c>
      <c r="AA177" s="300"/>
      <c r="AB177" s="191">
        <f t="shared" si="97"/>
        <v>0</v>
      </c>
      <c r="AC177" s="139">
        <f t="shared" si="98"/>
        <v>0</v>
      </c>
      <c r="AD177" s="132">
        <f t="shared" si="99"/>
        <v>23.987583835006546</v>
      </c>
      <c r="AE177" s="168">
        <f t="shared" si="100"/>
        <v>0.31510906858697857</v>
      </c>
      <c r="AF177" s="192">
        <f t="shared" si="101"/>
        <v>0</v>
      </c>
      <c r="AG177" s="192">
        <f t="shared" si="111"/>
        <v>0.59763434034739926</v>
      </c>
      <c r="AH177" s="192">
        <f t="shared" si="102"/>
        <v>0</v>
      </c>
      <c r="AI177" s="168">
        <f t="shared" si="103"/>
        <v>5.4731955919027245E-5</v>
      </c>
      <c r="AJ177" s="192">
        <f t="shared" si="104"/>
        <v>1.8044086731150557E-5</v>
      </c>
      <c r="AK177" s="132">
        <f t="shared" si="105"/>
        <v>60.206096233416709</v>
      </c>
      <c r="AL177" s="192">
        <f t="shared" si="106"/>
        <v>0.86946881397090447</v>
      </c>
      <c r="AM177" s="192">
        <f t="shared" si="112"/>
        <v>0</v>
      </c>
      <c r="AN177" s="192">
        <f t="shared" si="107"/>
        <v>0</v>
      </c>
      <c r="AO177" s="192">
        <f t="shared" si="113"/>
        <v>0</v>
      </c>
      <c r="AS177" s="132"/>
      <c r="AT177" s="132"/>
      <c r="AU177" s="200"/>
      <c r="AV177" s="132"/>
      <c r="AW177" s="132"/>
      <c r="AX177" s="132"/>
      <c r="AY177" s="132"/>
      <c r="AZ177" s="132"/>
      <c r="BA177" s="167"/>
      <c r="BB177" s="167"/>
      <c r="BD177" s="211">
        <f t="shared" si="108"/>
        <v>42582</v>
      </c>
      <c r="BE177" s="210">
        <v>1</v>
      </c>
      <c r="BF177" s="209">
        <v>0.5</v>
      </c>
      <c r="BG177" s="209">
        <v>2</v>
      </c>
      <c r="BH177" s="210"/>
      <c r="BI177" s="209"/>
      <c r="BJ177" s="209"/>
      <c r="BK177" s="168">
        <f t="shared" si="109"/>
        <v>0</v>
      </c>
      <c r="BL177" s="168">
        <f t="shared" si="110"/>
        <v>0</v>
      </c>
    </row>
    <row r="178" spans="1:64" ht="13.5" thickBot="1" x14ac:dyDescent="0.25">
      <c r="A178" s="215">
        <f t="shared" si="77"/>
        <v>42583</v>
      </c>
      <c r="B178" s="190"/>
      <c r="C178" s="168"/>
      <c r="D178" s="198"/>
      <c r="E178" s="132">
        <f t="shared" si="78"/>
        <v>552.81267039957731</v>
      </c>
      <c r="F178" s="168">
        <f t="shared" si="79"/>
        <v>552.80391791072395</v>
      </c>
      <c r="G178" s="300"/>
      <c r="H178" s="127">
        <f>VLOOKUP(MONTH(A178),ETP_Parametros!$A$6:$D$17,4,FALSE)</f>
        <v>2.903225806451613</v>
      </c>
      <c r="I178" s="230">
        <f>VLOOKUP(A178,P_Q_obs!$A$4:$F$308,6,FALSE)*1</f>
        <v>0</v>
      </c>
      <c r="J178" s="230">
        <f t="shared" si="80"/>
        <v>0</v>
      </c>
      <c r="K178" s="230">
        <f t="shared" si="81"/>
        <v>0</v>
      </c>
      <c r="L178" s="230">
        <f t="shared" si="82"/>
        <v>0</v>
      </c>
      <c r="M178" s="230">
        <f t="shared" si="83"/>
        <v>0</v>
      </c>
      <c r="N178" s="230">
        <f t="shared" si="84"/>
        <v>0</v>
      </c>
      <c r="O178" s="230">
        <f t="shared" si="85"/>
        <v>0</v>
      </c>
      <c r="P178" s="230">
        <f t="shared" si="86"/>
        <v>0</v>
      </c>
      <c r="Q178" s="230">
        <f t="shared" si="87"/>
        <v>0</v>
      </c>
      <c r="R178" s="230">
        <f t="shared" si="88"/>
        <v>0</v>
      </c>
      <c r="S178" s="230">
        <f t="shared" si="89"/>
        <v>0</v>
      </c>
      <c r="T178" s="230">
        <f t="shared" si="90"/>
        <v>0</v>
      </c>
      <c r="U178" s="230">
        <f t="shared" si="91"/>
        <v>0</v>
      </c>
      <c r="V178" s="230">
        <f t="shared" si="92"/>
        <v>0</v>
      </c>
      <c r="W178" s="230">
        <f t="shared" si="93"/>
        <v>0</v>
      </c>
      <c r="X178" s="230">
        <f t="shared" si="94"/>
        <v>0</v>
      </c>
      <c r="Y178" s="230">
        <f t="shared" si="95"/>
        <v>0</v>
      </c>
      <c r="Z178" s="292">
        <f t="shared" si="96"/>
        <v>0</v>
      </c>
      <c r="AA178" s="300"/>
      <c r="AB178" s="191">
        <f t="shared" si="97"/>
        <v>0</v>
      </c>
      <c r="AC178" s="139">
        <f t="shared" si="98"/>
        <v>0</v>
      </c>
      <c r="AD178" s="132">
        <f t="shared" si="99"/>
        <v>23.204306265560366</v>
      </c>
      <c r="AE178" s="168">
        <f t="shared" si="100"/>
        <v>0.3074491812921305</v>
      </c>
      <c r="AF178" s="192">
        <f t="shared" si="101"/>
        <v>0</v>
      </c>
      <c r="AG178" s="192">
        <f t="shared" si="111"/>
        <v>0.78327756944618165</v>
      </c>
      <c r="AH178" s="192">
        <f t="shared" si="102"/>
        <v>0</v>
      </c>
      <c r="AI178" s="168">
        <f t="shared" si="103"/>
        <v>4.116171874199899E-5</v>
      </c>
      <c r="AJ178" s="192">
        <f t="shared" si="104"/>
        <v>1.3570237177028253E-5</v>
      </c>
      <c r="AK178" s="132">
        <f t="shared" si="105"/>
        <v>59.349005135769531</v>
      </c>
      <c r="AL178" s="192">
        <f t="shared" si="106"/>
        <v>0.85709109764717639</v>
      </c>
      <c r="AM178" s="192">
        <f t="shared" si="112"/>
        <v>0</v>
      </c>
      <c r="AN178" s="192">
        <f t="shared" si="107"/>
        <v>0</v>
      </c>
      <c r="AO178" s="192">
        <f t="shared" si="113"/>
        <v>0</v>
      </c>
      <c r="AS178" s="132"/>
      <c r="AT178" s="132"/>
      <c r="AU178" s="200"/>
      <c r="AV178" s="132"/>
      <c r="AW178" s="132"/>
      <c r="AX178" s="132"/>
      <c r="AY178" s="132"/>
      <c r="AZ178" s="132"/>
      <c r="BA178" s="167"/>
      <c r="BB178" s="167"/>
      <c r="BD178" s="211">
        <f t="shared" si="108"/>
        <v>42583</v>
      </c>
      <c r="BE178" s="210">
        <v>1</v>
      </c>
      <c r="BF178" s="209">
        <v>0.5</v>
      </c>
      <c r="BG178" s="209">
        <v>2</v>
      </c>
      <c r="BH178" s="210"/>
      <c r="BI178" s="209"/>
      <c r="BJ178" s="209"/>
      <c r="BK178" s="168">
        <f t="shared" si="109"/>
        <v>0</v>
      </c>
      <c r="BL178" s="168">
        <f t="shared" si="110"/>
        <v>0</v>
      </c>
    </row>
    <row r="179" spans="1:64" ht="13.5" thickBot="1" x14ac:dyDescent="0.25">
      <c r="A179" s="215">
        <f t="shared" si="77"/>
        <v>42584</v>
      </c>
      <c r="B179" s="190"/>
      <c r="C179" s="168"/>
      <c r="D179" s="198"/>
      <c r="E179" s="132">
        <f t="shared" si="78"/>
        <v>544.94081025300568</v>
      </c>
      <c r="F179" s="168">
        <f t="shared" si="79"/>
        <v>544.93422785560313</v>
      </c>
      <c r="G179" s="300"/>
      <c r="H179" s="127">
        <f>VLOOKUP(MONTH(A179),ETP_Parametros!$A$6:$D$17,4,FALSE)</f>
        <v>2.903225806451613</v>
      </c>
      <c r="I179" s="230">
        <f>VLOOKUP(A179,P_Q_obs!$A$4:$F$308,6,FALSE)*1</f>
        <v>0</v>
      </c>
      <c r="J179" s="230">
        <f t="shared" si="80"/>
        <v>0</v>
      </c>
      <c r="K179" s="230">
        <f t="shared" si="81"/>
        <v>0</v>
      </c>
      <c r="L179" s="230">
        <f t="shared" si="82"/>
        <v>0</v>
      </c>
      <c r="M179" s="230">
        <f t="shared" si="83"/>
        <v>0</v>
      </c>
      <c r="N179" s="230">
        <f t="shared" si="84"/>
        <v>0</v>
      </c>
      <c r="O179" s="230">
        <f t="shared" si="85"/>
        <v>0</v>
      </c>
      <c r="P179" s="230">
        <f t="shared" si="86"/>
        <v>0</v>
      </c>
      <c r="Q179" s="230">
        <f t="shared" si="87"/>
        <v>0</v>
      </c>
      <c r="R179" s="230">
        <f t="shared" si="88"/>
        <v>0</v>
      </c>
      <c r="S179" s="230">
        <f t="shared" si="89"/>
        <v>0</v>
      </c>
      <c r="T179" s="230">
        <f t="shared" si="90"/>
        <v>0</v>
      </c>
      <c r="U179" s="230">
        <f t="shared" si="91"/>
        <v>0</v>
      </c>
      <c r="V179" s="230">
        <f t="shared" si="92"/>
        <v>0</v>
      </c>
      <c r="W179" s="230">
        <f t="shared" si="93"/>
        <v>0</v>
      </c>
      <c r="X179" s="230">
        <f t="shared" si="94"/>
        <v>0</v>
      </c>
      <c r="Y179" s="230">
        <f t="shared" si="95"/>
        <v>0</v>
      </c>
      <c r="Z179" s="292">
        <f t="shared" si="96"/>
        <v>0</v>
      </c>
      <c r="AA179" s="300"/>
      <c r="AB179" s="191">
        <f t="shared" si="97"/>
        <v>0</v>
      </c>
      <c r="AC179" s="139">
        <f t="shared" si="98"/>
        <v>0</v>
      </c>
      <c r="AD179" s="132">
        <f t="shared" si="99"/>
        <v>22.446605417597162</v>
      </c>
      <c r="AE179" s="168">
        <f t="shared" si="100"/>
        <v>0.29740990225898012</v>
      </c>
      <c r="AF179" s="192">
        <f t="shared" si="101"/>
        <v>0</v>
      </c>
      <c r="AG179" s="192">
        <f t="shared" si="111"/>
        <v>0.75770084796320492</v>
      </c>
      <c r="AH179" s="192">
        <f t="shared" si="102"/>
        <v>0</v>
      </c>
      <c r="AI179" s="168">
        <f t="shared" si="103"/>
        <v>3.0956085185445049E-5</v>
      </c>
      <c r="AJ179" s="192">
        <f t="shared" si="104"/>
        <v>1.0205633556553938E-5</v>
      </c>
      <c r="AK179" s="132">
        <f t="shared" si="105"/>
        <v>58.504115545870306</v>
      </c>
      <c r="AL179" s="192">
        <f t="shared" si="106"/>
        <v>0.84488958989922325</v>
      </c>
      <c r="AM179" s="192">
        <f t="shared" si="112"/>
        <v>0</v>
      </c>
      <c r="AN179" s="192">
        <f t="shared" si="107"/>
        <v>0</v>
      </c>
      <c r="AO179" s="192">
        <f t="shared" si="113"/>
        <v>0</v>
      </c>
      <c r="AS179" s="132"/>
      <c r="AT179" s="132"/>
      <c r="AU179" s="200"/>
      <c r="AV179" s="132"/>
      <c r="AW179" s="132"/>
      <c r="AX179" s="132"/>
      <c r="AY179" s="132"/>
      <c r="AZ179" s="132"/>
      <c r="BA179" s="167"/>
      <c r="BB179" s="167"/>
      <c r="BD179" s="211">
        <f t="shared" si="108"/>
        <v>42584</v>
      </c>
      <c r="BE179" s="210">
        <v>1</v>
      </c>
      <c r="BF179" s="209">
        <v>0.5</v>
      </c>
      <c r="BG179" s="209">
        <v>2</v>
      </c>
      <c r="BH179" s="210"/>
      <c r="BI179" s="209"/>
      <c r="BJ179" s="209"/>
      <c r="BK179" s="168">
        <f t="shared" si="109"/>
        <v>0</v>
      </c>
      <c r="BL179" s="168">
        <f t="shared" si="110"/>
        <v>0</v>
      </c>
    </row>
    <row r="180" spans="1:64" ht="13.5" thickBot="1" x14ac:dyDescent="0.25">
      <c r="A180" s="215">
        <f t="shared" si="77"/>
        <v>42585</v>
      </c>
      <c r="B180" s="190"/>
      <c r="C180" s="168"/>
      <c r="D180" s="198"/>
      <c r="E180" s="132">
        <f t="shared" si="78"/>
        <v>537.18152068883444</v>
      </c>
      <c r="F180" s="168">
        <f t="shared" si="79"/>
        <v>537.17657033056605</v>
      </c>
      <c r="G180" s="300"/>
      <c r="H180" s="127">
        <f>VLOOKUP(MONTH(A180),ETP_Parametros!$A$6:$D$17,4,FALSE)</f>
        <v>2.903225806451613</v>
      </c>
      <c r="I180" s="230">
        <f>VLOOKUP(A180,P_Q_obs!$A$4:$F$308,6,FALSE)*1</f>
        <v>0</v>
      </c>
      <c r="J180" s="230">
        <f t="shared" si="80"/>
        <v>0</v>
      </c>
      <c r="K180" s="230">
        <f t="shared" si="81"/>
        <v>0</v>
      </c>
      <c r="L180" s="230">
        <f t="shared" si="82"/>
        <v>0</v>
      </c>
      <c r="M180" s="230">
        <f t="shared" si="83"/>
        <v>0</v>
      </c>
      <c r="N180" s="230">
        <f t="shared" si="84"/>
        <v>0</v>
      </c>
      <c r="O180" s="230">
        <f t="shared" si="85"/>
        <v>0</v>
      </c>
      <c r="P180" s="230">
        <f t="shared" si="86"/>
        <v>0</v>
      </c>
      <c r="Q180" s="230">
        <f t="shared" si="87"/>
        <v>0</v>
      </c>
      <c r="R180" s="230">
        <f t="shared" si="88"/>
        <v>0</v>
      </c>
      <c r="S180" s="230">
        <f t="shared" si="89"/>
        <v>0</v>
      </c>
      <c r="T180" s="230">
        <f t="shared" si="90"/>
        <v>0</v>
      </c>
      <c r="U180" s="230">
        <f t="shared" si="91"/>
        <v>0</v>
      </c>
      <c r="V180" s="230">
        <f t="shared" si="92"/>
        <v>0</v>
      </c>
      <c r="W180" s="230">
        <f t="shared" si="93"/>
        <v>0</v>
      </c>
      <c r="X180" s="230">
        <f t="shared" si="94"/>
        <v>0</v>
      </c>
      <c r="Y180" s="230">
        <f t="shared" si="95"/>
        <v>0</v>
      </c>
      <c r="Z180" s="292">
        <f t="shared" si="96"/>
        <v>0</v>
      </c>
      <c r="AA180" s="300"/>
      <c r="AB180" s="191">
        <f t="shared" si="97"/>
        <v>0</v>
      </c>
      <c r="AC180" s="139">
        <f t="shared" si="98"/>
        <v>0</v>
      </c>
      <c r="AD180" s="132">
        <f t="shared" si="99"/>
        <v>21.713646122707502</v>
      </c>
      <c r="AE180" s="168">
        <f t="shared" si="100"/>
        <v>0.28769844040550763</v>
      </c>
      <c r="AF180" s="192">
        <f t="shared" si="101"/>
        <v>0</v>
      </c>
      <c r="AG180" s="192">
        <f t="shared" si="111"/>
        <v>0.73295929488965983</v>
      </c>
      <c r="AH180" s="192">
        <f t="shared" si="102"/>
        <v>0</v>
      </c>
      <c r="AI180" s="168">
        <f t="shared" si="103"/>
        <v>2.3280835671974966E-5</v>
      </c>
      <c r="AJ180" s="192">
        <f t="shared" si="104"/>
        <v>7.6752495134700848E-6</v>
      </c>
      <c r="AK180" s="132">
        <f t="shared" si="105"/>
        <v>57.671253763640095</v>
      </c>
      <c r="AL180" s="192">
        <f t="shared" si="106"/>
        <v>0.83286178223021401</v>
      </c>
      <c r="AM180" s="192">
        <f t="shared" si="112"/>
        <v>0</v>
      </c>
      <c r="AN180" s="192">
        <f t="shared" si="107"/>
        <v>0</v>
      </c>
      <c r="AO180" s="192">
        <f t="shared" si="113"/>
        <v>0</v>
      </c>
      <c r="AS180" s="132"/>
      <c r="AT180" s="132"/>
      <c r="AU180" s="200"/>
      <c r="AV180" s="132"/>
      <c r="AW180" s="132"/>
      <c r="AX180" s="132"/>
      <c r="AY180" s="132"/>
      <c r="AZ180" s="132"/>
      <c r="BA180" s="167"/>
      <c r="BB180" s="167"/>
      <c r="BD180" s="211">
        <f t="shared" si="108"/>
        <v>42585</v>
      </c>
      <c r="BE180" s="210">
        <v>1</v>
      </c>
      <c r="BF180" s="209">
        <v>0.5</v>
      </c>
      <c r="BG180" s="209">
        <v>2</v>
      </c>
      <c r="BH180" s="210"/>
      <c r="BI180" s="209"/>
      <c r="BJ180" s="209"/>
      <c r="BK180" s="168">
        <f t="shared" si="109"/>
        <v>0</v>
      </c>
      <c r="BL180" s="168">
        <f t="shared" si="110"/>
        <v>0</v>
      </c>
    </row>
    <row r="181" spans="1:64" ht="13.5" thickBot="1" x14ac:dyDescent="0.25">
      <c r="A181" s="215">
        <f t="shared" si="77"/>
        <v>42586</v>
      </c>
      <c r="B181" s="190"/>
      <c r="C181" s="168"/>
      <c r="D181" s="198"/>
      <c r="E181" s="132">
        <f t="shared" si="78"/>
        <v>529.5330734126876</v>
      </c>
      <c r="F181" s="168">
        <f t="shared" si="79"/>
        <v>529.52935044588889</v>
      </c>
      <c r="G181" s="300"/>
      <c r="H181" s="127">
        <f>VLOOKUP(MONTH(A181),ETP_Parametros!$A$6:$D$17,4,FALSE)</f>
        <v>2.903225806451613</v>
      </c>
      <c r="I181" s="230">
        <f>VLOOKUP(A181,P_Q_obs!$A$4:$F$308,6,FALSE)*1</f>
        <v>0</v>
      </c>
      <c r="J181" s="230">
        <f t="shared" si="80"/>
        <v>0</v>
      </c>
      <c r="K181" s="230">
        <f t="shared" si="81"/>
        <v>0</v>
      </c>
      <c r="L181" s="230">
        <f t="shared" si="82"/>
        <v>0</v>
      </c>
      <c r="M181" s="230">
        <f t="shared" si="83"/>
        <v>0</v>
      </c>
      <c r="N181" s="230">
        <f t="shared" si="84"/>
        <v>0</v>
      </c>
      <c r="O181" s="230">
        <f t="shared" si="85"/>
        <v>0</v>
      </c>
      <c r="P181" s="230">
        <f t="shared" si="86"/>
        <v>0</v>
      </c>
      <c r="Q181" s="230">
        <f t="shared" si="87"/>
        <v>0</v>
      </c>
      <c r="R181" s="230">
        <f t="shared" si="88"/>
        <v>0</v>
      </c>
      <c r="S181" s="230">
        <f t="shared" si="89"/>
        <v>0</v>
      </c>
      <c r="T181" s="230">
        <f t="shared" si="90"/>
        <v>0</v>
      </c>
      <c r="U181" s="230">
        <f t="shared" si="91"/>
        <v>0</v>
      </c>
      <c r="V181" s="230">
        <f t="shared" si="92"/>
        <v>0</v>
      </c>
      <c r="W181" s="230">
        <f t="shared" si="93"/>
        <v>0</v>
      </c>
      <c r="X181" s="230">
        <f t="shared" si="94"/>
        <v>0</v>
      </c>
      <c r="Y181" s="230">
        <f t="shared" si="95"/>
        <v>0</v>
      </c>
      <c r="Z181" s="292">
        <f t="shared" si="96"/>
        <v>0</v>
      </c>
      <c r="AA181" s="300"/>
      <c r="AB181" s="191">
        <f t="shared" si="97"/>
        <v>0</v>
      </c>
      <c r="AC181" s="139">
        <f t="shared" si="98"/>
        <v>0</v>
      </c>
      <c r="AD181" s="132">
        <f t="shared" si="99"/>
        <v>21.004620483618819</v>
      </c>
      <c r="AE181" s="168">
        <f t="shared" si="100"/>
        <v>0.278304091367093</v>
      </c>
      <c r="AF181" s="192">
        <f t="shared" si="101"/>
        <v>0</v>
      </c>
      <c r="AG181" s="192">
        <f t="shared" si="111"/>
        <v>0.70902563908868133</v>
      </c>
      <c r="AH181" s="192">
        <f t="shared" si="102"/>
        <v>0</v>
      </c>
      <c r="AI181" s="168">
        <f t="shared" si="103"/>
        <v>1.7508586965652189E-5</v>
      </c>
      <c r="AJ181" s="192">
        <f t="shared" si="104"/>
        <v>5.7722487063227761E-6</v>
      </c>
      <c r="AK181" s="132">
        <f t="shared" si="105"/>
        <v>56.850248561785939</v>
      </c>
      <c r="AL181" s="192">
        <f t="shared" si="106"/>
        <v>0.82100520185415793</v>
      </c>
      <c r="AM181" s="192">
        <f t="shared" si="112"/>
        <v>0</v>
      </c>
      <c r="AN181" s="192">
        <f t="shared" si="107"/>
        <v>0</v>
      </c>
      <c r="AO181" s="192">
        <f t="shared" si="113"/>
        <v>0</v>
      </c>
      <c r="AS181" s="132"/>
      <c r="AT181" s="132"/>
      <c r="AU181" s="200"/>
      <c r="AV181" s="132"/>
      <c r="AW181" s="132"/>
      <c r="AX181" s="132"/>
      <c r="AY181" s="132"/>
      <c r="AZ181" s="132"/>
      <c r="BA181" s="167"/>
      <c r="BB181" s="167"/>
      <c r="BD181" s="211">
        <f t="shared" si="108"/>
        <v>42586</v>
      </c>
      <c r="BE181" s="210">
        <v>1</v>
      </c>
      <c r="BF181" s="209">
        <v>0.5</v>
      </c>
      <c r="BG181" s="209">
        <v>2</v>
      </c>
      <c r="BH181" s="210"/>
      <c r="BI181" s="209"/>
      <c r="BJ181" s="209"/>
      <c r="BK181" s="168">
        <f t="shared" si="109"/>
        <v>0</v>
      </c>
      <c r="BL181" s="168">
        <f t="shared" si="110"/>
        <v>0</v>
      </c>
    </row>
    <row r="182" spans="1:64" ht="13.5" thickBot="1" x14ac:dyDescent="0.25">
      <c r="A182" s="215">
        <f t="shared" si="77"/>
        <v>42587</v>
      </c>
      <c r="B182" s="190"/>
      <c r="C182" s="168"/>
      <c r="D182" s="198"/>
      <c r="E182" s="132">
        <f t="shared" si="78"/>
        <v>521.99379591130264</v>
      </c>
      <c r="F182" s="168">
        <f t="shared" si="79"/>
        <v>521.99099601662169</v>
      </c>
      <c r="G182" s="300"/>
      <c r="H182" s="127">
        <f>VLOOKUP(MONTH(A182),ETP_Parametros!$A$6:$D$17,4,FALSE)</f>
        <v>2.903225806451613</v>
      </c>
      <c r="I182" s="230">
        <f>VLOOKUP(A182,P_Q_obs!$A$4:$F$308,6,FALSE)*1</f>
        <v>0</v>
      </c>
      <c r="J182" s="230">
        <f t="shared" si="80"/>
        <v>0</v>
      </c>
      <c r="K182" s="230">
        <f t="shared" si="81"/>
        <v>0</v>
      </c>
      <c r="L182" s="230">
        <f t="shared" si="82"/>
        <v>0</v>
      </c>
      <c r="M182" s="230">
        <f t="shared" si="83"/>
        <v>0</v>
      </c>
      <c r="N182" s="230">
        <f t="shared" si="84"/>
        <v>0</v>
      </c>
      <c r="O182" s="230">
        <f t="shared" si="85"/>
        <v>0</v>
      </c>
      <c r="P182" s="230">
        <f t="shared" si="86"/>
        <v>0</v>
      </c>
      <c r="Q182" s="230">
        <f t="shared" si="87"/>
        <v>0</v>
      </c>
      <c r="R182" s="230">
        <f t="shared" si="88"/>
        <v>0</v>
      </c>
      <c r="S182" s="230">
        <f t="shared" si="89"/>
        <v>0</v>
      </c>
      <c r="T182" s="230">
        <f t="shared" si="90"/>
        <v>0</v>
      </c>
      <c r="U182" s="230">
        <f t="shared" si="91"/>
        <v>0</v>
      </c>
      <c r="V182" s="230">
        <f t="shared" si="92"/>
        <v>0</v>
      </c>
      <c r="W182" s="230">
        <f t="shared" si="93"/>
        <v>0</v>
      </c>
      <c r="X182" s="230">
        <f t="shared" si="94"/>
        <v>0</v>
      </c>
      <c r="Y182" s="230">
        <f t="shared" si="95"/>
        <v>0</v>
      </c>
      <c r="Z182" s="292">
        <f t="shared" si="96"/>
        <v>0</v>
      </c>
      <c r="AA182" s="300"/>
      <c r="AB182" s="191">
        <f t="shared" si="97"/>
        <v>0</v>
      </c>
      <c r="AC182" s="139">
        <f t="shared" si="98"/>
        <v>0</v>
      </c>
      <c r="AD182" s="132">
        <f t="shared" si="99"/>
        <v>20.318746983698482</v>
      </c>
      <c r="AE182" s="168">
        <f t="shared" si="100"/>
        <v>0.26921650031364058</v>
      </c>
      <c r="AF182" s="192">
        <f t="shared" si="101"/>
        <v>0</v>
      </c>
      <c r="AG182" s="192">
        <f t="shared" si="111"/>
        <v>0.68587349992033653</v>
      </c>
      <c r="AH182" s="192">
        <f t="shared" si="102"/>
        <v>0</v>
      </c>
      <c r="AI182" s="168">
        <f t="shared" si="103"/>
        <v>1.3167509184510315E-5</v>
      </c>
      <c r="AJ182" s="192">
        <f t="shared" si="104"/>
        <v>4.3410777811418734E-6</v>
      </c>
      <c r="AK182" s="132">
        <f t="shared" si="105"/>
        <v>56.040931150598411</v>
      </c>
      <c r="AL182" s="192">
        <f t="shared" si="106"/>
        <v>0.80931741118752676</v>
      </c>
      <c r="AM182" s="192">
        <f t="shared" si="112"/>
        <v>0</v>
      </c>
      <c r="AN182" s="192">
        <f t="shared" si="107"/>
        <v>0</v>
      </c>
      <c r="AO182" s="192">
        <f t="shared" si="113"/>
        <v>0</v>
      </c>
      <c r="AS182" s="132"/>
      <c r="AT182" s="132"/>
      <c r="AU182" s="200"/>
      <c r="AV182" s="132"/>
      <c r="AW182" s="132"/>
      <c r="AX182" s="132"/>
      <c r="AY182" s="132"/>
      <c r="AZ182" s="132"/>
      <c r="BA182" s="167"/>
      <c r="BB182" s="167"/>
      <c r="BD182" s="211">
        <f t="shared" si="108"/>
        <v>42587</v>
      </c>
      <c r="BE182" s="210">
        <v>1</v>
      </c>
      <c r="BF182" s="209">
        <v>0.5</v>
      </c>
      <c r="BG182" s="209">
        <v>2</v>
      </c>
      <c r="BH182" s="210"/>
      <c r="BI182" s="209"/>
      <c r="BJ182" s="209"/>
      <c r="BK182" s="168">
        <f t="shared" si="109"/>
        <v>0</v>
      </c>
      <c r="BL182" s="168">
        <f t="shared" si="110"/>
        <v>0</v>
      </c>
    </row>
    <row r="183" spans="1:64" ht="13.5" thickBot="1" x14ac:dyDescent="0.25">
      <c r="A183" s="215">
        <f t="shared" ref="A183:A246" si="114">A182+1</f>
        <v>42588</v>
      </c>
      <c r="B183" s="190"/>
      <c r="C183" s="168"/>
      <c r="D183" s="198"/>
      <c r="E183" s="132">
        <f t="shared" si="78"/>
        <v>514.562062928361</v>
      </c>
      <c r="F183" s="168">
        <f t="shared" si="79"/>
        <v>514.55995723936405</v>
      </c>
      <c r="G183" s="300"/>
      <c r="H183" s="127">
        <f>VLOOKUP(MONTH(A183),ETP_Parametros!$A$6:$D$17,4,FALSE)</f>
        <v>2.903225806451613</v>
      </c>
      <c r="I183" s="230">
        <f>VLOOKUP(A183,P_Q_obs!$A$4:$F$308,6,FALSE)*1</f>
        <v>0</v>
      </c>
      <c r="J183" s="230">
        <f t="shared" si="80"/>
        <v>0</v>
      </c>
      <c r="K183" s="230">
        <f t="shared" si="81"/>
        <v>0</v>
      </c>
      <c r="L183" s="230">
        <f t="shared" si="82"/>
        <v>0</v>
      </c>
      <c r="M183" s="230">
        <f t="shared" si="83"/>
        <v>0</v>
      </c>
      <c r="N183" s="230">
        <f t="shared" si="84"/>
        <v>0</v>
      </c>
      <c r="O183" s="230">
        <f t="shared" si="85"/>
        <v>0</v>
      </c>
      <c r="P183" s="230">
        <f t="shared" si="86"/>
        <v>0</v>
      </c>
      <c r="Q183" s="230">
        <f t="shared" si="87"/>
        <v>0</v>
      </c>
      <c r="R183" s="230">
        <f t="shared" si="88"/>
        <v>0</v>
      </c>
      <c r="S183" s="230">
        <f t="shared" si="89"/>
        <v>0</v>
      </c>
      <c r="T183" s="230">
        <f t="shared" si="90"/>
        <v>0</v>
      </c>
      <c r="U183" s="230">
        <f t="shared" si="91"/>
        <v>0</v>
      </c>
      <c r="V183" s="230">
        <f t="shared" si="92"/>
        <v>0</v>
      </c>
      <c r="W183" s="230">
        <f t="shared" si="93"/>
        <v>0</v>
      </c>
      <c r="X183" s="230">
        <f t="shared" si="94"/>
        <v>0</v>
      </c>
      <c r="Y183" s="230">
        <f t="shared" si="95"/>
        <v>0</v>
      </c>
      <c r="Z183" s="292">
        <f t="shared" si="96"/>
        <v>0</v>
      </c>
      <c r="AA183" s="300"/>
      <c r="AB183" s="191">
        <f t="shared" si="97"/>
        <v>0</v>
      </c>
      <c r="AC183" s="139">
        <f t="shared" si="98"/>
        <v>0</v>
      </c>
      <c r="AD183" s="132">
        <f t="shared" si="99"/>
        <v>19.655269625534661</v>
      </c>
      <c r="AE183" s="168">
        <f t="shared" si="100"/>
        <v>0.26042565053606781</v>
      </c>
      <c r="AF183" s="192">
        <f t="shared" si="101"/>
        <v>0</v>
      </c>
      <c r="AG183" s="192">
        <f t="shared" si="111"/>
        <v>0.66347735816381936</v>
      </c>
      <c r="AH183" s="192">
        <f t="shared" si="102"/>
        <v>0</v>
      </c>
      <c r="AI183" s="168">
        <f t="shared" si="103"/>
        <v>9.9027579132628788E-6</v>
      </c>
      <c r="AJ183" s="192">
        <f t="shared" si="104"/>
        <v>3.2647512712474365E-6</v>
      </c>
      <c r="AK183" s="132">
        <f t="shared" si="105"/>
        <v>55.243135143250299</v>
      </c>
      <c r="AL183" s="192">
        <f t="shared" si="106"/>
        <v>0.79779600734811495</v>
      </c>
      <c r="AM183" s="192">
        <f t="shared" si="112"/>
        <v>0</v>
      </c>
      <c r="AN183" s="192">
        <f t="shared" si="107"/>
        <v>0</v>
      </c>
      <c r="AO183" s="192">
        <f t="shared" si="113"/>
        <v>0</v>
      </c>
      <c r="AS183" s="132"/>
      <c r="AT183" s="132"/>
      <c r="AU183" s="200"/>
      <c r="AV183" s="132"/>
      <c r="AW183" s="132"/>
      <c r="AX183" s="132"/>
      <c r="AY183" s="132"/>
      <c r="AZ183" s="132"/>
      <c r="BA183" s="167"/>
      <c r="BB183" s="167"/>
      <c r="BD183" s="211">
        <f t="shared" si="108"/>
        <v>42588</v>
      </c>
      <c r="BE183" s="210">
        <v>1</v>
      </c>
      <c r="BF183" s="209">
        <v>0.5</v>
      </c>
      <c r="BG183" s="209">
        <v>2</v>
      </c>
      <c r="BH183" s="210"/>
      <c r="BI183" s="209"/>
      <c r="BJ183" s="209"/>
      <c r="BK183" s="168">
        <f t="shared" si="109"/>
        <v>0</v>
      </c>
      <c r="BL183" s="168">
        <f t="shared" si="110"/>
        <v>0</v>
      </c>
    </row>
    <row r="184" spans="1:64" ht="13.5" thickBot="1" x14ac:dyDescent="0.25">
      <c r="A184" s="215">
        <f t="shared" si="114"/>
        <v>42589</v>
      </c>
      <c r="B184" s="190"/>
      <c r="C184" s="168"/>
      <c r="D184" s="198"/>
      <c r="E184" s="132">
        <f t="shared" si="78"/>
        <v>507.23628997826211</v>
      </c>
      <c r="F184" s="168">
        <f t="shared" si="79"/>
        <v>507.23470637364215</v>
      </c>
      <c r="G184" s="300"/>
      <c r="H184" s="127">
        <f>VLOOKUP(MONTH(A184),ETP_Parametros!$A$6:$D$17,4,FALSE)</f>
        <v>2.903225806451613</v>
      </c>
      <c r="I184" s="230">
        <f>VLOOKUP(A184,P_Q_obs!$A$4:$F$308,6,FALSE)*1</f>
        <v>0</v>
      </c>
      <c r="J184" s="230">
        <f t="shared" si="80"/>
        <v>0</v>
      </c>
      <c r="K184" s="230">
        <f t="shared" si="81"/>
        <v>0</v>
      </c>
      <c r="L184" s="230">
        <f t="shared" si="82"/>
        <v>0</v>
      </c>
      <c r="M184" s="230">
        <f t="shared" si="83"/>
        <v>0</v>
      </c>
      <c r="N184" s="230">
        <f t="shared" si="84"/>
        <v>0</v>
      </c>
      <c r="O184" s="230">
        <f t="shared" si="85"/>
        <v>0</v>
      </c>
      <c r="P184" s="230">
        <f t="shared" si="86"/>
        <v>0</v>
      </c>
      <c r="Q184" s="230">
        <f t="shared" si="87"/>
        <v>0</v>
      </c>
      <c r="R184" s="230">
        <f t="shared" si="88"/>
        <v>0</v>
      </c>
      <c r="S184" s="230">
        <f t="shared" si="89"/>
        <v>0</v>
      </c>
      <c r="T184" s="230">
        <f t="shared" si="90"/>
        <v>0</v>
      </c>
      <c r="U184" s="230">
        <f t="shared" si="91"/>
        <v>0</v>
      </c>
      <c r="V184" s="230">
        <f t="shared" si="92"/>
        <v>0</v>
      </c>
      <c r="W184" s="230">
        <f t="shared" si="93"/>
        <v>0</v>
      </c>
      <c r="X184" s="230">
        <f t="shared" si="94"/>
        <v>0</v>
      </c>
      <c r="Y184" s="230">
        <f t="shared" si="95"/>
        <v>0</v>
      </c>
      <c r="Z184" s="292">
        <f t="shared" si="96"/>
        <v>0</v>
      </c>
      <c r="AA184" s="300"/>
      <c r="AB184" s="191">
        <f t="shared" si="97"/>
        <v>0</v>
      </c>
      <c r="AC184" s="139">
        <f t="shared" si="98"/>
        <v>0</v>
      </c>
      <c r="AD184" s="132">
        <f t="shared" si="99"/>
        <v>19.013457097645524</v>
      </c>
      <c r="AE184" s="168">
        <f t="shared" si="100"/>
        <v>0.25192185240548481</v>
      </c>
      <c r="AF184" s="192">
        <f t="shared" si="101"/>
        <v>0</v>
      </c>
      <c r="AG184" s="192">
        <f t="shared" si="111"/>
        <v>0.64181252788913701</v>
      </c>
      <c r="AH184" s="192">
        <f t="shared" si="102"/>
        <v>0</v>
      </c>
      <c r="AI184" s="168">
        <f t="shared" si="103"/>
        <v>7.447468835187866E-6</v>
      </c>
      <c r="AJ184" s="192">
        <f t="shared" si="104"/>
        <v>2.4552890780750128E-6</v>
      </c>
      <c r="AK184" s="132">
        <f t="shared" si="105"/>
        <v>54.456696521589265</v>
      </c>
      <c r="AL184" s="192">
        <f t="shared" si="106"/>
        <v>0.78643862166103229</v>
      </c>
      <c r="AM184" s="192">
        <f t="shared" si="112"/>
        <v>0</v>
      </c>
      <c r="AN184" s="192">
        <f t="shared" si="107"/>
        <v>0</v>
      </c>
      <c r="AO184" s="192">
        <f t="shared" si="113"/>
        <v>0</v>
      </c>
      <c r="AS184" s="132"/>
      <c r="AT184" s="132"/>
      <c r="AU184" s="200"/>
      <c r="AV184" s="132"/>
      <c r="AW184" s="132"/>
      <c r="AX184" s="132"/>
      <c r="AY184" s="132"/>
      <c r="AZ184" s="132"/>
      <c r="BA184" s="167"/>
      <c r="BB184" s="167"/>
      <c r="BD184" s="211">
        <f t="shared" si="108"/>
        <v>42589</v>
      </c>
      <c r="BE184" s="210">
        <v>1</v>
      </c>
      <c r="BF184" s="209">
        <v>0.5</v>
      </c>
      <c r="BG184" s="209">
        <v>2</v>
      </c>
      <c r="BH184" s="210"/>
      <c r="BI184" s="209"/>
      <c r="BJ184" s="209"/>
      <c r="BK184" s="168">
        <f t="shared" si="109"/>
        <v>0</v>
      </c>
      <c r="BL184" s="168">
        <f t="shared" si="110"/>
        <v>0</v>
      </c>
    </row>
    <row r="185" spans="1:64" ht="13.5" thickBot="1" x14ac:dyDescent="0.25">
      <c r="A185" s="215">
        <f t="shared" si="114"/>
        <v>42590</v>
      </c>
      <c r="B185" s="190"/>
      <c r="C185" s="168"/>
      <c r="D185" s="198"/>
      <c r="E185" s="132">
        <f t="shared" si="78"/>
        <v>500.01492839362794</v>
      </c>
      <c r="F185" s="168">
        <f t="shared" si="79"/>
        <v>500.01373742782249</v>
      </c>
      <c r="G185" s="300"/>
      <c r="H185" s="127">
        <f>VLOOKUP(MONTH(A185),ETP_Parametros!$A$6:$D$17,4,FALSE)</f>
        <v>2.903225806451613</v>
      </c>
      <c r="I185" s="230">
        <f>VLOOKUP(A185,P_Q_obs!$A$4:$F$308,6,FALSE)*1</f>
        <v>0</v>
      </c>
      <c r="J185" s="230">
        <f t="shared" si="80"/>
        <v>0</v>
      </c>
      <c r="K185" s="230">
        <f t="shared" si="81"/>
        <v>0</v>
      </c>
      <c r="L185" s="230">
        <f t="shared" si="82"/>
        <v>0</v>
      </c>
      <c r="M185" s="230">
        <f t="shared" si="83"/>
        <v>0</v>
      </c>
      <c r="N185" s="230">
        <f t="shared" si="84"/>
        <v>0</v>
      </c>
      <c r="O185" s="230">
        <f t="shared" si="85"/>
        <v>0</v>
      </c>
      <c r="P185" s="230">
        <f t="shared" si="86"/>
        <v>0</v>
      </c>
      <c r="Q185" s="230">
        <f t="shared" si="87"/>
        <v>0</v>
      </c>
      <c r="R185" s="230">
        <f t="shared" si="88"/>
        <v>0</v>
      </c>
      <c r="S185" s="230">
        <f t="shared" si="89"/>
        <v>0</v>
      </c>
      <c r="T185" s="230">
        <f t="shared" si="90"/>
        <v>0</v>
      </c>
      <c r="U185" s="230">
        <f t="shared" si="91"/>
        <v>0</v>
      </c>
      <c r="V185" s="230">
        <f t="shared" si="92"/>
        <v>0</v>
      </c>
      <c r="W185" s="230">
        <f t="shared" si="93"/>
        <v>0</v>
      </c>
      <c r="X185" s="230">
        <f t="shared" si="94"/>
        <v>0</v>
      </c>
      <c r="Y185" s="230">
        <f t="shared" si="95"/>
        <v>0</v>
      </c>
      <c r="Z185" s="292">
        <f t="shared" si="96"/>
        <v>0</v>
      </c>
      <c r="AA185" s="300"/>
      <c r="AB185" s="191">
        <f t="shared" si="97"/>
        <v>0</v>
      </c>
      <c r="AC185" s="139">
        <f t="shared" si="98"/>
        <v>0</v>
      </c>
      <c r="AD185" s="132">
        <f t="shared" si="99"/>
        <v>18.392601968398242</v>
      </c>
      <c r="AE185" s="168">
        <f t="shared" si="100"/>
        <v>0.24369573269289499</v>
      </c>
      <c r="AF185" s="192">
        <f t="shared" si="101"/>
        <v>0</v>
      </c>
      <c r="AG185" s="192">
        <f t="shared" si="111"/>
        <v>0.62085512924728348</v>
      </c>
      <c r="AH185" s="192">
        <f t="shared" si="102"/>
        <v>0</v>
      </c>
      <c r="AI185" s="168">
        <f t="shared" si="103"/>
        <v>5.6009439528769927E-6</v>
      </c>
      <c r="AJ185" s="192">
        <f t="shared" si="104"/>
        <v>1.8465248823108732E-6</v>
      </c>
      <c r="AK185" s="132">
        <f t="shared" si="105"/>
        <v>53.681453602417534</v>
      </c>
      <c r="AL185" s="192">
        <f t="shared" si="106"/>
        <v>0.77524291917173072</v>
      </c>
      <c r="AM185" s="192">
        <f t="shared" si="112"/>
        <v>0</v>
      </c>
      <c r="AN185" s="192">
        <f t="shared" si="107"/>
        <v>0</v>
      </c>
      <c r="AO185" s="192">
        <f t="shared" si="113"/>
        <v>0</v>
      </c>
      <c r="AS185" s="132"/>
      <c r="AT185" s="132"/>
      <c r="AU185" s="200"/>
      <c r="AV185" s="132"/>
      <c r="AW185" s="132"/>
      <c r="AX185" s="132"/>
      <c r="AY185" s="132"/>
      <c r="AZ185" s="132"/>
      <c r="BA185" s="167"/>
      <c r="BB185" s="167"/>
      <c r="BD185" s="211">
        <f t="shared" si="108"/>
        <v>42590</v>
      </c>
      <c r="BE185" s="210">
        <v>1</v>
      </c>
      <c r="BF185" s="209">
        <v>0.5</v>
      </c>
      <c r="BG185" s="209">
        <v>2</v>
      </c>
      <c r="BH185" s="210"/>
      <c r="BI185" s="209"/>
      <c r="BJ185" s="209"/>
      <c r="BK185" s="168">
        <f t="shared" si="109"/>
        <v>0</v>
      </c>
      <c r="BL185" s="168">
        <f t="shared" si="110"/>
        <v>0</v>
      </c>
    </row>
    <row r="186" spans="1:64" ht="13.5" thickBot="1" x14ac:dyDescent="0.25">
      <c r="A186" s="215">
        <f t="shared" si="114"/>
        <v>42591</v>
      </c>
      <c r="B186" s="190"/>
      <c r="C186" s="168"/>
      <c r="D186" s="198"/>
      <c r="E186" s="132">
        <f t="shared" si="78"/>
        <v>492.89646152732644</v>
      </c>
      <c r="F186" s="168">
        <f t="shared" si="79"/>
        <v>492.89556584949628</v>
      </c>
      <c r="G186" s="300"/>
      <c r="H186" s="127">
        <f>VLOOKUP(MONTH(A186),ETP_Parametros!$A$6:$D$17,4,FALSE)</f>
        <v>2.903225806451613</v>
      </c>
      <c r="I186" s="230">
        <f>VLOOKUP(A186,P_Q_obs!$A$4:$F$308,6,FALSE)*1</f>
        <v>0</v>
      </c>
      <c r="J186" s="230">
        <f t="shared" si="80"/>
        <v>0</v>
      </c>
      <c r="K186" s="230">
        <f t="shared" si="81"/>
        <v>0</v>
      </c>
      <c r="L186" s="230">
        <f t="shared" si="82"/>
        <v>0</v>
      </c>
      <c r="M186" s="230">
        <f t="shared" si="83"/>
        <v>0</v>
      </c>
      <c r="N186" s="230">
        <f t="shared" si="84"/>
        <v>0</v>
      </c>
      <c r="O186" s="230">
        <f t="shared" si="85"/>
        <v>0</v>
      </c>
      <c r="P186" s="230">
        <f t="shared" si="86"/>
        <v>0</v>
      </c>
      <c r="Q186" s="230">
        <f t="shared" si="87"/>
        <v>0</v>
      </c>
      <c r="R186" s="230">
        <f t="shared" si="88"/>
        <v>0</v>
      </c>
      <c r="S186" s="230">
        <f t="shared" si="89"/>
        <v>0</v>
      </c>
      <c r="T186" s="230">
        <f t="shared" si="90"/>
        <v>0</v>
      </c>
      <c r="U186" s="230">
        <f t="shared" si="91"/>
        <v>0</v>
      </c>
      <c r="V186" s="230">
        <f t="shared" si="92"/>
        <v>0</v>
      </c>
      <c r="W186" s="230">
        <f t="shared" si="93"/>
        <v>0</v>
      </c>
      <c r="X186" s="230">
        <f t="shared" si="94"/>
        <v>0</v>
      </c>
      <c r="Y186" s="230">
        <f t="shared" si="95"/>
        <v>0</v>
      </c>
      <c r="Z186" s="292">
        <f t="shared" si="96"/>
        <v>0</v>
      </c>
      <c r="AA186" s="300"/>
      <c r="AB186" s="191">
        <f t="shared" si="97"/>
        <v>0</v>
      </c>
      <c r="AC186" s="139">
        <f t="shared" si="98"/>
        <v>0</v>
      </c>
      <c r="AD186" s="132">
        <f t="shared" si="99"/>
        <v>17.792019906249333</v>
      </c>
      <c r="AE186" s="168">
        <f t="shared" si="100"/>
        <v>0.23573822423764443</v>
      </c>
      <c r="AF186" s="192">
        <f t="shared" si="101"/>
        <v>0</v>
      </c>
      <c r="AG186" s="192">
        <f t="shared" si="111"/>
        <v>0.60058206214890764</v>
      </c>
      <c r="AH186" s="192">
        <f t="shared" si="102"/>
        <v>0</v>
      </c>
      <c r="AI186" s="168">
        <f t="shared" si="103"/>
        <v>4.2122463158287274E-6</v>
      </c>
      <c r="AJ186" s="192">
        <f t="shared" si="104"/>
        <v>1.3886976370482654E-6</v>
      </c>
      <c r="AK186" s="132">
        <f t="shared" si="105"/>
        <v>52.917247004251571</v>
      </c>
      <c r="AL186" s="192">
        <f t="shared" si="106"/>
        <v>0.76420659816596359</v>
      </c>
      <c r="AM186" s="192">
        <f t="shared" si="112"/>
        <v>0</v>
      </c>
      <c r="AN186" s="192">
        <f t="shared" si="107"/>
        <v>0</v>
      </c>
      <c r="AO186" s="192">
        <f t="shared" si="113"/>
        <v>0</v>
      </c>
      <c r="AS186" s="132"/>
      <c r="AT186" s="132"/>
      <c r="AU186" s="200"/>
      <c r="AV186" s="132"/>
      <c r="AW186" s="132"/>
      <c r="AX186" s="132"/>
      <c r="AY186" s="132"/>
      <c r="AZ186" s="132"/>
      <c r="BA186" s="167"/>
      <c r="BB186" s="167"/>
      <c r="BD186" s="211">
        <f t="shared" si="108"/>
        <v>42591</v>
      </c>
      <c r="BE186" s="210">
        <v>1</v>
      </c>
      <c r="BF186" s="209">
        <v>0.5</v>
      </c>
      <c r="BG186" s="209">
        <v>2</v>
      </c>
      <c r="BH186" s="210"/>
      <c r="BI186" s="209"/>
      <c r="BJ186" s="209"/>
      <c r="BK186" s="168">
        <f t="shared" si="109"/>
        <v>0</v>
      </c>
      <c r="BL186" s="168">
        <f t="shared" si="110"/>
        <v>0</v>
      </c>
    </row>
    <row r="187" spans="1:64" ht="13.5" thickBot="1" x14ac:dyDescent="0.25">
      <c r="A187" s="215">
        <f t="shared" si="114"/>
        <v>42592</v>
      </c>
      <c r="B187" s="190"/>
      <c r="C187" s="168"/>
      <c r="D187" s="198"/>
      <c r="E187" s="132">
        <f t="shared" si="78"/>
        <v>485.87940182380538</v>
      </c>
      <c r="F187" s="168">
        <f t="shared" si="79"/>
        <v>485.87872822027146</v>
      </c>
      <c r="G187" s="300"/>
      <c r="H187" s="127">
        <f>VLOOKUP(MONTH(A187),ETP_Parametros!$A$6:$D$17,4,FALSE)</f>
        <v>2.903225806451613</v>
      </c>
      <c r="I187" s="230">
        <f>VLOOKUP(A187,P_Q_obs!$A$4:$F$308,6,FALSE)*1</f>
        <v>0</v>
      </c>
      <c r="J187" s="230">
        <f t="shared" si="80"/>
        <v>0</v>
      </c>
      <c r="K187" s="230">
        <f t="shared" si="81"/>
        <v>0</v>
      </c>
      <c r="L187" s="230">
        <f t="shared" si="82"/>
        <v>0</v>
      </c>
      <c r="M187" s="230">
        <f t="shared" si="83"/>
        <v>0</v>
      </c>
      <c r="N187" s="230">
        <f t="shared" si="84"/>
        <v>0</v>
      </c>
      <c r="O187" s="230">
        <f t="shared" si="85"/>
        <v>0</v>
      </c>
      <c r="P187" s="230">
        <f t="shared" si="86"/>
        <v>0</v>
      </c>
      <c r="Q187" s="230">
        <f t="shared" si="87"/>
        <v>0</v>
      </c>
      <c r="R187" s="230">
        <f t="shared" si="88"/>
        <v>0</v>
      </c>
      <c r="S187" s="230">
        <f t="shared" si="89"/>
        <v>0</v>
      </c>
      <c r="T187" s="230">
        <f t="shared" si="90"/>
        <v>0</v>
      </c>
      <c r="U187" s="230">
        <f t="shared" si="91"/>
        <v>0</v>
      </c>
      <c r="V187" s="230">
        <f t="shared" si="92"/>
        <v>0</v>
      </c>
      <c r="W187" s="230">
        <f t="shared" si="93"/>
        <v>0</v>
      </c>
      <c r="X187" s="230">
        <f t="shared" si="94"/>
        <v>0</v>
      </c>
      <c r="Y187" s="230">
        <f t="shared" si="95"/>
        <v>0</v>
      </c>
      <c r="Z187" s="292">
        <f t="shared" si="96"/>
        <v>0</v>
      </c>
      <c r="AA187" s="300"/>
      <c r="AB187" s="191">
        <f t="shared" si="97"/>
        <v>0</v>
      </c>
      <c r="AC187" s="139">
        <f t="shared" si="98"/>
        <v>0</v>
      </c>
      <c r="AD187" s="132">
        <f t="shared" si="99"/>
        <v>17.211048925446871</v>
      </c>
      <c r="AE187" s="168">
        <f t="shared" si="100"/>
        <v>0.22804055595323169</v>
      </c>
      <c r="AF187" s="192">
        <f t="shared" si="101"/>
        <v>0</v>
      </c>
      <c r="AG187" s="192">
        <f t="shared" si="111"/>
        <v>0.58097098080246301</v>
      </c>
      <c r="AH187" s="192">
        <f t="shared" si="102"/>
        <v>0</v>
      </c>
      <c r="AI187" s="168">
        <f t="shared" si="103"/>
        <v>3.1678622700908785E-6</v>
      </c>
      <c r="AJ187" s="192">
        <f t="shared" si="104"/>
        <v>1.0443840457378491E-6</v>
      </c>
      <c r="AK187" s="132">
        <f t="shared" si="105"/>
        <v>52.163919614554992</v>
      </c>
      <c r="AL187" s="192">
        <f t="shared" si="106"/>
        <v>0.75332738969657709</v>
      </c>
      <c r="AM187" s="192">
        <f t="shared" si="112"/>
        <v>0</v>
      </c>
      <c r="AN187" s="192">
        <f t="shared" si="107"/>
        <v>0</v>
      </c>
      <c r="AO187" s="192">
        <f t="shared" si="113"/>
        <v>0</v>
      </c>
      <c r="AS187" s="132"/>
      <c r="AT187" s="132"/>
      <c r="AU187" s="200"/>
      <c r="AV187" s="132"/>
      <c r="AW187" s="132"/>
      <c r="AX187" s="132"/>
      <c r="AY187" s="132"/>
      <c r="AZ187" s="132"/>
      <c r="BA187" s="167"/>
      <c r="BB187" s="167"/>
      <c r="BD187" s="211">
        <f t="shared" si="108"/>
        <v>42592</v>
      </c>
      <c r="BE187" s="210">
        <v>1</v>
      </c>
      <c r="BF187" s="209">
        <v>0.5</v>
      </c>
      <c r="BG187" s="209">
        <v>2</v>
      </c>
      <c r="BH187" s="210"/>
      <c r="BI187" s="209"/>
      <c r="BJ187" s="209"/>
      <c r="BK187" s="168">
        <f t="shared" si="109"/>
        <v>0</v>
      </c>
      <c r="BL187" s="168">
        <f t="shared" si="110"/>
        <v>0</v>
      </c>
    </row>
    <row r="188" spans="1:64" ht="13.5" thickBot="1" x14ac:dyDescent="0.25">
      <c r="A188" s="215">
        <f t="shared" si="114"/>
        <v>42593</v>
      </c>
      <c r="B188" s="190"/>
      <c r="C188" s="168"/>
      <c r="D188" s="198"/>
      <c r="E188" s="132">
        <f t="shared" si="78"/>
        <v>478.96228854523264</v>
      </c>
      <c r="F188" s="168">
        <f t="shared" si="79"/>
        <v>478.96178195490995</v>
      </c>
      <c r="G188" s="300"/>
      <c r="H188" s="127">
        <f>VLOOKUP(MONTH(A188),ETP_Parametros!$A$6:$D$17,4,FALSE)</f>
        <v>2.903225806451613</v>
      </c>
      <c r="I188" s="230">
        <f>VLOOKUP(A188,P_Q_obs!$A$4:$F$308,6,FALSE)*1</f>
        <v>0</v>
      </c>
      <c r="J188" s="230">
        <f t="shared" si="80"/>
        <v>0</v>
      </c>
      <c r="K188" s="230">
        <f t="shared" si="81"/>
        <v>0</v>
      </c>
      <c r="L188" s="230">
        <f t="shared" si="82"/>
        <v>0</v>
      </c>
      <c r="M188" s="230">
        <f t="shared" si="83"/>
        <v>0</v>
      </c>
      <c r="N188" s="230">
        <f t="shared" si="84"/>
        <v>0</v>
      </c>
      <c r="O188" s="230">
        <f t="shared" si="85"/>
        <v>0</v>
      </c>
      <c r="P188" s="230">
        <f t="shared" si="86"/>
        <v>0</v>
      </c>
      <c r="Q188" s="230">
        <f t="shared" si="87"/>
        <v>0</v>
      </c>
      <c r="R188" s="230">
        <f t="shared" si="88"/>
        <v>0</v>
      </c>
      <c r="S188" s="230">
        <f t="shared" si="89"/>
        <v>0</v>
      </c>
      <c r="T188" s="230">
        <f t="shared" si="90"/>
        <v>0</v>
      </c>
      <c r="U188" s="230">
        <f t="shared" si="91"/>
        <v>0</v>
      </c>
      <c r="V188" s="230">
        <f t="shared" si="92"/>
        <v>0</v>
      </c>
      <c r="W188" s="230">
        <f t="shared" si="93"/>
        <v>0</v>
      </c>
      <c r="X188" s="230">
        <f t="shared" si="94"/>
        <v>0</v>
      </c>
      <c r="Y188" s="230">
        <f t="shared" si="95"/>
        <v>0</v>
      </c>
      <c r="Z188" s="292">
        <f t="shared" si="96"/>
        <v>0</v>
      </c>
      <c r="AA188" s="300"/>
      <c r="AB188" s="191">
        <f t="shared" si="97"/>
        <v>0</v>
      </c>
      <c r="AC188" s="139">
        <f t="shared" si="98"/>
        <v>0</v>
      </c>
      <c r="AD188" s="132">
        <f t="shared" si="99"/>
        <v>16.649048656363092</v>
      </c>
      <c r="AE188" s="168">
        <f t="shared" si="100"/>
        <v>0.22059424315946322</v>
      </c>
      <c r="AF188" s="192">
        <f t="shared" si="101"/>
        <v>0</v>
      </c>
      <c r="AG188" s="192">
        <f t="shared" si="111"/>
        <v>0.5620002690837772</v>
      </c>
      <c r="AH188" s="192">
        <f t="shared" si="102"/>
        <v>0</v>
      </c>
      <c r="AI188" s="168">
        <f t="shared" si="103"/>
        <v>2.3824227288310784E-6</v>
      </c>
      <c r="AJ188" s="192">
        <f t="shared" si="104"/>
        <v>7.8543954125980004E-7</v>
      </c>
      <c r="AK188" s="132">
        <f t="shared" si="105"/>
        <v>51.421316557437947</v>
      </c>
      <c r="AL188" s="192">
        <f t="shared" si="106"/>
        <v>0.74260305711704089</v>
      </c>
      <c r="AM188" s="192">
        <f t="shared" si="112"/>
        <v>0</v>
      </c>
      <c r="AN188" s="192">
        <f t="shared" si="107"/>
        <v>0</v>
      </c>
      <c r="AO188" s="192">
        <f t="shared" si="113"/>
        <v>0</v>
      </c>
      <c r="AS188" s="132"/>
      <c r="AT188" s="132"/>
      <c r="AU188" s="200"/>
      <c r="AV188" s="132"/>
      <c r="AW188" s="132"/>
      <c r="AX188" s="132"/>
      <c r="AY188" s="132"/>
      <c r="AZ188" s="132"/>
      <c r="BA188" s="167"/>
      <c r="BB188" s="167"/>
      <c r="BD188" s="211">
        <f t="shared" si="108"/>
        <v>42593</v>
      </c>
      <c r="BE188" s="210">
        <v>1</v>
      </c>
      <c r="BF188" s="209">
        <v>0.5</v>
      </c>
      <c r="BG188" s="209">
        <v>2</v>
      </c>
      <c r="BH188" s="210"/>
      <c r="BI188" s="209"/>
      <c r="BJ188" s="209"/>
      <c r="BK188" s="168">
        <f t="shared" si="109"/>
        <v>0</v>
      </c>
      <c r="BL188" s="168">
        <f t="shared" si="110"/>
        <v>0</v>
      </c>
    </row>
    <row r="189" spans="1:64" ht="13.5" thickBot="1" x14ac:dyDescent="0.25">
      <c r="A189" s="215">
        <f t="shared" si="114"/>
        <v>42594</v>
      </c>
      <c r="B189" s="190"/>
      <c r="C189" s="168"/>
      <c r="D189" s="198"/>
      <c r="E189" s="132">
        <f t="shared" si="78"/>
        <v>472.14368599110276</v>
      </c>
      <c r="F189" s="168">
        <f t="shared" si="79"/>
        <v>472.14330500474796</v>
      </c>
      <c r="G189" s="300"/>
      <c r="H189" s="127">
        <f>VLOOKUP(MONTH(A189),ETP_Parametros!$A$6:$D$17,4,FALSE)</f>
        <v>2.903225806451613</v>
      </c>
      <c r="I189" s="230">
        <f>VLOOKUP(A189,P_Q_obs!$A$4:$F$308,6,FALSE)*1</f>
        <v>0</v>
      </c>
      <c r="J189" s="230">
        <f t="shared" si="80"/>
        <v>0</v>
      </c>
      <c r="K189" s="230">
        <f t="shared" si="81"/>
        <v>0</v>
      </c>
      <c r="L189" s="230">
        <f t="shared" si="82"/>
        <v>0</v>
      </c>
      <c r="M189" s="230">
        <f t="shared" si="83"/>
        <v>0</v>
      </c>
      <c r="N189" s="230">
        <f t="shared" si="84"/>
        <v>0</v>
      </c>
      <c r="O189" s="230">
        <f t="shared" si="85"/>
        <v>0</v>
      </c>
      <c r="P189" s="230">
        <f t="shared" si="86"/>
        <v>0</v>
      </c>
      <c r="Q189" s="230">
        <f t="shared" si="87"/>
        <v>0</v>
      </c>
      <c r="R189" s="230">
        <f t="shared" si="88"/>
        <v>0</v>
      </c>
      <c r="S189" s="230">
        <f t="shared" si="89"/>
        <v>0</v>
      </c>
      <c r="T189" s="230">
        <f t="shared" si="90"/>
        <v>0</v>
      </c>
      <c r="U189" s="230">
        <f t="shared" si="91"/>
        <v>0</v>
      </c>
      <c r="V189" s="230">
        <f t="shared" si="92"/>
        <v>0</v>
      </c>
      <c r="W189" s="230">
        <f t="shared" si="93"/>
        <v>0</v>
      </c>
      <c r="X189" s="230">
        <f t="shared" si="94"/>
        <v>0</v>
      </c>
      <c r="Y189" s="230">
        <f t="shared" si="95"/>
        <v>0</v>
      </c>
      <c r="Z189" s="292">
        <f t="shared" si="96"/>
        <v>0</v>
      </c>
      <c r="AA189" s="300"/>
      <c r="AB189" s="191">
        <f t="shared" si="97"/>
        <v>0</v>
      </c>
      <c r="AC189" s="139">
        <f t="shared" si="98"/>
        <v>0</v>
      </c>
      <c r="AD189" s="132">
        <f t="shared" si="99"/>
        <v>16.105399639653204</v>
      </c>
      <c r="AE189" s="168">
        <f t="shared" si="100"/>
        <v>0.21339107823029652</v>
      </c>
      <c r="AF189" s="192">
        <f t="shared" si="101"/>
        <v>0</v>
      </c>
      <c r="AG189" s="192">
        <f t="shared" si="111"/>
        <v>0.54364901670988741</v>
      </c>
      <c r="AH189" s="192">
        <f t="shared" si="102"/>
        <v>0</v>
      </c>
      <c r="AI189" s="168">
        <f t="shared" si="103"/>
        <v>1.7917250104083889E-6</v>
      </c>
      <c r="AJ189" s="192">
        <f t="shared" si="104"/>
        <v>5.9069771842268934E-7</v>
      </c>
      <c r="AK189" s="132">
        <f t="shared" si="105"/>
        <v>50.689285161816329</v>
      </c>
      <c r="AL189" s="192">
        <f t="shared" si="106"/>
        <v>0.73203139562161701</v>
      </c>
      <c r="AM189" s="192">
        <f t="shared" si="112"/>
        <v>0</v>
      </c>
      <c r="AN189" s="192">
        <f t="shared" si="107"/>
        <v>0</v>
      </c>
      <c r="AO189" s="192">
        <f t="shared" si="113"/>
        <v>0</v>
      </c>
      <c r="AS189" s="132"/>
      <c r="AT189" s="132"/>
      <c r="AU189" s="200"/>
      <c r="AV189" s="132"/>
      <c r="AW189" s="132"/>
      <c r="AX189" s="132"/>
      <c r="AY189" s="132"/>
      <c r="AZ189" s="132"/>
      <c r="BA189" s="167"/>
      <c r="BB189" s="167"/>
      <c r="BD189" s="211">
        <f t="shared" si="108"/>
        <v>42594</v>
      </c>
      <c r="BE189" s="210">
        <v>1</v>
      </c>
      <c r="BF189" s="209">
        <v>0.5</v>
      </c>
      <c r="BG189" s="209">
        <v>2</v>
      </c>
      <c r="BH189" s="210"/>
      <c r="BI189" s="209"/>
      <c r="BJ189" s="209"/>
      <c r="BK189" s="168">
        <f t="shared" si="109"/>
        <v>0</v>
      </c>
      <c r="BL189" s="168">
        <f t="shared" si="110"/>
        <v>0</v>
      </c>
    </row>
    <row r="190" spans="1:64" ht="13.5" thickBot="1" x14ac:dyDescent="0.25">
      <c r="A190" s="215">
        <f t="shared" si="114"/>
        <v>42595</v>
      </c>
      <c r="B190" s="190"/>
      <c r="C190" s="168"/>
      <c r="D190" s="198"/>
      <c r="E190" s="132">
        <f t="shared" si="78"/>
        <v>465.42218208996422</v>
      </c>
      <c r="F190" s="168">
        <f t="shared" si="79"/>
        <v>465.4218955653385</v>
      </c>
      <c r="G190" s="300"/>
      <c r="H190" s="127">
        <f>VLOOKUP(MONTH(A190),ETP_Parametros!$A$6:$D$17,4,FALSE)</f>
        <v>2.903225806451613</v>
      </c>
      <c r="I190" s="230">
        <f>VLOOKUP(A190,P_Q_obs!$A$4:$F$308,6,FALSE)*1</f>
        <v>0</v>
      </c>
      <c r="J190" s="230">
        <f t="shared" si="80"/>
        <v>0</v>
      </c>
      <c r="K190" s="230">
        <f t="shared" si="81"/>
        <v>0</v>
      </c>
      <c r="L190" s="230">
        <f t="shared" si="82"/>
        <v>0</v>
      </c>
      <c r="M190" s="230">
        <f t="shared" si="83"/>
        <v>0</v>
      </c>
      <c r="N190" s="230">
        <f t="shared" si="84"/>
        <v>0</v>
      </c>
      <c r="O190" s="230">
        <f t="shared" si="85"/>
        <v>0</v>
      </c>
      <c r="P190" s="230">
        <f t="shared" si="86"/>
        <v>0</v>
      </c>
      <c r="Q190" s="230">
        <f t="shared" si="87"/>
        <v>0</v>
      </c>
      <c r="R190" s="230">
        <f t="shared" si="88"/>
        <v>0</v>
      </c>
      <c r="S190" s="230">
        <f t="shared" si="89"/>
        <v>0</v>
      </c>
      <c r="T190" s="230">
        <f t="shared" si="90"/>
        <v>0</v>
      </c>
      <c r="U190" s="230">
        <f t="shared" si="91"/>
        <v>0</v>
      </c>
      <c r="V190" s="230">
        <f t="shared" si="92"/>
        <v>0</v>
      </c>
      <c r="W190" s="230">
        <f t="shared" si="93"/>
        <v>0</v>
      </c>
      <c r="X190" s="230">
        <f t="shared" si="94"/>
        <v>0</v>
      </c>
      <c r="Y190" s="230">
        <f t="shared" si="95"/>
        <v>0</v>
      </c>
      <c r="Z190" s="292">
        <f t="shared" si="96"/>
        <v>0</v>
      </c>
      <c r="AA190" s="300"/>
      <c r="AB190" s="191">
        <f t="shared" si="97"/>
        <v>0</v>
      </c>
      <c r="AC190" s="139">
        <f t="shared" si="98"/>
        <v>0</v>
      </c>
      <c r="AD190" s="132">
        <f t="shared" si="99"/>
        <v>15.579502643462318</v>
      </c>
      <c r="AE190" s="168">
        <f t="shared" si="100"/>
        <v>0.2064231215470643</v>
      </c>
      <c r="AF190" s="192">
        <f t="shared" si="101"/>
        <v>0</v>
      </c>
      <c r="AG190" s="192">
        <f t="shared" si="111"/>
        <v>0.52589699619088492</v>
      </c>
      <c r="AH190" s="192">
        <f t="shared" si="102"/>
        <v>0</v>
      </c>
      <c r="AI190" s="168">
        <f t="shared" si="103"/>
        <v>1.347484841406817E-6</v>
      </c>
      <c r="AJ190" s="192">
        <f t="shared" si="104"/>
        <v>4.4424016900157203E-7</v>
      </c>
      <c r="AK190" s="132">
        <f t="shared" si="105"/>
        <v>49.967674930024252</v>
      </c>
      <c r="AL190" s="192">
        <f t="shared" si="106"/>
        <v>0.7216102317920764</v>
      </c>
      <c r="AM190" s="192">
        <f t="shared" si="112"/>
        <v>0</v>
      </c>
      <c r="AN190" s="192">
        <f t="shared" si="107"/>
        <v>0</v>
      </c>
      <c r="AO190" s="192">
        <f t="shared" si="113"/>
        <v>0</v>
      </c>
      <c r="AS190" s="132"/>
      <c r="AT190" s="132"/>
      <c r="AU190" s="200"/>
      <c r="AV190" s="132"/>
      <c r="AW190" s="132"/>
      <c r="AX190" s="132"/>
      <c r="AY190" s="132"/>
      <c r="AZ190" s="132"/>
      <c r="BA190" s="167"/>
      <c r="BB190" s="167"/>
      <c r="BD190" s="211">
        <f t="shared" si="108"/>
        <v>42595</v>
      </c>
      <c r="BE190" s="210">
        <v>1</v>
      </c>
      <c r="BF190" s="209">
        <v>0.5</v>
      </c>
      <c r="BG190" s="209">
        <v>2</v>
      </c>
      <c r="BH190" s="210"/>
      <c r="BI190" s="209"/>
      <c r="BJ190" s="209"/>
      <c r="BK190" s="168">
        <f t="shared" si="109"/>
        <v>0</v>
      </c>
      <c r="BL190" s="168">
        <f t="shared" si="110"/>
        <v>0</v>
      </c>
    </row>
    <row r="191" spans="1:64" ht="13.5" thickBot="1" x14ac:dyDescent="0.25">
      <c r="A191" s="215">
        <f t="shared" si="114"/>
        <v>42596</v>
      </c>
      <c r="B191" s="190"/>
      <c r="C191" s="168"/>
      <c r="D191" s="198"/>
      <c r="E191" s="132">
        <f t="shared" si="78"/>
        <v>458.79638727198574</v>
      </c>
      <c r="F191" s="168">
        <f t="shared" si="79"/>
        <v>458.79617178825498</v>
      </c>
      <c r="G191" s="300"/>
      <c r="H191" s="127">
        <f>VLOOKUP(MONTH(A191),ETP_Parametros!$A$6:$D$17,4,FALSE)</f>
        <v>2.903225806451613</v>
      </c>
      <c r="I191" s="230">
        <f>VLOOKUP(A191,P_Q_obs!$A$4:$F$308,6,FALSE)*1</f>
        <v>0</v>
      </c>
      <c r="J191" s="230">
        <f t="shared" si="80"/>
        <v>0</v>
      </c>
      <c r="K191" s="230">
        <f t="shared" si="81"/>
        <v>0</v>
      </c>
      <c r="L191" s="230">
        <f t="shared" si="82"/>
        <v>0</v>
      </c>
      <c r="M191" s="230">
        <f t="shared" si="83"/>
        <v>0</v>
      </c>
      <c r="N191" s="230">
        <f t="shared" si="84"/>
        <v>0</v>
      </c>
      <c r="O191" s="230">
        <f t="shared" si="85"/>
        <v>0</v>
      </c>
      <c r="P191" s="230">
        <f t="shared" si="86"/>
        <v>0</v>
      </c>
      <c r="Q191" s="230">
        <f t="shared" si="87"/>
        <v>0</v>
      </c>
      <c r="R191" s="230">
        <f t="shared" si="88"/>
        <v>0</v>
      </c>
      <c r="S191" s="230">
        <f t="shared" si="89"/>
        <v>0</v>
      </c>
      <c r="T191" s="230">
        <f t="shared" si="90"/>
        <v>0</v>
      </c>
      <c r="U191" s="230">
        <f t="shared" si="91"/>
        <v>0</v>
      </c>
      <c r="V191" s="230">
        <f t="shared" si="92"/>
        <v>0</v>
      </c>
      <c r="W191" s="230">
        <f t="shared" si="93"/>
        <v>0</v>
      </c>
      <c r="X191" s="230">
        <f t="shared" si="94"/>
        <v>0</v>
      </c>
      <c r="Y191" s="230">
        <f t="shared" si="95"/>
        <v>0</v>
      </c>
      <c r="Z191" s="292">
        <f t="shared" si="96"/>
        <v>0</v>
      </c>
      <c r="AA191" s="300"/>
      <c r="AB191" s="191">
        <f t="shared" si="97"/>
        <v>0</v>
      </c>
      <c r="AC191" s="139">
        <f t="shared" si="98"/>
        <v>0</v>
      </c>
      <c r="AD191" s="132">
        <f t="shared" si="99"/>
        <v>15.070778002927957</v>
      </c>
      <c r="AE191" s="168">
        <f t="shared" si="100"/>
        <v>0.19968269274710657</v>
      </c>
      <c r="AF191" s="192">
        <f t="shared" si="101"/>
        <v>0</v>
      </c>
      <c r="AG191" s="192">
        <f t="shared" si="111"/>
        <v>0.50872464053435984</v>
      </c>
      <c r="AH191" s="192">
        <f t="shared" si="102"/>
        <v>0</v>
      </c>
      <c r="AI191" s="168">
        <f t="shared" si="103"/>
        <v>1.013389547655696E-6</v>
      </c>
      <c r="AJ191" s="192">
        <f t="shared" si="104"/>
        <v>3.340952937511209E-7</v>
      </c>
      <c r="AK191" s="132">
        <f t="shared" si="105"/>
        <v>49.256337506873386</v>
      </c>
      <c r="AL191" s="192">
        <f t="shared" si="106"/>
        <v>0.71133742315086734</v>
      </c>
      <c r="AM191" s="192">
        <f t="shared" si="112"/>
        <v>0</v>
      </c>
      <c r="AN191" s="192">
        <f t="shared" si="107"/>
        <v>0</v>
      </c>
      <c r="AO191" s="192">
        <f t="shared" si="113"/>
        <v>0</v>
      </c>
      <c r="AS191" s="132"/>
      <c r="AT191" s="132"/>
      <c r="AU191" s="200"/>
      <c r="AV191" s="132"/>
      <c r="AW191" s="132"/>
      <c r="AX191" s="132"/>
      <c r="AY191" s="132"/>
      <c r="AZ191" s="132"/>
      <c r="BA191" s="167"/>
      <c r="BB191" s="167"/>
      <c r="BD191" s="211">
        <f t="shared" si="108"/>
        <v>42596</v>
      </c>
      <c r="BE191" s="210">
        <v>1</v>
      </c>
      <c r="BF191" s="209">
        <v>0.5</v>
      </c>
      <c r="BG191" s="209">
        <v>2</v>
      </c>
      <c r="BH191" s="210"/>
      <c r="BI191" s="209"/>
      <c r="BJ191" s="209"/>
      <c r="BK191" s="168">
        <f t="shared" si="109"/>
        <v>0</v>
      </c>
      <c r="BL191" s="168">
        <f t="shared" si="110"/>
        <v>0</v>
      </c>
    </row>
    <row r="192" spans="1:64" ht="13.5" thickBot="1" x14ac:dyDescent="0.25">
      <c r="A192" s="215">
        <f t="shared" si="114"/>
        <v>42597</v>
      </c>
      <c r="B192" s="190"/>
      <c r="C192" s="168"/>
      <c r="D192" s="198"/>
      <c r="E192" s="132">
        <f t="shared" ref="E192:E255" si="115">(AJ192+AL192+AO192)*Y$9/86.4</f>
        <v>452.2649335537094</v>
      </c>
      <c r="F192" s="168">
        <f t="shared" ref="F192:F255" si="116">(AL192*$Y$9)/86.4</f>
        <v>452.26477149699917</v>
      </c>
      <c r="G192" s="300"/>
      <c r="H192" s="127">
        <f>VLOOKUP(MONTH(A192),ETP_Parametros!$A$6:$D$17,4,FALSE)</f>
        <v>2.903225806451613</v>
      </c>
      <c r="I192" s="230">
        <f>VLOOKUP(A192,P_Q_obs!$A$4:$F$308,6,FALSE)*1</f>
        <v>0</v>
      </c>
      <c r="J192" s="230">
        <f t="shared" ref="J192:J255" si="117">I192</f>
        <v>0</v>
      </c>
      <c r="K192" s="230">
        <f t="shared" ref="K192:K255" si="118">J192</f>
        <v>0</v>
      </c>
      <c r="L192" s="230">
        <f t="shared" ref="L192:L255" si="119">K192</f>
        <v>0</v>
      </c>
      <c r="M192" s="230">
        <f t="shared" ref="M192:M255" si="120">L192</f>
        <v>0</v>
      </c>
      <c r="N192" s="230">
        <f t="shared" ref="N192:N255" si="121">M192</f>
        <v>0</v>
      </c>
      <c r="O192" s="230">
        <f t="shared" ref="O192:O255" si="122">N192</f>
        <v>0</v>
      </c>
      <c r="P192" s="230">
        <f t="shared" ref="P192:P255" si="123">O192</f>
        <v>0</v>
      </c>
      <c r="Q192" s="230">
        <f t="shared" ref="Q192:Q255" si="124">P192</f>
        <v>0</v>
      </c>
      <c r="R192" s="230">
        <f t="shared" ref="R192:R255" si="125">Q192</f>
        <v>0</v>
      </c>
      <c r="S192" s="230">
        <f t="shared" ref="S192:S255" si="126">R192</f>
        <v>0</v>
      </c>
      <c r="T192" s="230">
        <f t="shared" ref="T192:T255" si="127">S192</f>
        <v>0</v>
      </c>
      <c r="U192" s="230">
        <f t="shared" ref="U192:U255" si="128">T192</f>
        <v>0</v>
      </c>
      <c r="V192" s="230">
        <f t="shared" ref="V192:V255" si="129">U192</f>
        <v>0</v>
      </c>
      <c r="W192" s="230">
        <f t="shared" ref="W192:W255" si="130">V192</f>
        <v>0</v>
      </c>
      <c r="X192" s="230">
        <f t="shared" ref="X192:X255" si="131">W192</f>
        <v>0</v>
      </c>
      <c r="Y192" s="230">
        <f t="shared" ref="Y192:Y255" si="132">X192</f>
        <v>0</v>
      </c>
      <c r="Z192" s="292">
        <f t="shared" ref="Z192:Z255" si="133">Y192</f>
        <v>0</v>
      </c>
      <c r="AA192" s="300"/>
      <c r="AB192" s="191">
        <f t="shared" ref="AB192:AB255" si="134">SUMPRODUCT($I$17:$Z$17,I192:Z192)</f>
        <v>0</v>
      </c>
      <c r="AC192" s="139">
        <f t="shared" ref="AC192:AC255" si="135">(AB189*$J$5+AB190*$J$6+AB191*$J$7+AB192*$J$8+AB193*$J$9)*BE192</f>
        <v>0</v>
      </c>
      <c r="AD192" s="132">
        <f t="shared" ref="AD192:AD255" si="136">AD191+AC192-AF192-AG192-AH192</f>
        <v>14.578664981250084</v>
      </c>
      <c r="AE192" s="168">
        <f t="shared" ref="AE192:AE255" si="137">AD191/$O$5</f>
        <v>0.19316236225816552</v>
      </c>
      <c r="AF192" s="192">
        <f t="shared" ref="AF192:AF255" si="138">IF(AC192&gt;O$8,(AC192-O$8)^2/(AC192-O$8+O$5-AD191),0)</f>
        <v>0</v>
      </c>
      <c r="AG192" s="192">
        <f t="shared" si="111"/>
        <v>0.49211302167787374</v>
      </c>
      <c r="AH192" s="192">
        <f t="shared" ref="AH192:AH255" si="139">IF(AD191&gt;(P$9*O$5),(P$7*AE192*(AD191-(P$9*O$5))),0)</f>
        <v>0</v>
      </c>
      <c r="AI192" s="168">
        <f t="shared" ref="AI192:AI255" si="140">AI191+AF192-AJ192</f>
        <v>7.6212981678193807E-7</v>
      </c>
      <c r="AJ192" s="192">
        <f t="shared" ref="AJ192:AJ255" si="141">(AI191+AF192)*(1-P$6)</f>
        <v>2.5125973087375802E-7</v>
      </c>
      <c r="AK192" s="132">
        <f t="shared" ref="AK192:AK255" si="142">AK191-AL192+AH192</f>
        <v>48.55512664915274</v>
      </c>
      <c r="AL192" s="192">
        <f t="shared" ref="AL192:AL255" si="143">AK191*(1-P$10)</f>
        <v>0.70121085772064617</v>
      </c>
      <c r="AM192" s="192">
        <f t="shared" si="112"/>
        <v>0</v>
      </c>
      <c r="AN192" s="192">
        <f t="shared" ref="AN192:AN255" si="144">AN191+AM192-AO192</f>
        <v>0</v>
      </c>
      <c r="AO192" s="192">
        <f t="shared" si="113"/>
        <v>0</v>
      </c>
      <c r="AS192" s="132"/>
      <c r="AT192" s="132"/>
      <c r="AU192" s="200"/>
      <c r="AV192" s="132"/>
      <c r="AW192" s="132"/>
      <c r="AX192" s="132"/>
      <c r="AY192" s="132"/>
      <c r="AZ192" s="132"/>
      <c r="BA192" s="167"/>
      <c r="BB192" s="167"/>
      <c r="BD192" s="211">
        <f t="shared" ref="BD192:BD255" si="145">A192</f>
        <v>42597</v>
      </c>
      <c r="BE192" s="210">
        <v>1</v>
      </c>
      <c r="BF192" s="209">
        <v>0.5</v>
      </c>
      <c r="BG192" s="209">
        <v>2</v>
      </c>
      <c r="BH192" s="210"/>
      <c r="BI192" s="209"/>
      <c r="BJ192" s="209"/>
      <c r="BK192" s="168">
        <f t="shared" ref="BK192:BK255" si="146">I192</f>
        <v>0</v>
      </c>
      <c r="BL192" s="168">
        <f t="shared" ref="BL192:BL255" si="147">AC192</f>
        <v>0</v>
      </c>
    </row>
    <row r="193" spans="1:64" ht="13.5" thickBot="1" x14ac:dyDescent="0.25">
      <c r="A193" s="215">
        <f t="shared" si="114"/>
        <v>42598</v>
      </c>
      <c r="B193" s="190"/>
      <c r="C193" s="168"/>
      <c r="D193" s="198"/>
      <c r="E193" s="132">
        <f t="shared" si="115"/>
        <v>445.82647378333291</v>
      </c>
      <c r="F193" s="168">
        <f t="shared" si="116"/>
        <v>445.82635190695163</v>
      </c>
      <c r="G193" s="300"/>
      <c r="H193" s="127">
        <f>VLOOKUP(MONTH(A193),ETP_Parametros!$A$6:$D$17,4,FALSE)</f>
        <v>2.903225806451613</v>
      </c>
      <c r="I193" s="230">
        <f>VLOOKUP(A193,P_Q_obs!$A$4:$F$308,6,FALSE)*1</f>
        <v>0</v>
      </c>
      <c r="J193" s="230">
        <f t="shared" si="117"/>
        <v>0</v>
      </c>
      <c r="K193" s="230">
        <f t="shared" si="118"/>
        <v>0</v>
      </c>
      <c r="L193" s="230">
        <f t="shared" si="119"/>
        <v>0</v>
      </c>
      <c r="M193" s="230">
        <f t="shared" si="120"/>
        <v>0</v>
      </c>
      <c r="N193" s="230">
        <f t="shared" si="121"/>
        <v>0</v>
      </c>
      <c r="O193" s="230">
        <f t="shared" si="122"/>
        <v>0</v>
      </c>
      <c r="P193" s="230">
        <f t="shared" si="123"/>
        <v>0</v>
      </c>
      <c r="Q193" s="230">
        <f t="shared" si="124"/>
        <v>0</v>
      </c>
      <c r="R193" s="230">
        <f t="shared" si="125"/>
        <v>0</v>
      </c>
      <c r="S193" s="230">
        <f t="shared" si="126"/>
        <v>0</v>
      </c>
      <c r="T193" s="230">
        <f t="shared" si="127"/>
        <v>0</v>
      </c>
      <c r="U193" s="230">
        <f t="shared" si="128"/>
        <v>0</v>
      </c>
      <c r="V193" s="230">
        <f t="shared" si="129"/>
        <v>0</v>
      </c>
      <c r="W193" s="230">
        <f t="shared" si="130"/>
        <v>0</v>
      </c>
      <c r="X193" s="230">
        <f t="shared" si="131"/>
        <v>0</v>
      </c>
      <c r="Y193" s="230">
        <f t="shared" si="132"/>
        <v>0</v>
      </c>
      <c r="Z193" s="292">
        <f t="shared" si="133"/>
        <v>0</v>
      </c>
      <c r="AA193" s="300"/>
      <c r="AB193" s="191">
        <f t="shared" si="134"/>
        <v>0</v>
      </c>
      <c r="AC193" s="139">
        <f t="shared" si="135"/>
        <v>0</v>
      </c>
      <c r="AD193" s="132">
        <f t="shared" si="136"/>
        <v>14.102621151624398</v>
      </c>
      <c r="AE193" s="168">
        <f t="shared" si="137"/>
        <v>0.18685494310921158</v>
      </c>
      <c r="AF193" s="192">
        <f t="shared" si="138"/>
        <v>0</v>
      </c>
      <c r="AG193" s="192">
        <f t="shared" si="111"/>
        <v>0.47604382962568659</v>
      </c>
      <c r="AH193" s="192">
        <f t="shared" si="139"/>
        <v>0</v>
      </c>
      <c r="AI193" s="168">
        <f t="shared" si="140"/>
        <v>5.7316740533958451E-7</v>
      </c>
      <c r="AJ193" s="192">
        <f t="shared" si="141"/>
        <v>1.8896241144235362E-7</v>
      </c>
      <c r="AK193" s="132">
        <f t="shared" si="142"/>
        <v>47.863898195562662</v>
      </c>
      <c r="AL193" s="192">
        <f t="shared" si="143"/>
        <v>0.6912284535900769</v>
      </c>
      <c r="AM193" s="192">
        <f t="shared" si="112"/>
        <v>0</v>
      </c>
      <c r="AN193" s="192">
        <f t="shared" si="144"/>
        <v>0</v>
      </c>
      <c r="AO193" s="192">
        <f t="shared" si="113"/>
        <v>0</v>
      </c>
      <c r="AS193" s="132"/>
      <c r="AT193" s="132"/>
      <c r="AU193" s="200"/>
      <c r="AV193" s="132"/>
      <c r="AW193" s="132"/>
      <c r="AX193" s="132"/>
      <c r="AY193" s="132"/>
      <c r="AZ193" s="132"/>
      <c r="BA193" s="167"/>
      <c r="BB193" s="167"/>
      <c r="BD193" s="211">
        <f t="shared" si="145"/>
        <v>42598</v>
      </c>
      <c r="BE193" s="210">
        <v>1</v>
      </c>
      <c r="BF193" s="209">
        <v>0.5</v>
      </c>
      <c r="BG193" s="209">
        <v>2</v>
      </c>
      <c r="BH193" s="210"/>
      <c r="BI193" s="209"/>
      <c r="BJ193" s="209"/>
      <c r="BK193" s="168">
        <f t="shared" si="146"/>
        <v>0</v>
      </c>
      <c r="BL193" s="168">
        <f t="shared" si="147"/>
        <v>0</v>
      </c>
    </row>
    <row r="194" spans="1:64" ht="13.5" thickBot="1" x14ac:dyDescent="0.25">
      <c r="A194" s="215">
        <f t="shared" si="114"/>
        <v>42599</v>
      </c>
      <c r="B194" s="190"/>
      <c r="C194" s="168"/>
      <c r="D194" s="198"/>
      <c r="E194" s="132">
        <f t="shared" si="115"/>
        <v>439.47968100767105</v>
      </c>
      <c r="F194" s="168">
        <f t="shared" si="116"/>
        <v>439.47958934931091</v>
      </c>
      <c r="G194" s="300"/>
      <c r="H194" s="127">
        <f>VLOOKUP(MONTH(A194),ETP_Parametros!$A$6:$D$17,4,FALSE)</f>
        <v>2.903225806451613</v>
      </c>
      <c r="I194" s="230">
        <f>VLOOKUP(A194,P_Q_obs!$A$4:$F$308,6,FALSE)*1</f>
        <v>0</v>
      </c>
      <c r="J194" s="230">
        <f t="shared" si="117"/>
        <v>0</v>
      </c>
      <c r="K194" s="230">
        <f t="shared" si="118"/>
        <v>0</v>
      </c>
      <c r="L194" s="230">
        <f t="shared" si="119"/>
        <v>0</v>
      </c>
      <c r="M194" s="230">
        <f t="shared" si="120"/>
        <v>0</v>
      </c>
      <c r="N194" s="230">
        <f t="shared" si="121"/>
        <v>0</v>
      </c>
      <c r="O194" s="230">
        <f t="shared" si="122"/>
        <v>0</v>
      </c>
      <c r="P194" s="230">
        <f t="shared" si="123"/>
        <v>0</v>
      </c>
      <c r="Q194" s="230">
        <f t="shared" si="124"/>
        <v>0</v>
      </c>
      <c r="R194" s="230">
        <f t="shared" si="125"/>
        <v>0</v>
      </c>
      <c r="S194" s="230">
        <f t="shared" si="126"/>
        <v>0</v>
      </c>
      <c r="T194" s="230">
        <f t="shared" si="127"/>
        <v>0</v>
      </c>
      <c r="U194" s="230">
        <f t="shared" si="128"/>
        <v>0</v>
      </c>
      <c r="V194" s="230">
        <f t="shared" si="129"/>
        <v>0</v>
      </c>
      <c r="W194" s="230">
        <f t="shared" si="130"/>
        <v>0</v>
      </c>
      <c r="X194" s="230">
        <f t="shared" si="131"/>
        <v>0</v>
      </c>
      <c r="Y194" s="230">
        <f t="shared" si="132"/>
        <v>0</v>
      </c>
      <c r="Z194" s="292">
        <f t="shared" si="133"/>
        <v>0</v>
      </c>
      <c r="AA194" s="300"/>
      <c r="AB194" s="191">
        <f t="shared" si="134"/>
        <v>0</v>
      </c>
      <c r="AC194" s="139">
        <f t="shared" si="135"/>
        <v>0</v>
      </c>
      <c r="AD194" s="132">
        <f t="shared" si="136"/>
        <v>13.642121799357657</v>
      </c>
      <c r="AE194" s="168">
        <f t="shared" si="137"/>
        <v>0.18075348300867419</v>
      </c>
      <c r="AF194" s="192">
        <f t="shared" si="138"/>
        <v>0</v>
      </c>
      <c r="AG194" s="192">
        <f t="shared" si="111"/>
        <v>0.46049935226674132</v>
      </c>
      <c r="AH194" s="192">
        <f t="shared" si="139"/>
        <v>0</v>
      </c>
      <c r="AI194" s="168">
        <f t="shared" si="140"/>
        <v>4.3105632047159294E-7</v>
      </c>
      <c r="AJ194" s="192">
        <f t="shared" si="141"/>
        <v>1.4211108486799154E-7</v>
      </c>
      <c r="AK194" s="132">
        <f t="shared" si="142"/>
        <v>47.182510037076845</v>
      </c>
      <c r="AL194" s="192">
        <f t="shared" si="143"/>
        <v>0.68138815848581391</v>
      </c>
      <c r="AM194" s="192">
        <f t="shared" si="112"/>
        <v>0</v>
      </c>
      <c r="AN194" s="192">
        <f t="shared" si="144"/>
        <v>0</v>
      </c>
      <c r="AO194" s="192">
        <f t="shared" si="113"/>
        <v>0</v>
      </c>
      <c r="AS194" s="132"/>
      <c r="AT194" s="132"/>
      <c r="AU194" s="200"/>
      <c r="AV194" s="132"/>
      <c r="AW194" s="132"/>
      <c r="AX194" s="132"/>
      <c r="AY194" s="132"/>
      <c r="AZ194" s="132"/>
      <c r="BA194" s="167"/>
      <c r="BB194" s="167"/>
      <c r="BD194" s="211">
        <f t="shared" si="145"/>
        <v>42599</v>
      </c>
      <c r="BE194" s="210">
        <v>1</v>
      </c>
      <c r="BF194" s="209">
        <v>0.5</v>
      </c>
      <c r="BG194" s="209">
        <v>2</v>
      </c>
      <c r="BH194" s="210"/>
      <c r="BI194" s="209"/>
      <c r="BJ194" s="209"/>
      <c r="BK194" s="168">
        <f t="shared" si="146"/>
        <v>0</v>
      </c>
      <c r="BL194" s="168">
        <f t="shared" si="147"/>
        <v>0</v>
      </c>
    </row>
    <row r="195" spans="1:64" ht="13.5" thickBot="1" x14ac:dyDescent="0.25">
      <c r="A195" s="215">
        <f t="shared" si="114"/>
        <v>42600</v>
      </c>
      <c r="B195" s="190"/>
      <c r="C195" s="168"/>
      <c r="D195" s="198"/>
      <c r="E195" s="132">
        <f t="shared" si="115"/>
        <v>433.2232479315536</v>
      </c>
      <c r="F195" s="168">
        <f t="shared" si="116"/>
        <v>433.22317899896063</v>
      </c>
      <c r="G195" s="300"/>
      <c r="H195" s="127">
        <f>VLOOKUP(MONTH(A195),ETP_Parametros!$A$6:$D$17,4,FALSE)</f>
        <v>2.903225806451613</v>
      </c>
      <c r="I195" s="230">
        <f>VLOOKUP(A195,P_Q_obs!$A$4:$F$308,6,FALSE)*1</f>
        <v>0</v>
      </c>
      <c r="J195" s="230">
        <f t="shared" si="117"/>
        <v>0</v>
      </c>
      <c r="K195" s="230">
        <f t="shared" si="118"/>
        <v>0</v>
      </c>
      <c r="L195" s="230">
        <f t="shared" si="119"/>
        <v>0</v>
      </c>
      <c r="M195" s="230">
        <f t="shared" si="120"/>
        <v>0</v>
      </c>
      <c r="N195" s="230">
        <f t="shared" si="121"/>
        <v>0</v>
      </c>
      <c r="O195" s="230">
        <f t="shared" si="122"/>
        <v>0</v>
      </c>
      <c r="P195" s="230">
        <f t="shared" si="123"/>
        <v>0</v>
      </c>
      <c r="Q195" s="230">
        <f t="shared" si="124"/>
        <v>0</v>
      </c>
      <c r="R195" s="230">
        <f t="shared" si="125"/>
        <v>0</v>
      </c>
      <c r="S195" s="230">
        <f t="shared" si="126"/>
        <v>0</v>
      </c>
      <c r="T195" s="230">
        <f t="shared" si="127"/>
        <v>0</v>
      </c>
      <c r="U195" s="230">
        <f t="shared" si="128"/>
        <v>0</v>
      </c>
      <c r="V195" s="230">
        <f t="shared" si="129"/>
        <v>0</v>
      </c>
      <c r="W195" s="230">
        <f t="shared" si="130"/>
        <v>0</v>
      </c>
      <c r="X195" s="230">
        <f t="shared" si="131"/>
        <v>0</v>
      </c>
      <c r="Y195" s="230">
        <f t="shared" si="132"/>
        <v>0</v>
      </c>
      <c r="Z195" s="292">
        <f t="shared" si="133"/>
        <v>0</v>
      </c>
      <c r="AA195" s="300"/>
      <c r="AB195" s="191">
        <f t="shared" si="134"/>
        <v>0</v>
      </c>
      <c r="AC195" s="139">
        <f t="shared" si="135"/>
        <v>0</v>
      </c>
      <c r="AD195" s="132">
        <f t="shared" si="136"/>
        <v>13.196659343505996</v>
      </c>
      <c r="AE195" s="168">
        <f t="shared" si="137"/>
        <v>0.1748512566813461</v>
      </c>
      <c r="AF195" s="192">
        <f t="shared" si="138"/>
        <v>0</v>
      </c>
      <c r="AG195" s="192">
        <f t="shared" si="111"/>
        <v>0.44546245585166167</v>
      </c>
      <c r="AH195" s="192">
        <f t="shared" si="139"/>
        <v>0</v>
      </c>
      <c r="AI195" s="168">
        <f t="shared" si="140"/>
        <v>3.2418024766851851E-7</v>
      </c>
      <c r="AJ195" s="192">
        <f t="shared" si="141"/>
        <v>1.0687607280307442E-7</v>
      </c>
      <c r="AK195" s="132">
        <f t="shared" si="142"/>
        <v>46.510822087726268</v>
      </c>
      <c r="AL195" s="192">
        <f t="shared" si="143"/>
        <v>0.67168794935057607</v>
      </c>
      <c r="AM195" s="192">
        <f t="shared" si="112"/>
        <v>0</v>
      </c>
      <c r="AN195" s="192">
        <f t="shared" si="144"/>
        <v>0</v>
      </c>
      <c r="AO195" s="192">
        <f t="shared" si="113"/>
        <v>0</v>
      </c>
      <c r="AS195" s="132"/>
      <c r="AT195" s="132"/>
      <c r="AU195" s="200"/>
      <c r="AV195" s="132"/>
      <c r="AW195" s="132"/>
      <c r="AX195" s="132"/>
      <c r="AY195" s="132"/>
      <c r="AZ195" s="132"/>
      <c r="BA195" s="167"/>
      <c r="BB195" s="167"/>
      <c r="BD195" s="211">
        <f t="shared" si="145"/>
        <v>42600</v>
      </c>
      <c r="BE195" s="210">
        <v>1</v>
      </c>
      <c r="BF195" s="209">
        <v>0.5</v>
      </c>
      <c r="BG195" s="209">
        <v>2</v>
      </c>
      <c r="BH195" s="210"/>
      <c r="BI195" s="209"/>
      <c r="BJ195" s="209"/>
      <c r="BK195" s="168">
        <f t="shared" si="146"/>
        <v>0</v>
      </c>
      <c r="BL195" s="168">
        <f t="shared" si="147"/>
        <v>0</v>
      </c>
    </row>
    <row r="196" spans="1:64" ht="13.5" thickBot="1" x14ac:dyDescent="0.25">
      <c r="A196" s="215">
        <f t="shared" si="114"/>
        <v>42601</v>
      </c>
      <c r="B196" s="190"/>
      <c r="C196" s="168"/>
      <c r="D196" s="198"/>
      <c r="E196" s="132">
        <f t="shared" si="115"/>
        <v>427.05588644766334</v>
      </c>
      <c r="F196" s="168">
        <f t="shared" si="116"/>
        <v>427.05583460621244</v>
      </c>
      <c r="G196" s="300"/>
      <c r="H196" s="127">
        <f>VLOOKUP(MONTH(A196),ETP_Parametros!$A$6:$D$17,4,FALSE)</f>
        <v>2.903225806451613</v>
      </c>
      <c r="I196" s="230">
        <f>VLOOKUP(A196,P_Q_obs!$A$4:$F$308,6,FALSE)*1</f>
        <v>0</v>
      </c>
      <c r="J196" s="230">
        <f t="shared" si="117"/>
        <v>0</v>
      </c>
      <c r="K196" s="230">
        <f t="shared" si="118"/>
        <v>0</v>
      </c>
      <c r="L196" s="230">
        <f t="shared" si="119"/>
        <v>0</v>
      </c>
      <c r="M196" s="230">
        <f t="shared" si="120"/>
        <v>0</v>
      </c>
      <c r="N196" s="230">
        <f t="shared" si="121"/>
        <v>0</v>
      </c>
      <c r="O196" s="230">
        <f t="shared" si="122"/>
        <v>0</v>
      </c>
      <c r="P196" s="230">
        <f t="shared" si="123"/>
        <v>0</v>
      </c>
      <c r="Q196" s="230">
        <f t="shared" si="124"/>
        <v>0</v>
      </c>
      <c r="R196" s="230">
        <f t="shared" si="125"/>
        <v>0</v>
      </c>
      <c r="S196" s="230">
        <f t="shared" si="126"/>
        <v>0</v>
      </c>
      <c r="T196" s="230">
        <f t="shared" si="127"/>
        <v>0</v>
      </c>
      <c r="U196" s="230">
        <f t="shared" si="128"/>
        <v>0</v>
      </c>
      <c r="V196" s="230">
        <f t="shared" si="129"/>
        <v>0</v>
      </c>
      <c r="W196" s="230">
        <f t="shared" si="130"/>
        <v>0</v>
      </c>
      <c r="X196" s="230">
        <f t="shared" si="131"/>
        <v>0</v>
      </c>
      <c r="Y196" s="230">
        <f t="shared" si="132"/>
        <v>0</v>
      </c>
      <c r="Z196" s="292">
        <f t="shared" si="133"/>
        <v>0</v>
      </c>
      <c r="AA196" s="300"/>
      <c r="AB196" s="191">
        <f t="shared" si="134"/>
        <v>0</v>
      </c>
      <c r="AC196" s="139">
        <f t="shared" si="135"/>
        <v>0</v>
      </c>
      <c r="AD196" s="132">
        <f t="shared" si="136"/>
        <v>12.765742777398753</v>
      </c>
      <c r="AE196" s="168">
        <f t="shared" si="137"/>
        <v>0.16914175845551371</v>
      </c>
      <c r="AF196" s="192">
        <f t="shared" si="138"/>
        <v>0</v>
      </c>
      <c r="AG196" s="192">
        <f t="shared" si="111"/>
        <v>0.43091656610724244</v>
      </c>
      <c r="AH196" s="192">
        <f t="shared" si="139"/>
        <v>0</v>
      </c>
      <c r="AI196" s="168">
        <f t="shared" si="140"/>
        <v>2.4380302059704456E-7</v>
      </c>
      <c r="AJ196" s="192">
        <f t="shared" si="141"/>
        <v>8.0377227071473972E-8</v>
      </c>
      <c r="AK196" s="132">
        <f t="shared" si="142"/>
        <v>45.848696255799041</v>
      </c>
      <c r="AL196" s="192">
        <f t="shared" si="143"/>
        <v>0.66212583192722896</v>
      </c>
      <c r="AM196" s="192">
        <f t="shared" si="112"/>
        <v>0</v>
      </c>
      <c r="AN196" s="192">
        <f t="shared" si="144"/>
        <v>0</v>
      </c>
      <c r="AO196" s="192">
        <f t="shared" si="113"/>
        <v>0</v>
      </c>
      <c r="AS196" s="132"/>
      <c r="AT196" s="132"/>
      <c r="AU196" s="200"/>
      <c r="AV196" s="132"/>
      <c r="AW196" s="132"/>
      <c r="AX196" s="132"/>
      <c r="AY196" s="132"/>
      <c r="AZ196" s="132"/>
      <c r="BA196" s="167"/>
      <c r="BB196" s="167"/>
      <c r="BD196" s="211">
        <f t="shared" si="145"/>
        <v>42601</v>
      </c>
      <c r="BE196" s="210">
        <v>1</v>
      </c>
      <c r="BF196" s="209">
        <v>0.5</v>
      </c>
      <c r="BG196" s="209">
        <v>2</v>
      </c>
      <c r="BH196" s="210"/>
      <c r="BI196" s="209"/>
      <c r="BJ196" s="209"/>
      <c r="BK196" s="168">
        <f t="shared" si="146"/>
        <v>0</v>
      </c>
      <c r="BL196" s="168">
        <f t="shared" si="147"/>
        <v>0</v>
      </c>
    </row>
    <row r="197" spans="1:64" ht="13.5" thickBot="1" x14ac:dyDescent="0.25">
      <c r="A197" s="215">
        <f t="shared" si="114"/>
        <v>42602</v>
      </c>
      <c r="B197" s="190"/>
      <c r="C197" s="168"/>
      <c r="D197" s="198"/>
      <c r="E197" s="132">
        <f t="shared" si="115"/>
        <v>420.97632722025213</v>
      </c>
      <c r="F197" s="168">
        <f t="shared" si="116"/>
        <v>420.97628823236681</v>
      </c>
      <c r="G197" s="300"/>
      <c r="H197" s="127">
        <f>VLOOKUP(MONTH(A197),ETP_Parametros!$A$6:$D$17,4,FALSE)</f>
        <v>2.903225806451613</v>
      </c>
      <c r="I197" s="230">
        <f>VLOOKUP(A197,P_Q_obs!$A$4:$F$308,6,FALSE)*1</f>
        <v>0</v>
      </c>
      <c r="J197" s="230">
        <f t="shared" si="117"/>
        <v>0</v>
      </c>
      <c r="K197" s="230">
        <f t="shared" si="118"/>
        <v>0</v>
      </c>
      <c r="L197" s="230">
        <f t="shared" si="119"/>
        <v>0</v>
      </c>
      <c r="M197" s="230">
        <f t="shared" si="120"/>
        <v>0</v>
      </c>
      <c r="N197" s="230">
        <f t="shared" si="121"/>
        <v>0</v>
      </c>
      <c r="O197" s="230">
        <f t="shared" si="122"/>
        <v>0</v>
      </c>
      <c r="P197" s="230">
        <f t="shared" si="123"/>
        <v>0</v>
      </c>
      <c r="Q197" s="230">
        <f t="shared" si="124"/>
        <v>0</v>
      </c>
      <c r="R197" s="230">
        <f t="shared" si="125"/>
        <v>0</v>
      </c>
      <c r="S197" s="230">
        <f t="shared" si="126"/>
        <v>0</v>
      </c>
      <c r="T197" s="230">
        <f t="shared" si="127"/>
        <v>0</v>
      </c>
      <c r="U197" s="230">
        <f t="shared" si="128"/>
        <v>0</v>
      </c>
      <c r="V197" s="230">
        <f t="shared" si="129"/>
        <v>0</v>
      </c>
      <c r="W197" s="230">
        <f t="shared" si="130"/>
        <v>0</v>
      </c>
      <c r="X197" s="230">
        <f t="shared" si="131"/>
        <v>0</v>
      </c>
      <c r="Y197" s="230">
        <f t="shared" si="132"/>
        <v>0</v>
      </c>
      <c r="Z197" s="292">
        <f t="shared" si="133"/>
        <v>0</v>
      </c>
      <c r="AA197" s="300"/>
      <c r="AB197" s="191">
        <f t="shared" si="134"/>
        <v>0</v>
      </c>
      <c r="AC197" s="139">
        <f t="shared" si="135"/>
        <v>0</v>
      </c>
      <c r="AD197" s="132">
        <f t="shared" si="136"/>
        <v>12.348897127431135</v>
      </c>
      <c r="AE197" s="168">
        <f t="shared" si="137"/>
        <v>0.16361869509214386</v>
      </c>
      <c r="AF197" s="192">
        <f t="shared" si="138"/>
        <v>0</v>
      </c>
      <c r="AG197" s="192">
        <f t="shared" si="111"/>
        <v>0.41684564996761858</v>
      </c>
      <c r="AH197" s="192">
        <f t="shared" si="139"/>
        <v>0</v>
      </c>
      <c r="AI197" s="168">
        <f t="shared" si="140"/>
        <v>1.8335451737029198E-7</v>
      </c>
      <c r="AJ197" s="192">
        <f t="shared" si="141"/>
        <v>6.0448503226752597E-8</v>
      </c>
      <c r="AK197" s="132">
        <f t="shared" si="142"/>
        <v>45.195996415450253</v>
      </c>
      <c r="AL197" s="192">
        <f t="shared" si="143"/>
        <v>0.65269984034878692</v>
      </c>
      <c r="AM197" s="192">
        <f t="shared" si="112"/>
        <v>0</v>
      </c>
      <c r="AN197" s="192">
        <f t="shared" si="144"/>
        <v>0</v>
      </c>
      <c r="AO197" s="192">
        <f t="shared" si="113"/>
        <v>0</v>
      </c>
      <c r="AS197" s="132"/>
      <c r="AT197" s="132"/>
      <c r="AU197" s="200"/>
      <c r="AV197" s="132"/>
      <c r="AW197" s="132"/>
      <c r="AX197" s="132"/>
      <c r="AY197" s="132"/>
      <c r="AZ197" s="132"/>
      <c r="BA197" s="167"/>
      <c r="BB197" s="167"/>
      <c r="BD197" s="211">
        <f t="shared" si="145"/>
        <v>42602</v>
      </c>
      <c r="BE197" s="210">
        <v>1</v>
      </c>
      <c r="BF197" s="209">
        <v>0.5</v>
      </c>
      <c r="BG197" s="209">
        <v>2</v>
      </c>
      <c r="BH197" s="210"/>
      <c r="BI197" s="209"/>
      <c r="BJ197" s="209"/>
      <c r="BK197" s="168">
        <f t="shared" si="146"/>
        <v>0</v>
      </c>
      <c r="BL197" s="168">
        <f t="shared" si="147"/>
        <v>0</v>
      </c>
    </row>
    <row r="198" spans="1:64" ht="13.5" thickBot="1" x14ac:dyDescent="0.25">
      <c r="A198" s="215">
        <f t="shared" si="114"/>
        <v>42603</v>
      </c>
      <c r="B198" s="190"/>
      <c r="C198" s="168"/>
      <c r="D198" s="198"/>
      <c r="E198" s="132">
        <f t="shared" si="115"/>
        <v>414.98331931027053</v>
      </c>
      <c r="F198" s="168">
        <f t="shared" si="116"/>
        <v>414.98328998903867</v>
      </c>
      <c r="G198" s="300"/>
      <c r="H198" s="127">
        <f>VLOOKUP(MONTH(A198),ETP_Parametros!$A$6:$D$17,4,FALSE)</f>
        <v>2.903225806451613</v>
      </c>
      <c r="I198" s="230">
        <f>VLOOKUP(A198,P_Q_obs!$A$4:$F$308,6,FALSE)*1</f>
        <v>0</v>
      </c>
      <c r="J198" s="230">
        <f t="shared" si="117"/>
        <v>0</v>
      </c>
      <c r="K198" s="230">
        <f t="shared" si="118"/>
        <v>0</v>
      </c>
      <c r="L198" s="230">
        <f t="shared" si="119"/>
        <v>0</v>
      </c>
      <c r="M198" s="230">
        <f t="shared" si="120"/>
        <v>0</v>
      </c>
      <c r="N198" s="230">
        <f t="shared" si="121"/>
        <v>0</v>
      </c>
      <c r="O198" s="230">
        <f t="shared" si="122"/>
        <v>0</v>
      </c>
      <c r="P198" s="230">
        <f t="shared" si="123"/>
        <v>0</v>
      </c>
      <c r="Q198" s="230">
        <f t="shared" si="124"/>
        <v>0</v>
      </c>
      <c r="R198" s="230">
        <f t="shared" si="125"/>
        <v>0</v>
      </c>
      <c r="S198" s="230">
        <f t="shared" si="126"/>
        <v>0</v>
      </c>
      <c r="T198" s="230">
        <f t="shared" si="127"/>
        <v>0</v>
      </c>
      <c r="U198" s="230">
        <f t="shared" si="128"/>
        <v>0</v>
      </c>
      <c r="V198" s="230">
        <f t="shared" si="129"/>
        <v>0</v>
      </c>
      <c r="W198" s="230">
        <f t="shared" si="130"/>
        <v>0</v>
      </c>
      <c r="X198" s="230">
        <f t="shared" si="131"/>
        <v>0</v>
      </c>
      <c r="Y198" s="230">
        <f t="shared" si="132"/>
        <v>0</v>
      </c>
      <c r="Z198" s="292">
        <f t="shared" si="133"/>
        <v>0</v>
      </c>
      <c r="AA198" s="300"/>
      <c r="AB198" s="191">
        <f t="shared" si="134"/>
        <v>0</v>
      </c>
      <c r="AC198" s="139">
        <f t="shared" si="135"/>
        <v>0</v>
      </c>
      <c r="AD198" s="132">
        <f t="shared" si="136"/>
        <v>11.945662929529162</v>
      </c>
      <c r="AE198" s="168">
        <f t="shared" si="137"/>
        <v>0.15827597884822187</v>
      </c>
      <c r="AF198" s="192">
        <f t="shared" si="138"/>
        <v>0</v>
      </c>
      <c r="AG198" s="192">
        <f t="shared" si="111"/>
        <v>0.40323419790197285</v>
      </c>
      <c r="AH198" s="192">
        <f t="shared" si="139"/>
        <v>0</v>
      </c>
      <c r="AI198" s="168">
        <f t="shared" si="140"/>
        <v>1.3789361164502421E-7</v>
      </c>
      <c r="AJ198" s="192">
        <f t="shared" si="141"/>
        <v>4.5460905725267771E-8</v>
      </c>
      <c r="AK198" s="132">
        <f t="shared" si="142"/>
        <v>44.552588378716003</v>
      </c>
      <c r="AL198" s="192">
        <f t="shared" si="143"/>
        <v>0.64340803673425229</v>
      </c>
      <c r="AM198" s="192">
        <f t="shared" si="112"/>
        <v>0</v>
      </c>
      <c r="AN198" s="192">
        <f t="shared" si="144"/>
        <v>0</v>
      </c>
      <c r="AO198" s="192">
        <f t="shared" si="113"/>
        <v>0</v>
      </c>
      <c r="AS198" s="132"/>
      <c r="AT198" s="132"/>
      <c r="AU198" s="200"/>
      <c r="AV198" s="132"/>
      <c r="AW198" s="132"/>
      <c r="AX198" s="132"/>
      <c r="AY198" s="132"/>
      <c r="AZ198" s="132"/>
      <c r="BA198" s="167"/>
      <c r="BB198" s="167"/>
      <c r="BD198" s="211">
        <f t="shared" si="145"/>
        <v>42603</v>
      </c>
      <c r="BE198" s="210">
        <v>1</v>
      </c>
      <c r="BF198" s="209">
        <v>0.5</v>
      </c>
      <c r="BG198" s="209">
        <v>2</v>
      </c>
      <c r="BH198" s="210"/>
      <c r="BI198" s="209"/>
      <c r="BJ198" s="209"/>
      <c r="BK198" s="168">
        <f t="shared" si="146"/>
        <v>0</v>
      </c>
      <c r="BL198" s="168">
        <f t="shared" si="147"/>
        <v>0</v>
      </c>
    </row>
    <row r="199" spans="1:64" ht="13.5" thickBot="1" x14ac:dyDescent="0.25">
      <c r="A199" s="215">
        <f t="shared" si="114"/>
        <v>42604</v>
      </c>
      <c r="B199" s="190"/>
      <c r="C199" s="168"/>
      <c r="D199" s="198"/>
      <c r="E199" s="132">
        <f t="shared" si="115"/>
        <v>409.07562983252171</v>
      </c>
      <c r="F199" s="168">
        <f t="shared" si="116"/>
        <v>409.07560778119404</v>
      </c>
      <c r="G199" s="300"/>
      <c r="H199" s="127">
        <f>VLOOKUP(MONTH(A199),ETP_Parametros!$A$6:$D$17,4,FALSE)</f>
        <v>2.903225806451613</v>
      </c>
      <c r="I199" s="230">
        <f>VLOOKUP(A199,P_Q_obs!$A$4:$F$308,6,FALSE)*1</f>
        <v>0</v>
      </c>
      <c r="J199" s="230">
        <f t="shared" si="117"/>
        <v>0</v>
      </c>
      <c r="K199" s="230">
        <f t="shared" si="118"/>
        <v>0</v>
      </c>
      <c r="L199" s="230">
        <f t="shared" si="119"/>
        <v>0</v>
      </c>
      <c r="M199" s="230">
        <f t="shared" si="120"/>
        <v>0</v>
      </c>
      <c r="N199" s="230">
        <f t="shared" si="121"/>
        <v>0</v>
      </c>
      <c r="O199" s="230">
        <f t="shared" si="122"/>
        <v>0</v>
      </c>
      <c r="P199" s="230">
        <f t="shared" si="123"/>
        <v>0</v>
      </c>
      <c r="Q199" s="230">
        <f t="shared" si="124"/>
        <v>0</v>
      </c>
      <c r="R199" s="230">
        <f t="shared" si="125"/>
        <v>0</v>
      </c>
      <c r="S199" s="230">
        <f t="shared" si="126"/>
        <v>0</v>
      </c>
      <c r="T199" s="230">
        <f t="shared" si="127"/>
        <v>0</v>
      </c>
      <c r="U199" s="230">
        <f t="shared" si="128"/>
        <v>0</v>
      </c>
      <c r="V199" s="230">
        <f t="shared" si="129"/>
        <v>0</v>
      </c>
      <c r="W199" s="230">
        <f t="shared" si="130"/>
        <v>0</v>
      </c>
      <c r="X199" s="230">
        <f t="shared" si="131"/>
        <v>0</v>
      </c>
      <c r="Y199" s="230">
        <f t="shared" si="132"/>
        <v>0</v>
      </c>
      <c r="Z199" s="292">
        <f t="shared" si="133"/>
        <v>0</v>
      </c>
      <c r="AA199" s="300"/>
      <c r="AB199" s="191">
        <f t="shared" si="134"/>
        <v>0</v>
      </c>
      <c r="AC199" s="139">
        <f t="shared" si="135"/>
        <v>0</v>
      </c>
      <c r="AD199" s="132">
        <f t="shared" si="136"/>
        <v>11.555595722709855</v>
      </c>
      <c r="AE199" s="168">
        <f t="shared" si="137"/>
        <v>0.15310772076659598</v>
      </c>
      <c r="AF199" s="192">
        <f t="shared" si="138"/>
        <v>0</v>
      </c>
      <c r="AG199" s="192">
        <f t="shared" si="111"/>
        <v>0.39006720681930668</v>
      </c>
      <c r="AH199" s="192">
        <f t="shared" si="139"/>
        <v>0</v>
      </c>
      <c r="AI199" s="168">
        <f t="shared" si="140"/>
        <v>1.0370427958482142E-7</v>
      </c>
      <c r="AJ199" s="192">
        <f t="shared" si="141"/>
        <v>3.4189332060202783E-8</v>
      </c>
      <c r="AK199" s="132">
        <f t="shared" si="142"/>
        <v>43.918339867925795</v>
      </c>
      <c r="AL199" s="192">
        <f t="shared" si="143"/>
        <v>0.63424851079020861</v>
      </c>
      <c r="AM199" s="192">
        <f t="shared" si="112"/>
        <v>0</v>
      </c>
      <c r="AN199" s="192">
        <f t="shared" si="144"/>
        <v>0</v>
      </c>
      <c r="AO199" s="192">
        <f t="shared" si="113"/>
        <v>0</v>
      </c>
      <c r="AS199" s="132"/>
      <c r="AT199" s="132"/>
      <c r="AU199" s="200"/>
      <c r="AV199" s="132"/>
      <c r="AW199" s="132"/>
      <c r="AX199" s="132"/>
      <c r="AY199" s="132"/>
      <c r="AZ199" s="132"/>
      <c r="BA199" s="167"/>
      <c r="BB199" s="167"/>
      <c r="BD199" s="211">
        <f t="shared" si="145"/>
        <v>42604</v>
      </c>
      <c r="BE199" s="210">
        <v>1</v>
      </c>
      <c r="BF199" s="209">
        <v>0.5</v>
      </c>
      <c r="BG199" s="209">
        <v>2</v>
      </c>
      <c r="BH199" s="210"/>
      <c r="BI199" s="209"/>
      <c r="BJ199" s="209"/>
      <c r="BK199" s="168">
        <f t="shared" si="146"/>
        <v>0</v>
      </c>
      <c r="BL199" s="168">
        <f t="shared" si="147"/>
        <v>0</v>
      </c>
    </row>
    <row r="200" spans="1:64" ht="13.5" thickBot="1" x14ac:dyDescent="0.25">
      <c r="A200" s="215">
        <f t="shared" si="114"/>
        <v>42605</v>
      </c>
      <c r="B200" s="190"/>
      <c r="C200" s="168"/>
      <c r="D200" s="198"/>
      <c r="E200" s="132">
        <f t="shared" si="115"/>
        <v>403.25204363776777</v>
      </c>
      <c r="F200" s="168">
        <f t="shared" si="116"/>
        <v>403.25202705384459</v>
      </c>
      <c r="G200" s="300"/>
      <c r="H200" s="127">
        <f>VLOOKUP(MONTH(A200),ETP_Parametros!$A$6:$D$17,4,FALSE)</f>
        <v>2.903225806451613</v>
      </c>
      <c r="I200" s="230">
        <f>VLOOKUP(A200,P_Q_obs!$A$4:$F$308,6,FALSE)*1</f>
        <v>0</v>
      </c>
      <c r="J200" s="230">
        <f t="shared" si="117"/>
        <v>0</v>
      </c>
      <c r="K200" s="230">
        <f t="shared" si="118"/>
        <v>0</v>
      </c>
      <c r="L200" s="230">
        <f t="shared" si="119"/>
        <v>0</v>
      </c>
      <c r="M200" s="230">
        <f t="shared" si="120"/>
        <v>0</v>
      </c>
      <c r="N200" s="230">
        <f t="shared" si="121"/>
        <v>0</v>
      </c>
      <c r="O200" s="230">
        <f t="shared" si="122"/>
        <v>0</v>
      </c>
      <c r="P200" s="230">
        <f t="shared" si="123"/>
        <v>0</v>
      </c>
      <c r="Q200" s="230">
        <f t="shared" si="124"/>
        <v>0</v>
      </c>
      <c r="R200" s="230">
        <f t="shared" si="125"/>
        <v>0</v>
      </c>
      <c r="S200" s="230">
        <f t="shared" si="126"/>
        <v>0</v>
      </c>
      <c r="T200" s="230">
        <f t="shared" si="127"/>
        <v>0</v>
      </c>
      <c r="U200" s="230">
        <f t="shared" si="128"/>
        <v>0</v>
      </c>
      <c r="V200" s="230">
        <f t="shared" si="129"/>
        <v>0</v>
      </c>
      <c r="W200" s="230">
        <f t="shared" si="130"/>
        <v>0</v>
      </c>
      <c r="X200" s="230">
        <f t="shared" si="131"/>
        <v>0</v>
      </c>
      <c r="Y200" s="230">
        <f t="shared" si="132"/>
        <v>0</v>
      </c>
      <c r="Z200" s="292">
        <f t="shared" si="133"/>
        <v>0</v>
      </c>
      <c r="AA200" s="300"/>
      <c r="AB200" s="191">
        <f t="shared" si="134"/>
        <v>0</v>
      </c>
      <c r="AC200" s="139">
        <f t="shared" si="135"/>
        <v>0</v>
      </c>
      <c r="AD200" s="132">
        <f t="shared" si="136"/>
        <v>11.178265559178426</v>
      </c>
      <c r="AE200" s="168">
        <f t="shared" si="137"/>
        <v>0.14810822418493158</v>
      </c>
      <c r="AF200" s="192">
        <f t="shared" si="138"/>
        <v>0</v>
      </c>
      <c r="AG200" s="192">
        <f t="shared" si="111"/>
        <v>0.37733016353142845</v>
      </c>
      <c r="AH200" s="192">
        <f t="shared" si="139"/>
        <v>0</v>
      </c>
      <c r="AI200" s="168">
        <f t="shared" si="140"/>
        <v>7.7991848033482715E-8</v>
      </c>
      <c r="AJ200" s="192">
        <f t="shared" si="141"/>
        <v>2.5712431551338716E-8</v>
      </c>
      <c r="AK200" s="132">
        <f t="shared" si="142"/>
        <v>43.293120488507711</v>
      </c>
      <c r="AL200" s="192">
        <f t="shared" si="143"/>
        <v>0.62521937941808448</v>
      </c>
      <c r="AM200" s="192">
        <f t="shared" si="112"/>
        <v>0</v>
      </c>
      <c r="AN200" s="192">
        <f t="shared" si="144"/>
        <v>0</v>
      </c>
      <c r="AO200" s="192">
        <f t="shared" si="113"/>
        <v>0</v>
      </c>
      <c r="AS200" s="132"/>
      <c r="AT200" s="132"/>
      <c r="AU200" s="200"/>
      <c r="AV200" s="132"/>
      <c r="AW200" s="132"/>
      <c r="AX200" s="132"/>
      <c r="AY200" s="132"/>
      <c r="AZ200" s="132"/>
      <c r="BA200" s="167"/>
      <c r="BB200" s="167"/>
      <c r="BD200" s="211">
        <f t="shared" si="145"/>
        <v>42605</v>
      </c>
      <c r="BE200" s="210">
        <v>1</v>
      </c>
      <c r="BF200" s="209">
        <v>0.5</v>
      </c>
      <c r="BG200" s="209">
        <v>2</v>
      </c>
      <c r="BH200" s="210"/>
      <c r="BI200" s="209"/>
      <c r="BJ200" s="209"/>
      <c r="BK200" s="168">
        <f t="shared" si="146"/>
        <v>0</v>
      </c>
      <c r="BL200" s="168">
        <f t="shared" si="147"/>
        <v>0</v>
      </c>
    </row>
    <row r="201" spans="1:64" ht="13.5" thickBot="1" x14ac:dyDescent="0.25">
      <c r="A201" s="215">
        <f t="shared" si="114"/>
        <v>42606</v>
      </c>
      <c r="B201" s="190"/>
      <c r="C201" s="168"/>
      <c r="D201" s="198"/>
      <c r="E201" s="132">
        <f t="shared" si="115"/>
        <v>397.5113630144553</v>
      </c>
      <c r="F201" s="168">
        <f t="shared" si="116"/>
        <v>397.51135054234879</v>
      </c>
      <c r="G201" s="300"/>
      <c r="H201" s="127">
        <f>VLOOKUP(MONTH(A201),ETP_Parametros!$A$6:$D$17,4,FALSE)</f>
        <v>2.903225806451613</v>
      </c>
      <c r="I201" s="230">
        <f>VLOOKUP(A201,P_Q_obs!$A$4:$F$308,6,FALSE)*1</f>
        <v>0</v>
      </c>
      <c r="J201" s="230">
        <f t="shared" si="117"/>
        <v>0</v>
      </c>
      <c r="K201" s="230">
        <f t="shared" si="118"/>
        <v>0</v>
      </c>
      <c r="L201" s="230">
        <f t="shared" si="119"/>
        <v>0</v>
      </c>
      <c r="M201" s="230">
        <f t="shared" si="120"/>
        <v>0</v>
      </c>
      <c r="N201" s="230">
        <f t="shared" si="121"/>
        <v>0</v>
      </c>
      <c r="O201" s="230">
        <f t="shared" si="122"/>
        <v>0</v>
      </c>
      <c r="P201" s="230">
        <f t="shared" si="123"/>
        <v>0</v>
      </c>
      <c r="Q201" s="230">
        <f t="shared" si="124"/>
        <v>0</v>
      </c>
      <c r="R201" s="230">
        <f t="shared" si="125"/>
        <v>0</v>
      </c>
      <c r="S201" s="230">
        <f t="shared" si="126"/>
        <v>0</v>
      </c>
      <c r="T201" s="230">
        <f t="shared" si="127"/>
        <v>0</v>
      </c>
      <c r="U201" s="230">
        <f t="shared" si="128"/>
        <v>0</v>
      </c>
      <c r="V201" s="230">
        <f t="shared" si="129"/>
        <v>0</v>
      </c>
      <c r="W201" s="230">
        <f t="shared" si="130"/>
        <v>0</v>
      </c>
      <c r="X201" s="230">
        <f t="shared" si="131"/>
        <v>0</v>
      </c>
      <c r="Y201" s="230">
        <f t="shared" si="132"/>
        <v>0</v>
      </c>
      <c r="Z201" s="292">
        <f t="shared" si="133"/>
        <v>0</v>
      </c>
      <c r="AA201" s="300"/>
      <c r="AB201" s="191">
        <f t="shared" si="134"/>
        <v>0</v>
      </c>
      <c r="AC201" s="139">
        <f t="shared" si="135"/>
        <v>0</v>
      </c>
      <c r="AD201" s="132">
        <f t="shared" si="136"/>
        <v>10.813256530422494</v>
      </c>
      <c r="AE201" s="168">
        <f t="shared" si="137"/>
        <v>0.1432719784566201</v>
      </c>
      <c r="AF201" s="192">
        <f t="shared" si="138"/>
        <v>0</v>
      </c>
      <c r="AG201" s="192">
        <f t="shared" si="111"/>
        <v>0.36500902875593227</v>
      </c>
      <c r="AH201" s="192">
        <f t="shared" si="139"/>
        <v>0</v>
      </c>
      <c r="AI201" s="168">
        <f t="shared" si="140"/>
        <v>5.8654554894262566E-8</v>
      </c>
      <c r="AJ201" s="192">
        <f t="shared" si="141"/>
        <v>1.9337293139220146E-8</v>
      </c>
      <c r="AK201" s="132">
        <f t="shared" si="142"/>
        <v>42.676801702180704</v>
      </c>
      <c r="AL201" s="192">
        <f t="shared" si="143"/>
        <v>0.61631878632700965</v>
      </c>
      <c r="AM201" s="192">
        <f t="shared" si="112"/>
        <v>0</v>
      </c>
      <c r="AN201" s="192">
        <f t="shared" si="144"/>
        <v>0</v>
      </c>
      <c r="AO201" s="192">
        <f t="shared" si="113"/>
        <v>0</v>
      </c>
      <c r="AS201" s="132"/>
      <c r="AT201" s="132"/>
      <c r="AU201" s="200"/>
      <c r="AV201" s="132"/>
      <c r="AW201" s="132"/>
      <c r="AX201" s="132"/>
      <c r="AY201" s="132"/>
      <c r="AZ201" s="132"/>
      <c r="BA201" s="167"/>
      <c r="BB201" s="167"/>
      <c r="BD201" s="211">
        <f t="shared" si="145"/>
        <v>42606</v>
      </c>
      <c r="BE201" s="210">
        <v>1</v>
      </c>
      <c r="BF201" s="209">
        <v>0.5</v>
      </c>
      <c r="BG201" s="209">
        <v>2</v>
      </c>
      <c r="BH201" s="210"/>
      <c r="BI201" s="209"/>
      <c r="BJ201" s="209"/>
      <c r="BK201" s="168">
        <f t="shared" si="146"/>
        <v>0</v>
      </c>
      <c r="BL201" s="168">
        <f t="shared" si="147"/>
        <v>0</v>
      </c>
    </row>
    <row r="202" spans="1:64" ht="13.5" thickBot="1" x14ac:dyDescent="0.25">
      <c r="A202" s="215">
        <f t="shared" si="114"/>
        <v>42607</v>
      </c>
      <c r="B202" s="190"/>
      <c r="C202" s="168"/>
      <c r="D202" s="198"/>
      <c r="E202" s="132">
        <f t="shared" si="115"/>
        <v>391.85240740604041</v>
      </c>
      <c r="F202" s="168">
        <f t="shared" si="116"/>
        <v>391.85239802626711</v>
      </c>
      <c r="G202" s="300"/>
      <c r="H202" s="127">
        <f>VLOOKUP(MONTH(A202),ETP_Parametros!$A$6:$D$17,4,FALSE)</f>
        <v>2.903225806451613</v>
      </c>
      <c r="I202" s="230">
        <f>VLOOKUP(A202,P_Q_obs!$A$4:$F$308,6,FALSE)*1</f>
        <v>0</v>
      </c>
      <c r="J202" s="230">
        <f t="shared" si="117"/>
        <v>0</v>
      </c>
      <c r="K202" s="230">
        <f t="shared" si="118"/>
        <v>0</v>
      </c>
      <c r="L202" s="230">
        <f t="shared" si="119"/>
        <v>0</v>
      </c>
      <c r="M202" s="230">
        <f t="shared" si="120"/>
        <v>0</v>
      </c>
      <c r="N202" s="230">
        <f t="shared" si="121"/>
        <v>0</v>
      </c>
      <c r="O202" s="230">
        <f t="shared" si="122"/>
        <v>0</v>
      </c>
      <c r="P202" s="230">
        <f t="shared" si="123"/>
        <v>0</v>
      </c>
      <c r="Q202" s="230">
        <f t="shared" si="124"/>
        <v>0</v>
      </c>
      <c r="R202" s="230">
        <f t="shared" si="125"/>
        <v>0</v>
      </c>
      <c r="S202" s="230">
        <f t="shared" si="126"/>
        <v>0</v>
      </c>
      <c r="T202" s="230">
        <f t="shared" si="127"/>
        <v>0</v>
      </c>
      <c r="U202" s="230">
        <f t="shared" si="128"/>
        <v>0</v>
      </c>
      <c r="V202" s="230">
        <f t="shared" si="129"/>
        <v>0</v>
      </c>
      <c r="W202" s="230">
        <f t="shared" si="130"/>
        <v>0</v>
      </c>
      <c r="X202" s="230">
        <f t="shared" si="131"/>
        <v>0</v>
      </c>
      <c r="Y202" s="230">
        <f t="shared" si="132"/>
        <v>0</v>
      </c>
      <c r="Z202" s="292">
        <f t="shared" si="133"/>
        <v>0</v>
      </c>
      <c r="AA202" s="300"/>
      <c r="AB202" s="191">
        <f t="shared" si="134"/>
        <v>0</v>
      </c>
      <c r="AC202" s="139">
        <f t="shared" si="135"/>
        <v>0</v>
      </c>
      <c r="AD202" s="132">
        <f t="shared" si="136"/>
        <v>10.460166308780959</v>
      </c>
      <c r="AE202" s="168">
        <f t="shared" si="137"/>
        <v>0.1385936528767226</v>
      </c>
      <c r="AF202" s="192">
        <f t="shared" si="138"/>
        <v>0</v>
      </c>
      <c r="AG202" s="192">
        <f t="shared" si="111"/>
        <v>0.35309022164153581</v>
      </c>
      <c r="AH202" s="192">
        <f t="shared" si="139"/>
        <v>0</v>
      </c>
      <c r="AI202" s="168">
        <f t="shared" si="140"/>
        <v>4.4111748812094821E-8</v>
      </c>
      <c r="AJ202" s="192">
        <f t="shared" si="141"/>
        <v>1.4542806082167746E-8</v>
      </c>
      <c r="AK202" s="132">
        <f t="shared" si="142"/>
        <v>42.069256800528521</v>
      </c>
      <c r="AL202" s="192">
        <f t="shared" si="143"/>
        <v>0.60754490165218178</v>
      </c>
      <c r="AM202" s="192">
        <f t="shared" si="112"/>
        <v>0</v>
      </c>
      <c r="AN202" s="192">
        <f t="shared" si="144"/>
        <v>0</v>
      </c>
      <c r="AO202" s="192">
        <f t="shared" si="113"/>
        <v>0</v>
      </c>
      <c r="AS202" s="132"/>
      <c r="AT202" s="132"/>
      <c r="AU202" s="200"/>
      <c r="AV202" s="132"/>
      <c r="AW202" s="132"/>
      <c r="AX202" s="132"/>
      <c r="AY202" s="132"/>
      <c r="AZ202" s="132"/>
      <c r="BA202" s="167"/>
      <c r="BB202" s="167"/>
      <c r="BD202" s="211">
        <f t="shared" si="145"/>
        <v>42607</v>
      </c>
      <c r="BE202" s="210">
        <v>1</v>
      </c>
      <c r="BF202" s="209">
        <v>0.5</v>
      </c>
      <c r="BG202" s="209">
        <v>2</v>
      </c>
      <c r="BH202" s="210"/>
      <c r="BI202" s="209"/>
      <c r="BJ202" s="209"/>
      <c r="BK202" s="168">
        <f t="shared" si="146"/>
        <v>0</v>
      </c>
      <c r="BL202" s="168">
        <f t="shared" si="147"/>
        <v>0</v>
      </c>
    </row>
    <row r="203" spans="1:64" ht="13.5" thickBot="1" x14ac:dyDescent="0.25">
      <c r="A203" s="215">
        <f t="shared" si="114"/>
        <v>42608</v>
      </c>
      <c r="B203" s="190"/>
      <c r="C203" s="168"/>
      <c r="D203" s="198"/>
      <c r="E203" s="132">
        <f t="shared" si="115"/>
        <v>386.27401314087427</v>
      </c>
      <c r="F203" s="168">
        <f t="shared" si="116"/>
        <v>386.27400608672133</v>
      </c>
      <c r="G203" s="300"/>
      <c r="H203" s="127">
        <f>VLOOKUP(MONTH(A203),ETP_Parametros!$A$6:$D$17,4,FALSE)</f>
        <v>2.903225806451613</v>
      </c>
      <c r="I203" s="230">
        <f>VLOOKUP(A203,P_Q_obs!$A$4:$F$308,6,FALSE)*1</f>
        <v>0</v>
      </c>
      <c r="J203" s="230">
        <f t="shared" si="117"/>
        <v>0</v>
      </c>
      <c r="K203" s="230">
        <f t="shared" si="118"/>
        <v>0</v>
      </c>
      <c r="L203" s="230">
        <f t="shared" si="119"/>
        <v>0</v>
      </c>
      <c r="M203" s="230">
        <f t="shared" si="120"/>
        <v>0</v>
      </c>
      <c r="N203" s="230">
        <f t="shared" si="121"/>
        <v>0</v>
      </c>
      <c r="O203" s="230">
        <f t="shared" si="122"/>
        <v>0</v>
      </c>
      <c r="P203" s="230">
        <f t="shared" si="123"/>
        <v>0</v>
      </c>
      <c r="Q203" s="230">
        <f t="shared" si="124"/>
        <v>0</v>
      </c>
      <c r="R203" s="230">
        <f t="shared" si="125"/>
        <v>0</v>
      </c>
      <c r="S203" s="230">
        <f t="shared" si="126"/>
        <v>0</v>
      </c>
      <c r="T203" s="230">
        <f t="shared" si="127"/>
        <v>0</v>
      </c>
      <c r="U203" s="230">
        <f t="shared" si="128"/>
        <v>0</v>
      </c>
      <c r="V203" s="230">
        <f t="shared" si="129"/>
        <v>0</v>
      </c>
      <c r="W203" s="230">
        <f t="shared" si="130"/>
        <v>0</v>
      </c>
      <c r="X203" s="230">
        <f t="shared" si="131"/>
        <v>0</v>
      </c>
      <c r="Y203" s="230">
        <f t="shared" si="132"/>
        <v>0</v>
      </c>
      <c r="Z203" s="292">
        <f t="shared" si="133"/>
        <v>0</v>
      </c>
      <c r="AA203" s="300"/>
      <c r="AB203" s="191">
        <f t="shared" si="134"/>
        <v>0</v>
      </c>
      <c r="AC203" s="139">
        <f t="shared" si="135"/>
        <v>0</v>
      </c>
      <c r="AD203" s="132">
        <f t="shared" si="136"/>
        <v>10.118605703982242</v>
      </c>
      <c r="AE203" s="168">
        <f t="shared" si="137"/>
        <v>0.13406809080625168</v>
      </c>
      <c r="AF203" s="192">
        <f t="shared" si="138"/>
        <v>0</v>
      </c>
      <c r="AG203" s="192">
        <f t="shared" si="111"/>
        <v>0.34156060479871797</v>
      </c>
      <c r="AH203" s="192">
        <f t="shared" si="139"/>
        <v>0</v>
      </c>
      <c r="AI203" s="168">
        <f t="shared" si="140"/>
        <v>3.3174685014133254E-8</v>
      </c>
      <c r="AJ203" s="192">
        <f t="shared" si="141"/>
        <v>1.0937063797961565E-8</v>
      </c>
      <c r="AK203" s="132">
        <f t="shared" si="142"/>
        <v>41.470360878949855</v>
      </c>
      <c r="AL203" s="192">
        <f t="shared" si="143"/>
        <v>0.59889592157866567</v>
      </c>
      <c r="AM203" s="192">
        <f t="shared" si="112"/>
        <v>0</v>
      </c>
      <c r="AN203" s="192">
        <f t="shared" si="144"/>
        <v>0</v>
      </c>
      <c r="AO203" s="192">
        <f t="shared" si="113"/>
        <v>0</v>
      </c>
      <c r="AS203" s="132"/>
      <c r="AT203" s="132"/>
      <c r="AU203" s="200"/>
      <c r="AV203" s="132"/>
      <c r="AW203" s="132"/>
      <c r="AX203" s="132"/>
      <c r="AY203" s="132"/>
      <c r="AZ203" s="132"/>
      <c r="BA203" s="167"/>
      <c r="BB203" s="167"/>
      <c r="BD203" s="211">
        <f t="shared" si="145"/>
        <v>42608</v>
      </c>
      <c r="BE203" s="210">
        <v>1</v>
      </c>
      <c r="BF203" s="209">
        <v>0.5</v>
      </c>
      <c r="BG203" s="209">
        <v>2</v>
      </c>
      <c r="BH203" s="210"/>
      <c r="BI203" s="209"/>
      <c r="BJ203" s="209"/>
      <c r="BK203" s="168">
        <f t="shared" si="146"/>
        <v>0</v>
      </c>
      <c r="BL203" s="168">
        <f t="shared" si="147"/>
        <v>0</v>
      </c>
    </row>
    <row r="204" spans="1:64" ht="13.5" thickBot="1" x14ac:dyDescent="0.25">
      <c r="A204" s="215">
        <f t="shared" si="114"/>
        <v>42609</v>
      </c>
      <c r="B204" s="190"/>
      <c r="C204" s="168"/>
      <c r="D204" s="198"/>
      <c r="E204" s="132">
        <f t="shared" si="115"/>
        <v>380.77503317235545</v>
      </c>
      <c r="F204" s="168">
        <f t="shared" si="116"/>
        <v>380.77502786720868</v>
      </c>
      <c r="G204" s="300"/>
      <c r="H204" s="127">
        <f>VLOOKUP(MONTH(A204),ETP_Parametros!$A$6:$D$17,4,FALSE)</f>
        <v>2.903225806451613</v>
      </c>
      <c r="I204" s="230">
        <f>VLOOKUP(A204,P_Q_obs!$A$4:$F$308,6,FALSE)*1</f>
        <v>0</v>
      </c>
      <c r="J204" s="230">
        <f t="shared" si="117"/>
        <v>0</v>
      </c>
      <c r="K204" s="230">
        <f t="shared" si="118"/>
        <v>0</v>
      </c>
      <c r="L204" s="230">
        <f t="shared" si="119"/>
        <v>0</v>
      </c>
      <c r="M204" s="230">
        <f t="shared" si="120"/>
        <v>0</v>
      </c>
      <c r="N204" s="230">
        <f t="shared" si="121"/>
        <v>0</v>
      </c>
      <c r="O204" s="230">
        <f t="shared" si="122"/>
        <v>0</v>
      </c>
      <c r="P204" s="230">
        <f t="shared" si="123"/>
        <v>0</v>
      </c>
      <c r="Q204" s="230">
        <f t="shared" si="124"/>
        <v>0</v>
      </c>
      <c r="R204" s="230">
        <f t="shared" si="125"/>
        <v>0</v>
      </c>
      <c r="S204" s="230">
        <f t="shared" si="126"/>
        <v>0</v>
      </c>
      <c r="T204" s="230">
        <f t="shared" si="127"/>
        <v>0</v>
      </c>
      <c r="U204" s="230">
        <f t="shared" si="128"/>
        <v>0</v>
      </c>
      <c r="V204" s="230">
        <f t="shared" si="129"/>
        <v>0</v>
      </c>
      <c r="W204" s="230">
        <f t="shared" si="130"/>
        <v>0</v>
      </c>
      <c r="X204" s="230">
        <f t="shared" si="131"/>
        <v>0</v>
      </c>
      <c r="Y204" s="230">
        <f t="shared" si="132"/>
        <v>0</v>
      </c>
      <c r="Z204" s="292">
        <f t="shared" si="133"/>
        <v>0</v>
      </c>
      <c r="AA204" s="300"/>
      <c r="AB204" s="191">
        <f t="shared" si="134"/>
        <v>0</v>
      </c>
      <c r="AC204" s="139">
        <f t="shared" si="135"/>
        <v>0</v>
      </c>
      <c r="AD204" s="132">
        <f t="shared" si="136"/>
        <v>9.7881982341630831</v>
      </c>
      <c r="AE204" s="168">
        <f t="shared" si="137"/>
        <v>0.12969030398831635</v>
      </c>
      <c r="AF204" s="192">
        <f t="shared" si="138"/>
        <v>0</v>
      </c>
      <c r="AG204" s="192">
        <f t="shared" si="111"/>
        <v>0.33040746981915942</v>
      </c>
      <c r="AH204" s="192">
        <f t="shared" si="139"/>
        <v>0</v>
      </c>
      <c r="AI204" s="168">
        <f t="shared" si="140"/>
        <v>2.4949356020208375E-8</v>
      </c>
      <c r="AJ204" s="192">
        <f t="shared" si="141"/>
        <v>8.2253289939248777E-9</v>
      </c>
      <c r="AK204" s="132">
        <f t="shared" si="142"/>
        <v>40.879990810979308</v>
      </c>
      <c r="AL204" s="192">
        <f t="shared" si="143"/>
        <v>0.59037006797054925</v>
      </c>
      <c r="AM204" s="192">
        <f t="shared" si="112"/>
        <v>0</v>
      </c>
      <c r="AN204" s="192">
        <f t="shared" si="144"/>
        <v>0</v>
      </c>
      <c r="AO204" s="192">
        <f t="shared" si="113"/>
        <v>0</v>
      </c>
      <c r="AS204" s="132"/>
      <c r="AT204" s="132"/>
      <c r="AU204" s="200"/>
      <c r="AV204" s="132"/>
      <c r="AW204" s="132"/>
      <c r="AX204" s="132"/>
      <c r="AY204" s="132"/>
      <c r="AZ204" s="132"/>
      <c r="BA204" s="167"/>
      <c r="BB204" s="167"/>
      <c r="BD204" s="211">
        <f t="shared" si="145"/>
        <v>42609</v>
      </c>
      <c r="BE204" s="210">
        <v>1</v>
      </c>
      <c r="BF204" s="209">
        <v>0.5</v>
      </c>
      <c r="BG204" s="209">
        <v>2</v>
      </c>
      <c r="BH204" s="210"/>
      <c r="BI204" s="209"/>
      <c r="BJ204" s="209"/>
      <c r="BK204" s="168">
        <f t="shared" si="146"/>
        <v>0</v>
      </c>
      <c r="BL204" s="168">
        <f t="shared" si="147"/>
        <v>0</v>
      </c>
    </row>
    <row r="205" spans="1:64" ht="13.5" thickBot="1" x14ac:dyDescent="0.25">
      <c r="A205" s="215">
        <f t="shared" si="114"/>
        <v>42610</v>
      </c>
      <c r="B205" s="190"/>
      <c r="C205" s="168"/>
      <c r="D205" s="198"/>
      <c r="E205" s="132">
        <f t="shared" si="115"/>
        <v>375.3543368276097</v>
      </c>
      <c r="F205" s="168">
        <f t="shared" si="116"/>
        <v>375.35433283782055</v>
      </c>
      <c r="G205" s="300"/>
      <c r="H205" s="127">
        <f>VLOOKUP(MONTH(A205),ETP_Parametros!$A$6:$D$17,4,FALSE)</f>
        <v>2.903225806451613</v>
      </c>
      <c r="I205" s="230">
        <f>VLOOKUP(A205,P_Q_obs!$A$4:$F$308,6,FALSE)*1</f>
        <v>0</v>
      </c>
      <c r="J205" s="230">
        <f t="shared" si="117"/>
        <v>0</v>
      </c>
      <c r="K205" s="230">
        <f t="shared" si="118"/>
        <v>0</v>
      </c>
      <c r="L205" s="230">
        <f t="shared" si="119"/>
        <v>0</v>
      </c>
      <c r="M205" s="230">
        <f t="shared" si="120"/>
        <v>0</v>
      </c>
      <c r="N205" s="230">
        <f t="shared" si="121"/>
        <v>0</v>
      </c>
      <c r="O205" s="230">
        <f t="shared" si="122"/>
        <v>0</v>
      </c>
      <c r="P205" s="230">
        <f t="shared" si="123"/>
        <v>0</v>
      </c>
      <c r="Q205" s="230">
        <f t="shared" si="124"/>
        <v>0</v>
      </c>
      <c r="R205" s="230">
        <f t="shared" si="125"/>
        <v>0</v>
      </c>
      <c r="S205" s="230">
        <f t="shared" si="126"/>
        <v>0</v>
      </c>
      <c r="T205" s="230">
        <f t="shared" si="127"/>
        <v>0</v>
      </c>
      <c r="U205" s="230">
        <f t="shared" si="128"/>
        <v>0</v>
      </c>
      <c r="V205" s="230">
        <f t="shared" si="129"/>
        <v>0</v>
      </c>
      <c r="W205" s="230">
        <f t="shared" si="130"/>
        <v>0</v>
      </c>
      <c r="X205" s="230">
        <f t="shared" si="131"/>
        <v>0</v>
      </c>
      <c r="Y205" s="230">
        <f t="shared" si="132"/>
        <v>0</v>
      </c>
      <c r="Z205" s="292">
        <f t="shared" si="133"/>
        <v>0</v>
      </c>
      <c r="AA205" s="300"/>
      <c r="AB205" s="191">
        <f t="shared" si="134"/>
        <v>0</v>
      </c>
      <c r="AC205" s="139">
        <f t="shared" si="135"/>
        <v>0</v>
      </c>
      <c r="AD205" s="132">
        <f t="shared" si="136"/>
        <v>9.468579710895062</v>
      </c>
      <c r="AE205" s="168">
        <f t="shared" si="137"/>
        <v>0.12545546704986413</v>
      </c>
      <c r="AF205" s="192">
        <f t="shared" si="138"/>
        <v>0</v>
      </c>
      <c r="AG205" s="192">
        <f t="shared" si="111"/>
        <v>0.31961852326802193</v>
      </c>
      <c r="AH205" s="192">
        <f t="shared" si="139"/>
        <v>0</v>
      </c>
      <c r="AI205" s="168">
        <f t="shared" si="140"/>
        <v>1.8763414499879042E-8</v>
      </c>
      <c r="AJ205" s="192">
        <f t="shared" si="141"/>
        <v>6.185941520329332E-9</v>
      </c>
      <c r="AK205" s="132">
        <f t="shared" si="142"/>
        <v>40.298025222973926</v>
      </c>
      <c r="AL205" s="192">
        <f t="shared" si="143"/>
        <v>0.58196558800537812</v>
      </c>
      <c r="AM205" s="192">
        <f t="shared" si="112"/>
        <v>0</v>
      </c>
      <c r="AN205" s="192">
        <f t="shared" si="144"/>
        <v>0</v>
      </c>
      <c r="AO205" s="192">
        <f t="shared" si="113"/>
        <v>0</v>
      </c>
      <c r="AS205" s="132"/>
      <c r="AT205" s="132"/>
      <c r="AU205" s="200"/>
      <c r="AV205" s="132"/>
      <c r="AW205" s="132"/>
      <c r="AX205" s="132"/>
      <c r="AY205" s="132"/>
      <c r="AZ205" s="132"/>
      <c r="BA205" s="167"/>
      <c r="BB205" s="167"/>
      <c r="BD205" s="211">
        <f t="shared" si="145"/>
        <v>42610</v>
      </c>
      <c r="BE205" s="210">
        <v>1</v>
      </c>
      <c r="BF205" s="209">
        <v>0.5</v>
      </c>
      <c r="BG205" s="209">
        <v>2</v>
      </c>
      <c r="BH205" s="210"/>
      <c r="BI205" s="209"/>
      <c r="BJ205" s="209"/>
      <c r="BK205" s="168">
        <f t="shared" si="146"/>
        <v>0</v>
      </c>
      <c r="BL205" s="168">
        <f t="shared" si="147"/>
        <v>0</v>
      </c>
    </row>
    <row r="206" spans="1:64" ht="13.5" thickBot="1" x14ac:dyDescent="0.25">
      <c r="A206" s="215">
        <f t="shared" si="114"/>
        <v>42611</v>
      </c>
      <c r="B206" s="190"/>
      <c r="C206" s="168"/>
      <c r="D206" s="198"/>
      <c r="E206" s="132">
        <f t="shared" si="115"/>
        <v>370.01080956337915</v>
      </c>
      <c r="F206" s="168">
        <f t="shared" si="116"/>
        <v>370.01080656281812</v>
      </c>
      <c r="G206" s="300"/>
      <c r="H206" s="127">
        <f>VLOOKUP(MONTH(A206),ETP_Parametros!$A$6:$D$17,4,FALSE)</f>
        <v>2.903225806451613</v>
      </c>
      <c r="I206" s="230">
        <f>VLOOKUP(A206,P_Q_obs!$A$4:$F$308,6,FALSE)*1</f>
        <v>0</v>
      </c>
      <c r="J206" s="230">
        <f t="shared" si="117"/>
        <v>0</v>
      </c>
      <c r="K206" s="230">
        <f t="shared" si="118"/>
        <v>0</v>
      </c>
      <c r="L206" s="230">
        <f t="shared" si="119"/>
        <v>0</v>
      </c>
      <c r="M206" s="230">
        <f t="shared" si="120"/>
        <v>0</v>
      </c>
      <c r="N206" s="230">
        <f t="shared" si="121"/>
        <v>0</v>
      </c>
      <c r="O206" s="230">
        <f t="shared" si="122"/>
        <v>0</v>
      </c>
      <c r="P206" s="230">
        <f t="shared" si="123"/>
        <v>0</v>
      </c>
      <c r="Q206" s="230">
        <f t="shared" si="124"/>
        <v>0</v>
      </c>
      <c r="R206" s="230">
        <f t="shared" si="125"/>
        <v>0</v>
      </c>
      <c r="S206" s="230">
        <f t="shared" si="126"/>
        <v>0</v>
      </c>
      <c r="T206" s="230">
        <f t="shared" si="127"/>
        <v>0</v>
      </c>
      <c r="U206" s="230">
        <f t="shared" si="128"/>
        <v>0</v>
      </c>
      <c r="V206" s="230">
        <f t="shared" si="129"/>
        <v>0</v>
      </c>
      <c r="W206" s="230">
        <f t="shared" si="130"/>
        <v>0</v>
      </c>
      <c r="X206" s="230">
        <f t="shared" si="131"/>
        <v>0</v>
      </c>
      <c r="Y206" s="230">
        <f t="shared" si="132"/>
        <v>0</v>
      </c>
      <c r="Z206" s="292">
        <f t="shared" si="133"/>
        <v>0</v>
      </c>
      <c r="AA206" s="300"/>
      <c r="AB206" s="191">
        <f t="shared" si="134"/>
        <v>0</v>
      </c>
      <c r="AC206" s="139">
        <f t="shared" si="135"/>
        <v>0</v>
      </c>
      <c r="AD206" s="132">
        <f t="shared" si="136"/>
        <v>9.159397837761432</v>
      </c>
      <c r="AE206" s="168">
        <f t="shared" si="137"/>
        <v>0.12135891218296059</v>
      </c>
      <c r="AF206" s="192">
        <f t="shared" si="138"/>
        <v>0</v>
      </c>
      <c r="AG206" s="192">
        <f t="shared" si="111"/>
        <v>0.30918187313363021</v>
      </c>
      <c r="AH206" s="192">
        <f t="shared" si="139"/>
        <v>0</v>
      </c>
      <c r="AI206" s="168">
        <f t="shared" si="140"/>
        <v>1.4111214871001334E-8</v>
      </c>
      <c r="AJ206" s="192">
        <f t="shared" si="141"/>
        <v>4.6521996288777073E-9</v>
      </c>
      <c r="AK206" s="132">
        <f t="shared" si="142"/>
        <v>39.72434446916013</v>
      </c>
      <c r="AL206" s="192">
        <f t="shared" si="143"/>
        <v>0.57368075381379402</v>
      </c>
      <c r="AM206" s="192">
        <f t="shared" si="112"/>
        <v>0</v>
      </c>
      <c r="AN206" s="192">
        <f t="shared" si="144"/>
        <v>0</v>
      </c>
      <c r="AO206" s="192">
        <f t="shared" si="113"/>
        <v>0</v>
      </c>
      <c r="AS206" s="132"/>
      <c r="AT206" s="132"/>
      <c r="AU206" s="200"/>
      <c r="AV206" s="132"/>
      <c r="AW206" s="132"/>
      <c r="AX206" s="132"/>
      <c r="AY206" s="132"/>
      <c r="AZ206" s="132"/>
      <c r="BA206" s="167"/>
      <c r="BB206" s="167"/>
      <c r="BD206" s="211">
        <f t="shared" si="145"/>
        <v>42611</v>
      </c>
      <c r="BE206" s="210">
        <v>1</v>
      </c>
      <c r="BF206" s="209">
        <v>0.5</v>
      </c>
      <c r="BG206" s="209">
        <v>2</v>
      </c>
      <c r="BH206" s="210"/>
      <c r="BI206" s="209"/>
      <c r="BJ206" s="209"/>
      <c r="BK206" s="168">
        <f t="shared" si="146"/>
        <v>0</v>
      </c>
      <c r="BL206" s="168">
        <f t="shared" si="147"/>
        <v>0</v>
      </c>
    </row>
    <row r="207" spans="1:64" ht="13.5" thickBot="1" x14ac:dyDescent="0.25">
      <c r="A207" s="215">
        <f t="shared" si="114"/>
        <v>42612</v>
      </c>
      <c r="B207" s="190"/>
      <c r="C207" s="168"/>
      <c r="D207" s="198"/>
      <c r="E207" s="132">
        <f t="shared" si="115"/>
        <v>364.743352728118</v>
      </c>
      <c r="F207" s="168">
        <f t="shared" si="116"/>
        <v>364.74335047151578</v>
      </c>
      <c r="G207" s="300"/>
      <c r="H207" s="127">
        <f>VLOOKUP(MONTH(A207),ETP_Parametros!$A$6:$D$17,4,FALSE)</f>
        <v>2.903225806451613</v>
      </c>
      <c r="I207" s="230">
        <f>VLOOKUP(A207,P_Q_obs!$A$4:$F$308,6,FALSE)*1</f>
        <v>0</v>
      </c>
      <c r="J207" s="230">
        <f t="shared" si="117"/>
        <v>0</v>
      </c>
      <c r="K207" s="230">
        <f t="shared" si="118"/>
        <v>0</v>
      </c>
      <c r="L207" s="230">
        <f t="shared" si="119"/>
        <v>0</v>
      </c>
      <c r="M207" s="230">
        <f t="shared" si="120"/>
        <v>0</v>
      </c>
      <c r="N207" s="230">
        <f t="shared" si="121"/>
        <v>0</v>
      </c>
      <c r="O207" s="230">
        <f t="shared" si="122"/>
        <v>0</v>
      </c>
      <c r="P207" s="230">
        <f t="shared" si="123"/>
        <v>0</v>
      </c>
      <c r="Q207" s="230">
        <f t="shared" si="124"/>
        <v>0</v>
      </c>
      <c r="R207" s="230">
        <f t="shared" si="125"/>
        <v>0</v>
      </c>
      <c r="S207" s="230">
        <f t="shared" si="126"/>
        <v>0</v>
      </c>
      <c r="T207" s="230">
        <f t="shared" si="127"/>
        <v>0</v>
      </c>
      <c r="U207" s="230">
        <f t="shared" si="128"/>
        <v>0</v>
      </c>
      <c r="V207" s="230">
        <f t="shared" si="129"/>
        <v>0</v>
      </c>
      <c r="W207" s="230">
        <f t="shared" si="130"/>
        <v>0</v>
      </c>
      <c r="X207" s="230">
        <f t="shared" si="131"/>
        <v>0</v>
      </c>
      <c r="Y207" s="230">
        <f t="shared" si="132"/>
        <v>0</v>
      </c>
      <c r="Z207" s="292">
        <f t="shared" si="133"/>
        <v>0</v>
      </c>
      <c r="AA207" s="300"/>
      <c r="AB207" s="191">
        <f t="shared" si="134"/>
        <v>0</v>
      </c>
      <c r="AC207" s="139">
        <f t="shared" si="135"/>
        <v>0</v>
      </c>
      <c r="AD207" s="132">
        <f t="shared" si="136"/>
        <v>8.8603118220418153</v>
      </c>
      <c r="AE207" s="168">
        <f t="shared" si="137"/>
        <v>0.11739612399974314</v>
      </c>
      <c r="AF207" s="192">
        <f t="shared" si="138"/>
        <v>0</v>
      </c>
      <c r="AG207" s="192">
        <f t="shared" si="111"/>
        <v>0.29908601571961646</v>
      </c>
      <c r="AH207" s="192">
        <f t="shared" si="139"/>
        <v>0</v>
      </c>
      <c r="AI207" s="168">
        <f t="shared" si="140"/>
        <v>1.0612481280358268E-8</v>
      </c>
      <c r="AJ207" s="192">
        <f t="shared" si="141"/>
        <v>3.4987335906430672E-9</v>
      </c>
      <c r="AK207" s="132">
        <f t="shared" si="142"/>
        <v>39.158830607035824</v>
      </c>
      <c r="AL207" s="192">
        <f t="shared" si="143"/>
        <v>0.56551386212430399</v>
      </c>
      <c r="AM207" s="192">
        <f t="shared" si="112"/>
        <v>0</v>
      </c>
      <c r="AN207" s="192">
        <f t="shared" si="144"/>
        <v>0</v>
      </c>
      <c r="AO207" s="192">
        <f t="shared" si="113"/>
        <v>0</v>
      </c>
      <c r="AS207" s="132"/>
      <c r="AT207" s="132"/>
      <c r="AU207" s="200"/>
      <c r="AV207" s="132"/>
      <c r="AW207" s="132"/>
      <c r="AX207" s="132"/>
      <c r="AY207" s="132"/>
      <c r="AZ207" s="132"/>
      <c r="BA207" s="167"/>
      <c r="BB207" s="167"/>
      <c r="BD207" s="211">
        <f t="shared" si="145"/>
        <v>42612</v>
      </c>
      <c r="BE207" s="210">
        <v>1</v>
      </c>
      <c r="BF207" s="209">
        <v>0.5</v>
      </c>
      <c r="BG207" s="209">
        <v>2</v>
      </c>
      <c r="BH207" s="210"/>
      <c r="BI207" s="209"/>
      <c r="BJ207" s="209"/>
      <c r="BK207" s="168">
        <f t="shared" si="146"/>
        <v>0</v>
      </c>
      <c r="BL207" s="168">
        <f t="shared" si="147"/>
        <v>0</v>
      </c>
    </row>
    <row r="208" spans="1:64" ht="13.5" thickBot="1" x14ac:dyDescent="0.25">
      <c r="A208" s="215">
        <f t="shared" si="114"/>
        <v>42613</v>
      </c>
      <c r="B208" s="190"/>
      <c r="C208" s="168"/>
      <c r="D208" s="198"/>
      <c r="E208" s="132">
        <f t="shared" si="115"/>
        <v>359.55088332952835</v>
      </c>
      <c r="F208" s="168">
        <f t="shared" si="116"/>
        <v>359.55088163242789</v>
      </c>
      <c r="G208" s="300"/>
      <c r="H208" s="127">
        <f>VLOOKUP(MONTH(A208),ETP_Parametros!$A$6:$D$17,4,FALSE)</f>
        <v>2.903225806451613</v>
      </c>
      <c r="I208" s="230">
        <f>VLOOKUP(A208,P_Q_obs!$A$4:$F$308,6,FALSE)*1</f>
        <v>0</v>
      </c>
      <c r="J208" s="230">
        <f t="shared" si="117"/>
        <v>0</v>
      </c>
      <c r="K208" s="230">
        <f t="shared" si="118"/>
        <v>0</v>
      </c>
      <c r="L208" s="230">
        <f t="shared" si="119"/>
        <v>0</v>
      </c>
      <c r="M208" s="230">
        <f t="shared" si="120"/>
        <v>0</v>
      </c>
      <c r="N208" s="230">
        <f t="shared" si="121"/>
        <v>0</v>
      </c>
      <c r="O208" s="230">
        <f t="shared" si="122"/>
        <v>0</v>
      </c>
      <c r="P208" s="230">
        <f t="shared" si="123"/>
        <v>0</v>
      </c>
      <c r="Q208" s="230">
        <f t="shared" si="124"/>
        <v>0</v>
      </c>
      <c r="R208" s="230">
        <f t="shared" si="125"/>
        <v>0</v>
      </c>
      <c r="S208" s="230">
        <f t="shared" si="126"/>
        <v>0</v>
      </c>
      <c r="T208" s="230">
        <f t="shared" si="127"/>
        <v>0</v>
      </c>
      <c r="U208" s="230">
        <f t="shared" si="128"/>
        <v>0</v>
      </c>
      <c r="V208" s="230">
        <f t="shared" si="129"/>
        <v>0</v>
      </c>
      <c r="W208" s="230">
        <f t="shared" si="130"/>
        <v>0</v>
      </c>
      <c r="X208" s="230">
        <f t="shared" si="131"/>
        <v>0</v>
      </c>
      <c r="Y208" s="230">
        <f t="shared" si="132"/>
        <v>0</v>
      </c>
      <c r="Z208" s="292">
        <f t="shared" si="133"/>
        <v>0</v>
      </c>
      <c r="AA208" s="300"/>
      <c r="AB208" s="191">
        <f t="shared" si="134"/>
        <v>0</v>
      </c>
      <c r="AC208" s="139">
        <f t="shared" si="135"/>
        <v>0</v>
      </c>
      <c r="AD208" s="132">
        <f t="shared" si="136"/>
        <v>8.5709919990767318</v>
      </c>
      <c r="AE208" s="168">
        <f t="shared" si="137"/>
        <v>0.1135627345553787</v>
      </c>
      <c r="AF208" s="192">
        <f t="shared" si="138"/>
        <v>0</v>
      </c>
      <c r="AG208" s="192">
        <f t="shared" si="111"/>
        <v>0.28931982296508307</v>
      </c>
      <c r="AH208" s="192">
        <f t="shared" si="139"/>
        <v>0</v>
      </c>
      <c r="AI208" s="168">
        <f t="shared" si="140"/>
        <v>7.9812234421714797E-9</v>
      </c>
      <c r="AJ208" s="192">
        <f t="shared" si="141"/>
        <v>2.6312578381867872E-9</v>
      </c>
      <c r="AK208" s="132">
        <f t="shared" si="142"/>
        <v>38.60136737312272</v>
      </c>
      <c r="AL208" s="192">
        <f t="shared" si="143"/>
        <v>0.55746323391310648</v>
      </c>
      <c r="AM208" s="192">
        <f t="shared" si="112"/>
        <v>0</v>
      </c>
      <c r="AN208" s="192">
        <f t="shared" si="144"/>
        <v>0</v>
      </c>
      <c r="AO208" s="192">
        <f t="shared" si="113"/>
        <v>0</v>
      </c>
      <c r="AS208" s="132"/>
      <c r="AT208" s="132"/>
      <c r="AU208" s="200"/>
      <c r="AV208" s="132"/>
      <c r="AW208" s="132"/>
      <c r="AX208" s="132"/>
      <c r="AY208" s="132"/>
      <c r="AZ208" s="132"/>
      <c r="BA208" s="167"/>
      <c r="BB208" s="167"/>
      <c r="BD208" s="211">
        <f t="shared" si="145"/>
        <v>42613</v>
      </c>
      <c r="BE208" s="210">
        <v>1</v>
      </c>
      <c r="BF208" s="209">
        <v>0.5</v>
      </c>
      <c r="BG208" s="209">
        <v>2</v>
      </c>
      <c r="BH208" s="210"/>
      <c r="BI208" s="209"/>
      <c r="BJ208" s="209"/>
      <c r="BK208" s="168">
        <f t="shared" si="146"/>
        <v>0</v>
      </c>
      <c r="BL208" s="168">
        <f t="shared" si="147"/>
        <v>0</v>
      </c>
    </row>
    <row r="209" spans="1:64" ht="13.5" thickBot="1" x14ac:dyDescent="0.25">
      <c r="A209" s="215">
        <f t="shared" si="114"/>
        <v>42614</v>
      </c>
      <c r="B209" s="190"/>
      <c r="C209" s="168"/>
      <c r="D209" s="198"/>
      <c r="E209" s="132">
        <f t="shared" si="115"/>
        <v>354.43233380695091</v>
      </c>
      <c r="F209" s="168">
        <f t="shared" si="116"/>
        <v>354.43233253062948</v>
      </c>
      <c r="G209" s="300"/>
      <c r="H209" s="127">
        <f>VLOOKUP(MONTH(A209),ETP_Parametros!$A$6:$D$17,4,FALSE)</f>
        <v>3.5666666666666669</v>
      </c>
      <c r="I209" s="230">
        <f>VLOOKUP(A209,P_Q_obs!$A$4:$F$308,6,FALSE)*1</f>
        <v>0</v>
      </c>
      <c r="J209" s="230">
        <f t="shared" si="117"/>
        <v>0</v>
      </c>
      <c r="K209" s="230">
        <f t="shared" si="118"/>
        <v>0</v>
      </c>
      <c r="L209" s="230">
        <f t="shared" si="119"/>
        <v>0</v>
      </c>
      <c r="M209" s="230">
        <f t="shared" si="120"/>
        <v>0</v>
      </c>
      <c r="N209" s="230">
        <f t="shared" si="121"/>
        <v>0</v>
      </c>
      <c r="O209" s="230">
        <f t="shared" si="122"/>
        <v>0</v>
      </c>
      <c r="P209" s="230">
        <f t="shared" si="123"/>
        <v>0</v>
      </c>
      <c r="Q209" s="230">
        <f t="shared" si="124"/>
        <v>0</v>
      </c>
      <c r="R209" s="230">
        <f t="shared" si="125"/>
        <v>0</v>
      </c>
      <c r="S209" s="230">
        <f t="shared" si="126"/>
        <v>0</v>
      </c>
      <c r="T209" s="230">
        <f t="shared" si="127"/>
        <v>0</v>
      </c>
      <c r="U209" s="230">
        <f t="shared" si="128"/>
        <v>0</v>
      </c>
      <c r="V209" s="230">
        <f t="shared" si="129"/>
        <v>0</v>
      </c>
      <c r="W209" s="230">
        <f t="shared" si="130"/>
        <v>0</v>
      </c>
      <c r="X209" s="230">
        <f t="shared" si="131"/>
        <v>0</v>
      </c>
      <c r="Y209" s="230">
        <f t="shared" si="132"/>
        <v>0</v>
      </c>
      <c r="Z209" s="292">
        <f t="shared" si="133"/>
        <v>0</v>
      </c>
      <c r="AA209" s="300"/>
      <c r="AB209" s="191">
        <f t="shared" si="134"/>
        <v>0</v>
      </c>
      <c r="AC209" s="139">
        <f t="shared" si="135"/>
        <v>0</v>
      </c>
      <c r="AD209" s="132">
        <f t="shared" si="136"/>
        <v>8.2271634129274371</v>
      </c>
      <c r="AE209" s="168">
        <f t="shared" si="137"/>
        <v>0.10985451853353879</v>
      </c>
      <c r="AF209" s="192">
        <f t="shared" si="138"/>
        <v>0</v>
      </c>
      <c r="AG209" s="192">
        <f t="shared" si="111"/>
        <v>0.34382858614929529</v>
      </c>
      <c r="AH209" s="192">
        <f t="shared" si="139"/>
        <v>0</v>
      </c>
      <c r="AI209" s="168">
        <f t="shared" si="140"/>
        <v>6.0023594813556288E-9</v>
      </c>
      <c r="AJ209" s="192">
        <f t="shared" si="141"/>
        <v>1.9788639608158513E-9</v>
      </c>
      <c r="AK209" s="132">
        <f t="shared" si="142"/>
        <v>38.051840159063815</v>
      </c>
      <c r="AL209" s="192">
        <f t="shared" si="143"/>
        <v>0.54952721405890226</v>
      </c>
      <c r="AM209" s="192">
        <f t="shared" si="112"/>
        <v>0</v>
      </c>
      <c r="AN209" s="192">
        <f t="shared" si="144"/>
        <v>0</v>
      </c>
      <c r="AO209" s="192">
        <f t="shared" si="113"/>
        <v>0</v>
      </c>
      <c r="AS209" s="132"/>
      <c r="AT209" s="132"/>
      <c r="AU209" s="200"/>
      <c r="AV209" s="132"/>
      <c r="AW209" s="132"/>
      <c r="AX209" s="132"/>
      <c r="AY209" s="132"/>
      <c r="AZ209" s="132"/>
      <c r="BA209" s="167"/>
      <c r="BB209" s="167"/>
      <c r="BD209" s="211">
        <f t="shared" si="145"/>
        <v>42614</v>
      </c>
      <c r="BE209" s="210">
        <v>1</v>
      </c>
      <c r="BF209" s="209">
        <v>0.5</v>
      </c>
      <c r="BG209" s="209">
        <v>2</v>
      </c>
      <c r="BH209" s="210"/>
      <c r="BI209" s="209"/>
      <c r="BJ209" s="209"/>
      <c r="BK209" s="168">
        <f t="shared" si="146"/>
        <v>0</v>
      </c>
      <c r="BL209" s="168">
        <f t="shared" si="147"/>
        <v>0</v>
      </c>
    </row>
    <row r="210" spans="1:64" ht="13.5" thickBot="1" x14ac:dyDescent="0.25">
      <c r="A210" s="215">
        <f t="shared" si="114"/>
        <v>42615</v>
      </c>
      <c r="B210" s="190"/>
      <c r="C210" s="168"/>
      <c r="D210" s="198"/>
      <c r="E210" s="132">
        <f t="shared" si="115"/>
        <v>349.38665180815684</v>
      </c>
      <c r="F210" s="168">
        <f t="shared" si="116"/>
        <v>349.38665084828648</v>
      </c>
      <c r="G210" s="300"/>
      <c r="H210" s="127">
        <f>VLOOKUP(MONTH(A210),ETP_Parametros!$A$6:$D$17,4,FALSE)</f>
        <v>3.5666666666666669</v>
      </c>
      <c r="I210" s="230">
        <f>VLOOKUP(A210,P_Q_obs!$A$4:$F$308,6,FALSE)*1</f>
        <v>0</v>
      </c>
      <c r="J210" s="230">
        <f t="shared" si="117"/>
        <v>0</v>
      </c>
      <c r="K210" s="230">
        <f t="shared" si="118"/>
        <v>0</v>
      </c>
      <c r="L210" s="230">
        <f t="shared" si="119"/>
        <v>0</v>
      </c>
      <c r="M210" s="230">
        <f t="shared" si="120"/>
        <v>0</v>
      </c>
      <c r="N210" s="230">
        <f t="shared" si="121"/>
        <v>0</v>
      </c>
      <c r="O210" s="230">
        <f t="shared" si="122"/>
        <v>0</v>
      </c>
      <c r="P210" s="230">
        <f t="shared" si="123"/>
        <v>0</v>
      </c>
      <c r="Q210" s="230">
        <f t="shared" si="124"/>
        <v>0</v>
      </c>
      <c r="R210" s="230">
        <f t="shared" si="125"/>
        <v>0</v>
      </c>
      <c r="S210" s="230">
        <f t="shared" si="126"/>
        <v>0</v>
      </c>
      <c r="T210" s="230">
        <f t="shared" si="127"/>
        <v>0</v>
      </c>
      <c r="U210" s="230">
        <f t="shared" si="128"/>
        <v>0</v>
      </c>
      <c r="V210" s="230">
        <f t="shared" si="129"/>
        <v>0</v>
      </c>
      <c r="W210" s="230">
        <f t="shared" si="130"/>
        <v>0</v>
      </c>
      <c r="X210" s="230">
        <f t="shared" si="131"/>
        <v>0</v>
      </c>
      <c r="Y210" s="230">
        <f t="shared" si="132"/>
        <v>0</v>
      </c>
      <c r="Z210" s="292">
        <f t="shared" si="133"/>
        <v>0</v>
      </c>
      <c r="AA210" s="300"/>
      <c r="AB210" s="191">
        <f t="shared" si="134"/>
        <v>0</v>
      </c>
      <c r="AC210" s="139">
        <f t="shared" si="135"/>
        <v>0</v>
      </c>
      <c r="AD210" s="132">
        <f t="shared" si="136"/>
        <v>7.8971276405698427</v>
      </c>
      <c r="AE210" s="168">
        <f t="shared" si="137"/>
        <v>0.10544766296844588</v>
      </c>
      <c r="AF210" s="192">
        <f t="shared" si="138"/>
        <v>0</v>
      </c>
      <c r="AG210" s="192">
        <f t="shared" si="111"/>
        <v>0.33003577235759446</v>
      </c>
      <c r="AH210" s="192">
        <f t="shared" si="139"/>
        <v>0</v>
      </c>
      <c r="AI210" s="168">
        <f t="shared" si="140"/>
        <v>4.5141349073191041E-9</v>
      </c>
      <c r="AJ210" s="192">
        <f t="shared" si="141"/>
        <v>1.4882245740365249E-9</v>
      </c>
      <c r="AK210" s="132">
        <f t="shared" si="142"/>
        <v>37.510135988061194</v>
      </c>
      <c r="AL210" s="192">
        <f t="shared" si="143"/>
        <v>0.54170417100261914</v>
      </c>
      <c r="AM210" s="192">
        <f t="shared" si="112"/>
        <v>0</v>
      </c>
      <c r="AN210" s="192">
        <f t="shared" si="144"/>
        <v>0</v>
      </c>
      <c r="AO210" s="192">
        <f t="shared" si="113"/>
        <v>0</v>
      </c>
      <c r="AS210" s="132"/>
      <c r="AT210" s="132"/>
      <c r="AU210" s="200"/>
      <c r="AV210" s="132"/>
      <c r="AW210" s="132"/>
      <c r="AX210" s="132"/>
      <c r="AY210" s="132"/>
      <c r="AZ210" s="132"/>
      <c r="BA210" s="167"/>
      <c r="BB210" s="167"/>
      <c r="BD210" s="211">
        <f t="shared" si="145"/>
        <v>42615</v>
      </c>
      <c r="BE210" s="210">
        <v>1</v>
      </c>
      <c r="BF210" s="209">
        <v>0.5</v>
      </c>
      <c r="BG210" s="209">
        <v>2</v>
      </c>
      <c r="BH210" s="210"/>
      <c r="BI210" s="209"/>
      <c r="BJ210" s="209"/>
      <c r="BK210" s="168">
        <f t="shared" si="146"/>
        <v>0</v>
      </c>
      <c r="BL210" s="168">
        <f t="shared" si="147"/>
        <v>0</v>
      </c>
    </row>
    <row r="211" spans="1:64" ht="13.5" thickBot="1" x14ac:dyDescent="0.25">
      <c r="A211" s="215">
        <f t="shared" si="114"/>
        <v>42616</v>
      </c>
      <c r="B211" s="190"/>
      <c r="C211" s="168"/>
      <c r="D211" s="198"/>
      <c r="E211" s="132">
        <f t="shared" si="115"/>
        <v>344.41279997019171</v>
      </c>
      <c r="F211" s="168">
        <f t="shared" si="116"/>
        <v>344.41279924831144</v>
      </c>
      <c r="G211" s="300"/>
      <c r="H211" s="127">
        <f>VLOOKUP(MONTH(A211),ETP_Parametros!$A$6:$D$17,4,FALSE)</f>
        <v>3.5666666666666669</v>
      </c>
      <c r="I211" s="230">
        <f>VLOOKUP(A211,P_Q_obs!$A$4:$F$308,6,FALSE)*1</f>
        <v>0</v>
      </c>
      <c r="J211" s="230">
        <f t="shared" si="117"/>
        <v>0</v>
      </c>
      <c r="K211" s="230">
        <f t="shared" si="118"/>
        <v>0</v>
      </c>
      <c r="L211" s="230">
        <f t="shared" si="119"/>
        <v>0</v>
      </c>
      <c r="M211" s="230">
        <f t="shared" si="120"/>
        <v>0</v>
      </c>
      <c r="N211" s="230">
        <f t="shared" si="121"/>
        <v>0</v>
      </c>
      <c r="O211" s="230">
        <f t="shared" si="122"/>
        <v>0</v>
      </c>
      <c r="P211" s="230">
        <f t="shared" si="123"/>
        <v>0</v>
      </c>
      <c r="Q211" s="230">
        <f t="shared" si="124"/>
        <v>0</v>
      </c>
      <c r="R211" s="230">
        <f t="shared" si="125"/>
        <v>0</v>
      </c>
      <c r="S211" s="230">
        <f t="shared" si="126"/>
        <v>0</v>
      </c>
      <c r="T211" s="230">
        <f t="shared" si="127"/>
        <v>0</v>
      </c>
      <c r="U211" s="230">
        <f t="shared" si="128"/>
        <v>0</v>
      </c>
      <c r="V211" s="230">
        <f t="shared" si="129"/>
        <v>0</v>
      </c>
      <c r="W211" s="230">
        <f t="shared" si="130"/>
        <v>0</v>
      </c>
      <c r="X211" s="230">
        <f t="shared" si="131"/>
        <v>0</v>
      </c>
      <c r="Y211" s="230">
        <f t="shared" si="132"/>
        <v>0</v>
      </c>
      <c r="Z211" s="292">
        <f t="shared" si="133"/>
        <v>0</v>
      </c>
      <c r="AA211" s="300"/>
      <c r="AB211" s="191">
        <f t="shared" si="134"/>
        <v>0</v>
      </c>
      <c r="AC211" s="139">
        <f t="shared" si="135"/>
        <v>0</v>
      </c>
      <c r="AD211" s="132">
        <f t="shared" si="136"/>
        <v>7.5803313780613566</v>
      </c>
      <c r="AE211" s="168">
        <f t="shared" si="137"/>
        <v>0.1012175900813059</v>
      </c>
      <c r="AF211" s="192">
        <f t="shared" si="138"/>
        <v>0</v>
      </c>
      <c r="AG211" s="192">
        <f t="shared" si="111"/>
        <v>0.31679626250848641</v>
      </c>
      <c r="AH211" s="192">
        <f t="shared" si="139"/>
        <v>0</v>
      </c>
      <c r="AI211" s="168">
        <f t="shared" si="140"/>
        <v>3.3949006261242172E-9</v>
      </c>
      <c r="AJ211" s="192">
        <f t="shared" si="141"/>
        <v>1.1192342811948869E-9</v>
      </c>
      <c r="AK211" s="132">
        <f t="shared" si="142"/>
        <v>36.976143491649211</v>
      </c>
      <c r="AL211" s="192">
        <f t="shared" si="143"/>
        <v>0.5339924964119821</v>
      </c>
      <c r="AM211" s="192">
        <f t="shared" si="112"/>
        <v>0</v>
      </c>
      <c r="AN211" s="192">
        <f t="shared" si="144"/>
        <v>0</v>
      </c>
      <c r="AO211" s="192">
        <f t="shared" si="113"/>
        <v>0</v>
      </c>
      <c r="AS211" s="132"/>
      <c r="AT211" s="132"/>
      <c r="AU211" s="200"/>
      <c r="AV211" s="132"/>
      <c r="AW211" s="132"/>
      <c r="AX211" s="132"/>
      <c r="AY211" s="132"/>
      <c r="AZ211" s="132"/>
      <c r="BA211" s="167"/>
      <c r="BB211" s="167"/>
      <c r="BD211" s="211">
        <f t="shared" si="145"/>
        <v>42616</v>
      </c>
      <c r="BE211" s="210">
        <v>1</v>
      </c>
      <c r="BF211" s="209">
        <v>0.5</v>
      </c>
      <c r="BG211" s="209">
        <v>2</v>
      </c>
      <c r="BH211" s="210"/>
      <c r="BI211" s="209"/>
      <c r="BJ211" s="209"/>
      <c r="BK211" s="168">
        <f t="shared" si="146"/>
        <v>0</v>
      </c>
      <c r="BL211" s="168">
        <f t="shared" si="147"/>
        <v>0</v>
      </c>
    </row>
    <row r="212" spans="1:64" ht="13.5" thickBot="1" x14ac:dyDescent="0.25">
      <c r="A212" s="215">
        <f t="shared" si="114"/>
        <v>42617</v>
      </c>
      <c r="B212" s="190"/>
      <c r="C212" s="168"/>
      <c r="D212" s="198"/>
      <c r="E212" s="132">
        <f t="shared" si="115"/>
        <v>339.5097557039951</v>
      </c>
      <c r="F212" s="168">
        <f t="shared" si="116"/>
        <v>339.50975516109776</v>
      </c>
      <c r="G212" s="300"/>
      <c r="H212" s="127">
        <f>VLOOKUP(MONTH(A212),ETP_Parametros!$A$6:$D$17,4,FALSE)</f>
        <v>3.5666666666666669</v>
      </c>
      <c r="I212" s="230">
        <f>VLOOKUP(A212,P_Q_obs!$A$4:$F$308,6,FALSE)*1</f>
        <v>0</v>
      </c>
      <c r="J212" s="230">
        <f t="shared" si="117"/>
        <v>0</v>
      </c>
      <c r="K212" s="230">
        <f t="shared" si="118"/>
        <v>0</v>
      </c>
      <c r="L212" s="230">
        <f t="shared" si="119"/>
        <v>0</v>
      </c>
      <c r="M212" s="230">
        <f t="shared" si="120"/>
        <v>0</v>
      </c>
      <c r="N212" s="230">
        <f t="shared" si="121"/>
        <v>0</v>
      </c>
      <c r="O212" s="230">
        <f t="shared" si="122"/>
        <v>0</v>
      </c>
      <c r="P212" s="230">
        <f t="shared" si="123"/>
        <v>0</v>
      </c>
      <c r="Q212" s="230">
        <f t="shared" si="124"/>
        <v>0</v>
      </c>
      <c r="R212" s="230">
        <f t="shared" si="125"/>
        <v>0</v>
      </c>
      <c r="S212" s="230">
        <f t="shared" si="126"/>
        <v>0</v>
      </c>
      <c r="T212" s="230">
        <f t="shared" si="127"/>
        <v>0</v>
      </c>
      <c r="U212" s="230">
        <f t="shared" si="128"/>
        <v>0</v>
      </c>
      <c r="V212" s="230">
        <f t="shared" si="129"/>
        <v>0</v>
      </c>
      <c r="W212" s="230">
        <f t="shared" si="130"/>
        <v>0</v>
      </c>
      <c r="X212" s="230">
        <f t="shared" si="131"/>
        <v>0</v>
      </c>
      <c r="Y212" s="230">
        <f t="shared" si="132"/>
        <v>0</v>
      </c>
      <c r="Z212" s="292">
        <f t="shared" si="133"/>
        <v>0</v>
      </c>
      <c r="AA212" s="300"/>
      <c r="AB212" s="191">
        <f t="shared" si="134"/>
        <v>0</v>
      </c>
      <c r="AC212" s="139">
        <f t="shared" si="135"/>
        <v>0</v>
      </c>
      <c r="AD212" s="132">
        <f t="shared" si="136"/>
        <v>7.2762435174563382</v>
      </c>
      <c r="AE212" s="168">
        <f t="shared" si="137"/>
        <v>9.7157208168122094E-2</v>
      </c>
      <c r="AF212" s="192">
        <f t="shared" si="138"/>
        <v>0</v>
      </c>
      <c r="AG212" s="192">
        <f t="shared" si="111"/>
        <v>0.30408786060501869</v>
      </c>
      <c r="AH212" s="192">
        <f t="shared" si="139"/>
        <v>0</v>
      </c>
      <c r="AI212" s="168">
        <f t="shared" si="140"/>
        <v>2.5531692113524765E-9</v>
      </c>
      <c r="AJ212" s="192">
        <f t="shared" si="141"/>
        <v>8.4173141477174069E-10</v>
      </c>
      <c r="AK212" s="132">
        <f t="shared" si="142"/>
        <v>36.44975288679835</v>
      </c>
      <c r="AL212" s="192">
        <f t="shared" si="143"/>
        <v>0.52639060485085687</v>
      </c>
      <c r="AM212" s="192">
        <f t="shared" si="112"/>
        <v>0</v>
      </c>
      <c r="AN212" s="192">
        <f t="shared" si="144"/>
        <v>0</v>
      </c>
      <c r="AO212" s="192">
        <f t="shared" si="113"/>
        <v>0</v>
      </c>
      <c r="AS212" s="132"/>
      <c r="AT212" s="132"/>
      <c r="AU212" s="200"/>
      <c r="AV212" s="132"/>
      <c r="AW212" s="132"/>
      <c r="AX212" s="132"/>
      <c r="AY212" s="132"/>
      <c r="AZ212" s="132"/>
      <c r="BA212" s="167"/>
      <c r="BB212" s="167"/>
      <c r="BD212" s="211">
        <f t="shared" si="145"/>
        <v>42617</v>
      </c>
      <c r="BE212" s="210">
        <v>1</v>
      </c>
      <c r="BF212" s="209">
        <v>0.5</v>
      </c>
      <c r="BG212" s="209">
        <v>2</v>
      </c>
      <c r="BH212" s="210"/>
      <c r="BI212" s="209"/>
      <c r="BJ212" s="209"/>
      <c r="BK212" s="168">
        <f t="shared" si="146"/>
        <v>0</v>
      </c>
      <c r="BL212" s="168">
        <f t="shared" si="147"/>
        <v>0</v>
      </c>
    </row>
    <row r="213" spans="1:64" ht="13.5" thickBot="1" x14ac:dyDescent="0.25">
      <c r="A213" s="215">
        <f t="shared" si="114"/>
        <v>42618</v>
      </c>
      <c r="B213" s="190"/>
      <c r="C213" s="168"/>
      <c r="D213" s="198"/>
      <c r="E213" s="132">
        <f t="shared" si="115"/>
        <v>334.67651098258204</v>
      </c>
      <c r="F213" s="168">
        <f t="shared" si="116"/>
        <v>334.67651057429066</v>
      </c>
      <c r="G213" s="300"/>
      <c r="H213" s="127">
        <f>VLOOKUP(MONTH(A213),ETP_Parametros!$A$6:$D$17,4,FALSE)</f>
        <v>3.5666666666666669</v>
      </c>
      <c r="I213" s="230">
        <f>VLOOKUP(A213,P_Q_obs!$A$4:$F$308,6,FALSE)*1</f>
        <v>0</v>
      </c>
      <c r="J213" s="230">
        <f t="shared" si="117"/>
        <v>0</v>
      </c>
      <c r="K213" s="230">
        <f t="shared" si="118"/>
        <v>0</v>
      </c>
      <c r="L213" s="230">
        <f t="shared" si="119"/>
        <v>0</v>
      </c>
      <c r="M213" s="230">
        <f t="shared" si="120"/>
        <v>0</v>
      </c>
      <c r="N213" s="230">
        <f t="shared" si="121"/>
        <v>0</v>
      </c>
      <c r="O213" s="230">
        <f t="shared" si="122"/>
        <v>0</v>
      </c>
      <c r="P213" s="230">
        <f t="shared" si="123"/>
        <v>0</v>
      </c>
      <c r="Q213" s="230">
        <f t="shared" si="124"/>
        <v>0</v>
      </c>
      <c r="R213" s="230">
        <f t="shared" si="125"/>
        <v>0</v>
      </c>
      <c r="S213" s="230">
        <f t="shared" si="126"/>
        <v>0</v>
      </c>
      <c r="T213" s="230">
        <f t="shared" si="127"/>
        <v>0</v>
      </c>
      <c r="U213" s="230">
        <f t="shared" si="128"/>
        <v>0</v>
      </c>
      <c r="V213" s="230">
        <f t="shared" si="129"/>
        <v>0</v>
      </c>
      <c r="W213" s="230">
        <f t="shared" si="130"/>
        <v>0</v>
      </c>
      <c r="X213" s="230">
        <f t="shared" si="131"/>
        <v>0</v>
      </c>
      <c r="Y213" s="230">
        <f t="shared" si="132"/>
        <v>0</v>
      </c>
      <c r="Z213" s="292">
        <f t="shared" si="133"/>
        <v>0</v>
      </c>
      <c r="AA213" s="300"/>
      <c r="AB213" s="191">
        <f t="shared" si="134"/>
        <v>0</v>
      </c>
      <c r="AC213" s="139">
        <f t="shared" si="135"/>
        <v>0</v>
      </c>
      <c r="AD213" s="132">
        <f t="shared" si="136"/>
        <v>6.9843542564052861</v>
      </c>
      <c r="AE213" s="168">
        <f t="shared" si="137"/>
        <v>9.3259710011286037E-2</v>
      </c>
      <c r="AF213" s="192">
        <f t="shared" si="138"/>
        <v>0</v>
      </c>
      <c r="AG213" s="192">
        <f t="shared" si="111"/>
        <v>0.29188926105105223</v>
      </c>
      <c r="AH213" s="192">
        <f t="shared" si="139"/>
        <v>0</v>
      </c>
      <c r="AI213" s="168">
        <f t="shared" si="140"/>
        <v>1.920136622449612E-9</v>
      </c>
      <c r="AJ213" s="192">
        <f t="shared" si="141"/>
        <v>6.3303258890286464E-10</v>
      </c>
      <c r="AK213" s="132">
        <f t="shared" si="142"/>
        <v>35.930855953345045</v>
      </c>
      <c r="AL213" s="192">
        <f t="shared" si="143"/>
        <v>0.51889693345330212</v>
      </c>
      <c r="AM213" s="192">
        <f t="shared" si="112"/>
        <v>0</v>
      </c>
      <c r="AN213" s="192">
        <f t="shared" si="144"/>
        <v>0</v>
      </c>
      <c r="AO213" s="192">
        <f t="shared" si="113"/>
        <v>0</v>
      </c>
      <c r="AS213" s="132"/>
      <c r="AT213" s="132"/>
      <c r="AU213" s="200"/>
      <c r="AV213" s="132"/>
      <c r="AW213" s="132"/>
      <c r="AX213" s="132"/>
      <c r="AY213" s="132"/>
      <c r="AZ213" s="132"/>
      <c r="BA213" s="167"/>
      <c r="BB213" s="167"/>
      <c r="BD213" s="211">
        <f t="shared" si="145"/>
        <v>42618</v>
      </c>
      <c r="BE213" s="210">
        <v>1</v>
      </c>
      <c r="BF213" s="209">
        <v>0.5</v>
      </c>
      <c r="BG213" s="209">
        <v>2</v>
      </c>
      <c r="BH213" s="210"/>
      <c r="BI213" s="209"/>
      <c r="BJ213" s="209"/>
      <c r="BK213" s="168">
        <f t="shared" si="146"/>
        <v>0</v>
      </c>
      <c r="BL213" s="168">
        <f t="shared" si="147"/>
        <v>0</v>
      </c>
    </row>
    <row r="214" spans="1:64" ht="13.5" thickBot="1" x14ac:dyDescent="0.25">
      <c r="A214" s="215">
        <f t="shared" si="114"/>
        <v>42619</v>
      </c>
      <c r="B214" s="190"/>
      <c r="C214" s="168"/>
      <c r="D214" s="198"/>
      <c r="E214" s="132">
        <f t="shared" si="115"/>
        <v>329.91207213261043</v>
      </c>
      <c r="F214" s="168">
        <f t="shared" si="116"/>
        <v>329.91207182555081</v>
      </c>
      <c r="G214" s="300"/>
      <c r="H214" s="127">
        <f>VLOOKUP(MONTH(A214),ETP_Parametros!$A$6:$D$17,4,FALSE)</f>
        <v>3.5666666666666669</v>
      </c>
      <c r="I214" s="230">
        <f>VLOOKUP(A214,P_Q_obs!$A$4:$F$308,6,FALSE)*1</f>
        <v>0</v>
      </c>
      <c r="J214" s="230">
        <f t="shared" si="117"/>
        <v>0</v>
      </c>
      <c r="K214" s="230">
        <f t="shared" si="118"/>
        <v>0</v>
      </c>
      <c r="L214" s="230">
        <f t="shared" si="119"/>
        <v>0</v>
      </c>
      <c r="M214" s="230">
        <f t="shared" si="120"/>
        <v>0</v>
      </c>
      <c r="N214" s="230">
        <f t="shared" si="121"/>
        <v>0</v>
      </c>
      <c r="O214" s="230">
        <f t="shared" si="122"/>
        <v>0</v>
      </c>
      <c r="P214" s="230">
        <f t="shared" si="123"/>
        <v>0</v>
      </c>
      <c r="Q214" s="230">
        <f t="shared" si="124"/>
        <v>0</v>
      </c>
      <c r="R214" s="230">
        <f t="shared" si="125"/>
        <v>0</v>
      </c>
      <c r="S214" s="230">
        <f t="shared" si="126"/>
        <v>0</v>
      </c>
      <c r="T214" s="230">
        <f t="shared" si="127"/>
        <v>0</v>
      </c>
      <c r="U214" s="230">
        <f t="shared" si="128"/>
        <v>0</v>
      </c>
      <c r="V214" s="230">
        <f t="shared" si="129"/>
        <v>0</v>
      </c>
      <c r="W214" s="230">
        <f t="shared" si="130"/>
        <v>0</v>
      </c>
      <c r="X214" s="230">
        <f t="shared" si="131"/>
        <v>0</v>
      </c>
      <c r="Y214" s="230">
        <f t="shared" si="132"/>
        <v>0</v>
      </c>
      <c r="Z214" s="292">
        <f t="shared" si="133"/>
        <v>0</v>
      </c>
      <c r="AA214" s="300"/>
      <c r="AB214" s="191">
        <f t="shared" si="134"/>
        <v>0</v>
      </c>
      <c r="AC214" s="139">
        <f t="shared" si="135"/>
        <v>0</v>
      </c>
      <c r="AD214" s="132">
        <f t="shared" si="136"/>
        <v>6.7041742434727896</v>
      </c>
      <c r="AE214" s="168">
        <f t="shared" si="137"/>
        <v>8.9518561467298613E-2</v>
      </c>
      <c r="AF214" s="192">
        <f t="shared" si="138"/>
        <v>0</v>
      </c>
      <c r="AG214" s="192">
        <f t="shared" si="111"/>
        <v>0.28018001293249645</v>
      </c>
      <c r="AH214" s="192">
        <f t="shared" si="139"/>
        <v>0</v>
      </c>
      <c r="AI214" s="168">
        <f t="shared" si="140"/>
        <v>1.4440580876812114E-9</v>
      </c>
      <c r="AJ214" s="192">
        <f t="shared" si="141"/>
        <v>4.7607853476840076E-10</v>
      </c>
      <c r="AK214" s="132">
        <f t="shared" si="142"/>
        <v>35.419346011742782</v>
      </c>
      <c r="AL214" s="192">
        <f t="shared" si="143"/>
        <v>0.51150994160226093</v>
      </c>
      <c r="AM214" s="192">
        <f t="shared" si="112"/>
        <v>0</v>
      </c>
      <c r="AN214" s="192">
        <f t="shared" si="144"/>
        <v>0</v>
      </c>
      <c r="AO214" s="192">
        <f t="shared" si="113"/>
        <v>0</v>
      </c>
      <c r="AS214" s="132"/>
      <c r="AT214" s="132"/>
      <c r="AU214" s="200"/>
      <c r="AV214" s="132"/>
      <c r="AW214" s="132"/>
      <c r="AX214" s="132"/>
      <c r="AY214" s="132"/>
      <c r="AZ214" s="132"/>
      <c r="BA214" s="167"/>
      <c r="BB214" s="167"/>
      <c r="BD214" s="211">
        <f t="shared" si="145"/>
        <v>42619</v>
      </c>
      <c r="BE214" s="210">
        <v>1</v>
      </c>
      <c r="BF214" s="209">
        <v>0.5</v>
      </c>
      <c r="BG214" s="209">
        <v>2</v>
      </c>
      <c r="BH214" s="210"/>
      <c r="BI214" s="209"/>
      <c r="BJ214" s="209"/>
      <c r="BK214" s="168">
        <f t="shared" si="146"/>
        <v>0</v>
      </c>
      <c r="BL214" s="168">
        <f t="shared" si="147"/>
        <v>0</v>
      </c>
    </row>
    <row r="215" spans="1:64" ht="13.5" thickBot="1" x14ac:dyDescent="0.25">
      <c r="A215" s="215">
        <f t="shared" si="114"/>
        <v>42620</v>
      </c>
      <c r="B215" s="190"/>
      <c r="C215" s="168"/>
      <c r="D215" s="198"/>
      <c r="E215" s="132">
        <f t="shared" si="115"/>
        <v>325.21545962919595</v>
      </c>
      <c r="F215" s="168">
        <f t="shared" si="116"/>
        <v>325.21545939826865</v>
      </c>
      <c r="G215" s="300"/>
      <c r="H215" s="127">
        <f>VLOOKUP(MONTH(A215),ETP_Parametros!$A$6:$D$17,4,FALSE)</f>
        <v>3.5666666666666669</v>
      </c>
      <c r="I215" s="230">
        <f>VLOOKUP(A215,P_Q_obs!$A$4:$F$308,6,FALSE)*1</f>
        <v>0</v>
      </c>
      <c r="J215" s="230">
        <f t="shared" si="117"/>
        <v>0</v>
      </c>
      <c r="K215" s="230">
        <f t="shared" si="118"/>
        <v>0</v>
      </c>
      <c r="L215" s="230">
        <f t="shared" si="119"/>
        <v>0</v>
      </c>
      <c r="M215" s="230">
        <f t="shared" si="120"/>
        <v>0</v>
      </c>
      <c r="N215" s="230">
        <f t="shared" si="121"/>
        <v>0</v>
      </c>
      <c r="O215" s="230">
        <f t="shared" si="122"/>
        <v>0</v>
      </c>
      <c r="P215" s="230">
        <f t="shared" si="123"/>
        <v>0</v>
      </c>
      <c r="Q215" s="230">
        <f t="shared" si="124"/>
        <v>0</v>
      </c>
      <c r="R215" s="230">
        <f t="shared" si="125"/>
        <v>0</v>
      </c>
      <c r="S215" s="230">
        <f t="shared" si="126"/>
        <v>0</v>
      </c>
      <c r="T215" s="230">
        <f t="shared" si="127"/>
        <v>0</v>
      </c>
      <c r="U215" s="230">
        <f t="shared" si="128"/>
        <v>0</v>
      </c>
      <c r="V215" s="230">
        <f t="shared" si="129"/>
        <v>0</v>
      </c>
      <c r="W215" s="230">
        <f t="shared" si="130"/>
        <v>0</v>
      </c>
      <c r="X215" s="230">
        <f t="shared" si="131"/>
        <v>0</v>
      </c>
      <c r="Y215" s="230">
        <f t="shared" si="132"/>
        <v>0</v>
      </c>
      <c r="Z215" s="292">
        <f t="shared" si="133"/>
        <v>0</v>
      </c>
      <c r="AA215" s="300"/>
      <c r="AB215" s="191">
        <f t="shared" si="134"/>
        <v>0</v>
      </c>
      <c r="AC215" s="139">
        <f t="shared" si="135"/>
        <v>0</v>
      </c>
      <c r="AD215" s="132">
        <f t="shared" si="136"/>
        <v>6.4352337577413739</v>
      </c>
      <c r="AE215" s="168">
        <f t="shared" si="137"/>
        <v>8.5927490512298824E-2</v>
      </c>
      <c r="AF215" s="192">
        <f t="shared" si="138"/>
        <v>0</v>
      </c>
      <c r="AG215" s="192">
        <f t="shared" si="111"/>
        <v>0.26894048573141532</v>
      </c>
      <c r="AH215" s="192">
        <f t="shared" si="139"/>
        <v>0</v>
      </c>
      <c r="AI215" s="168">
        <f t="shared" si="140"/>
        <v>1.0860184302600267E-9</v>
      </c>
      <c r="AJ215" s="192">
        <f t="shared" si="141"/>
        <v>3.5803965742118474E-10</v>
      </c>
      <c r="AK215" s="132">
        <f t="shared" si="142"/>
        <v>34.915117901129953</v>
      </c>
      <c r="AL215" s="192">
        <f t="shared" si="143"/>
        <v>0.50422811061282724</v>
      </c>
      <c r="AM215" s="192">
        <f t="shared" si="112"/>
        <v>0</v>
      </c>
      <c r="AN215" s="192">
        <f t="shared" si="144"/>
        <v>0</v>
      </c>
      <c r="AO215" s="192">
        <f t="shared" si="113"/>
        <v>0</v>
      </c>
      <c r="AS215" s="132"/>
      <c r="AT215" s="132"/>
      <c r="AU215" s="200"/>
      <c r="AV215" s="132"/>
      <c r="AW215" s="132"/>
      <c r="AX215" s="132"/>
      <c r="AY215" s="132"/>
      <c r="AZ215" s="132"/>
      <c r="BA215" s="167"/>
      <c r="BB215" s="167"/>
      <c r="BD215" s="211">
        <f t="shared" si="145"/>
        <v>42620</v>
      </c>
      <c r="BE215" s="210">
        <v>1</v>
      </c>
      <c r="BF215" s="209">
        <v>0.5</v>
      </c>
      <c r="BG215" s="209">
        <v>2</v>
      </c>
      <c r="BH215" s="210"/>
      <c r="BI215" s="209"/>
      <c r="BJ215" s="209"/>
      <c r="BK215" s="168">
        <f t="shared" si="146"/>
        <v>0</v>
      </c>
      <c r="BL215" s="168">
        <f t="shared" si="147"/>
        <v>0</v>
      </c>
    </row>
    <row r="216" spans="1:64" ht="13.5" thickBot="1" x14ac:dyDescent="0.25">
      <c r="A216" s="215">
        <f t="shared" si="114"/>
        <v>42621</v>
      </c>
      <c r="B216" s="190"/>
      <c r="C216" s="168"/>
      <c r="D216" s="198"/>
      <c r="E216" s="132">
        <f t="shared" si="115"/>
        <v>320.58570789385669</v>
      </c>
      <c r="F216" s="168">
        <f t="shared" si="116"/>
        <v>320.5857077201855</v>
      </c>
      <c r="G216" s="300"/>
      <c r="H216" s="127">
        <f>VLOOKUP(MONTH(A216),ETP_Parametros!$A$6:$D$17,4,FALSE)</f>
        <v>3.5666666666666669</v>
      </c>
      <c r="I216" s="230">
        <f>VLOOKUP(A216,P_Q_obs!$A$4:$F$308,6,FALSE)*1</f>
        <v>0</v>
      </c>
      <c r="J216" s="230">
        <f t="shared" si="117"/>
        <v>0</v>
      </c>
      <c r="K216" s="230">
        <f t="shared" si="118"/>
        <v>0</v>
      </c>
      <c r="L216" s="230">
        <f t="shared" si="119"/>
        <v>0</v>
      </c>
      <c r="M216" s="230">
        <f t="shared" si="120"/>
        <v>0</v>
      </c>
      <c r="N216" s="230">
        <f t="shared" si="121"/>
        <v>0</v>
      </c>
      <c r="O216" s="230">
        <f t="shared" si="122"/>
        <v>0</v>
      </c>
      <c r="P216" s="230">
        <f t="shared" si="123"/>
        <v>0</v>
      </c>
      <c r="Q216" s="230">
        <f t="shared" si="124"/>
        <v>0</v>
      </c>
      <c r="R216" s="230">
        <f t="shared" si="125"/>
        <v>0</v>
      </c>
      <c r="S216" s="230">
        <f t="shared" si="126"/>
        <v>0</v>
      </c>
      <c r="T216" s="230">
        <f t="shared" si="127"/>
        <v>0</v>
      </c>
      <c r="U216" s="230">
        <f t="shared" si="128"/>
        <v>0</v>
      </c>
      <c r="V216" s="230">
        <f t="shared" si="129"/>
        <v>0</v>
      </c>
      <c r="W216" s="230">
        <f t="shared" si="130"/>
        <v>0</v>
      </c>
      <c r="X216" s="230">
        <f t="shared" si="131"/>
        <v>0</v>
      </c>
      <c r="Y216" s="230">
        <f t="shared" si="132"/>
        <v>0</v>
      </c>
      <c r="Z216" s="292">
        <f t="shared" si="133"/>
        <v>0</v>
      </c>
      <c r="AA216" s="300"/>
      <c r="AB216" s="191">
        <f t="shared" si="134"/>
        <v>0</v>
      </c>
      <c r="AC216" s="139">
        <f t="shared" si="135"/>
        <v>0</v>
      </c>
      <c r="AD216" s="132">
        <f t="shared" si="136"/>
        <v>6.1770819213258488</v>
      </c>
      <c r="AE216" s="168">
        <f t="shared" si="137"/>
        <v>8.2480476727035318E-2</v>
      </c>
      <c r="AF216" s="192">
        <f t="shared" si="138"/>
        <v>0</v>
      </c>
      <c r="AG216" s="192">
        <f t="shared" si="111"/>
        <v>0.25815183641552536</v>
      </c>
      <c r="AH216" s="192">
        <f t="shared" si="139"/>
        <v>0</v>
      </c>
      <c r="AI216" s="168">
        <f t="shared" si="140"/>
        <v>8.1675109950620165E-10</v>
      </c>
      <c r="AJ216" s="192">
        <f t="shared" si="141"/>
        <v>2.6926733075382503E-10</v>
      </c>
      <c r="AK216" s="132">
        <f t="shared" si="142"/>
        <v>34.418067957709937</v>
      </c>
      <c r="AL216" s="192">
        <f t="shared" si="143"/>
        <v>0.4970499434200199</v>
      </c>
      <c r="AM216" s="192">
        <f t="shared" si="112"/>
        <v>0</v>
      </c>
      <c r="AN216" s="192">
        <f t="shared" si="144"/>
        <v>0</v>
      </c>
      <c r="AO216" s="192">
        <f t="shared" si="113"/>
        <v>0</v>
      </c>
      <c r="AS216" s="132"/>
      <c r="AT216" s="132"/>
      <c r="AU216" s="200"/>
      <c r="AV216" s="132"/>
      <c r="AW216" s="132"/>
      <c r="AX216" s="132"/>
      <c r="AY216" s="132"/>
      <c r="AZ216" s="132"/>
      <c r="BA216" s="167"/>
      <c r="BB216" s="167"/>
      <c r="BD216" s="211">
        <f t="shared" si="145"/>
        <v>42621</v>
      </c>
      <c r="BE216" s="210">
        <v>1</v>
      </c>
      <c r="BF216" s="209">
        <v>0.5</v>
      </c>
      <c r="BG216" s="209">
        <v>2</v>
      </c>
      <c r="BH216" s="210"/>
      <c r="BI216" s="209"/>
      <c r="BJ216" s="209"/>
      <c r="BK216" s="168">
        <f t="shared" si="146"/>
        <v>0</v>
      </c>
      <c r="BL216" s="168">
        <f t="shared" si="147"/>
        <v>0</v>
      </c>
    </row>
    <row r="217" spans="1:64" ht="13.5" thickBot="1" x14ac:dyDescent="0.25">
      <c r="A217" s="215">
        <f t="shared" si="114"/>
        <v>42622</v>
      </c>
      <c r="B217" s="190"/>
      <c r="C217" s="168"/>
      <c r="D217" s="198"/>
      <c r="E217" s="132">
        <f t="shared" si="115"/>
        <v>316.02186509549477</v>
      </c>
      <c r="F217" s="168">
        <f t="shared" si="116"/>
        <v>316.0218649648836</v>
      </c>
      <c r="G217" s="300"/>
      <c r="H217" s="127">
        <f>VLOOKUP(MONTH(A217),ETP_Parametros!$A$6:$D$17,4,FALSE)</f>
        <v>3.5666666666666669</v>
      </c>
      <c r="I217" s="230">
        <f>VLOOKUP(A217,P_Q_obs!$A$4:$F$308,6,FALSE)*1</f>
        <v>0</v>
      </c>
      <c r="J217" s="230">
        <f t="shared" si="117"/>
        <v>0</v>
      </c>
      <c r="K217" s="230">
        <f t="shared" si="118"/>
        <v>0</v>
      </c>
      <c r="L217" s="230">
        <f t="shared" si="119"/>
        <v>0</v>
      </c>
      <c r="M217" s="230">
        <f t="shared" si="120"/>
        <v>0</v>
      </c>
      <c r="N217" s="230">
        <f t="shared" si="121"/>
        <v>0</v>
      </c>
      <c r="O217" s="230">
        <f t="shared" si="122"/>
        <v>0</v>
      </c>
      <c r="P217" s="230">
        <f t="shared" si="123"/>
        <v>0</v>
      </c>
      <c r="Q217" s="230">
        <f t="shared" si="124"/>
        <v>0</v>
      </c>
      <c r="R217" s="230">
        <f t="shared" si="125"/>
        <v>0</v>
      </c>
      <c r="S217" s="230">
        <f t="shared" si="126"/>
        <v>0</v>
      </c>
      <c r="T217" s="230">
        <f t="shared" si="127"/>
        <v>0</v>
      </c>
      <c r="U217" s="230">
        <f t="shared" si="128"/>
        <v>0</v>
      </c>
      <c r="V217" s="230">
        <f t="shared" si="129"/>
        <v>0</v>
      </c>
      <c r="W217" s="230">
        <f t="shared" si="130"/>
        <v>0</v>
      </c>
      <c r="X217" s="230">
        <f t="shared" si="131"/>
        <v>0</v>
      </c>
      <c r="Y217" s="230">
        <f t="shared" si="132"/>
        <v>0</v>
      </c>
      <c r="Z217" s="292">
        <f t="shared" si="133"/>
        <v>0</v>
      </c>
      <c r="AA217" s="300"/>
      <c r="AB217" s="191">
        <f t="shared" si="134"/>
        <v>0</v>
      </c>
      <c r="AC217" s="139">
        <f t="shared" si="135"/>
        <v>0</v>
      </c>
      <c r="AD217" s="132">
        <f t="shared" si="136"/>
        <v>5.9292859434779377</v>
      </c>
      <c r="AE217" s="168">
        <f t="shared" si="137"/>
        <v>7.9171741203652349E-2</v>
      </c>
      <c r="AF217" s="192">
        <f t="shared" si="138"/>
        <v>0</v>
      </c>
      <c r="AG217" s="192">
        <f t="shared" ref="AG217:AG280" si="148">IF((AC217-AF217)&gt;H217,H217*$O$11,(AC217-AF217+(H217*$O$11-(AC217-AF217))*AE217))</f>
        <v>0.24779597784791088</v>
      </c>
      <c r="AH217" s="192">
        <f t="shared" si="139"/>
        <v>0</v>
      </c>
      <c r="AI217" s="168">
        <f t="shared" si="140"/>
        <v>6.1424589119069456E-10</v>
      </c>
      <c r="AJ217" s="192">
        <f t="shared" si="141"/>
        <v>2.0250520831550704E-10</v>
      </c>
      <c r="AK217" s="132">
        <f t="shared" si="142"/>
        <v>33.928093993438935</v>
      </c>
      <c r="AL217" s="192">
        <f t="shared" si="143"/>
        <v>0.48997396427100354</v>
      </c>
      <c r="AM217" s="192">
        <f t="shared" ref="AM217:AM280" si="149">IF(AI216&lt;=$O$12,0,(AI216-$O$12)*(1-0.5^(1/$O$13)))</f>
        <v>0</v>
      </c>
      <c r="AN217" s="192">
        <f t="shared" si="144"/>
        <v>0</v>
      </c>
      <c r="AO217" s="192">
        <f t="shared" ref="AO217:AO280" si="150">AN216*(1-0.5^(1/$O$14))</f>
        <v>0</v>
      </c>
      <c r="AS217" s="132"/>
      <c r="AT217" s="132"/>
      <c r="AU217" s="200"/>
      <c r="AV217" s="132"/>
      <c r="AW217" s="132"/>
      <c r="AX217" s="132"/>
      <c r="AY217" s="132"/>
      <c r="AZ217" s="132"/>
      <c r="BA217" s="167"/>
      <c r="BB217" s="167"/>
      <c r="BD217" s="211">
        <f t="shared" si="145"/>
        <v>42622</v>
      </c>
      <c r="BE217" s="210">
        <v>1</v>
      </c>
      <c r="BF217" s="209">
        <v>0.5</v>
      </c>
      <c r="BG217" s="209">
        <v>2</v>
      </c>
      <c r="BH217" s="210"/>
      <c r="BI217" s="209"/>
      <c r="BJ217" s="209"/>
      <c r="BK217" s="168">
        <f t="shared" si="146"/>
        <v>0</v>
      </c>
      <c r="BL217" s="168">
        <f t="shared" si="147"/>
        <v>0</v>
      </c>
    </row>
    <row r="218" spans="1:64" ht="13.5" thickBot="1" x14ac:dyDescent="0.25">
      <c r="A218" s="215">
        <f t="shared" si="114"/>
        <v>42623</v>
      </c>
      <c r="B218" s="190"/>
      <c r="C218" s="168"/>
      <c r="D218" s="198"/>
      <c r="E218" s="132">
        <f t="shared" si="115"/>
        <v>311.52299295432744</v>
      </c>
      <c r="F218" s="168">
        <f t="shared" si="116"/>
        <v>311.52299285610002</v>
      </c>
      <c r="G218" s="300"/>
      <c r="H218" s="127">
        <f>VLOOKUP(MONTH(A218),ETP_Parametros!$A$6:$D$17,4,FALSE)</f>
        <v>3.5666666666666669</v>
      </c>
      <c r="I218" s="230">
        <f>VLOOKUP(A218,P_Q_obs!$A$4:$F$308,6,FALSE)*1</f>
        <v>0</v>
      </c>
      <c r="J218" s="230">
        <f t="shared" si="117"/>
        <v>0</v>
      </c>
      <c r="K218" s="230">
        <f t="shared" si="118"/>
        <v>0</v>
      </c>
      <c r="L218" s="230">
        <f t="shared" si="119"/>
        <v>0</v>
      </c>
      <c r="M218" s="230">
        <f t="shared" si="120"/>
        <v>0</v>
      </c>
      <c r="N218" s="230">
        <f t="shared" si="121"/>
        <v>0</v>
      </c>
      <c r="O218" s="230">
        <f t="shared" si="122"/>
        <v>0</v>
      </c>
      <c r="P218" s="230">
        <f t="shared" si="123"/>
        <v>0</v>
      </c>
      <c r="Q218" s="230">
        <f t="shared" si="124"/>
        <v>0</v>
      </c>
      <c r="R218" s="230">
        <f t="shared" si="125"/>
        <v>0</v>
      </c>
      <c r="S218" s="230">
        <f t="shared" si="126"/>
        <v>0</v>
      </c>
      <c r="T218" s="230">
        <f t="shared" si="127"/>
        <v>0</v>
      </c>
      <c r="U218" s="230">
        <f t="shared" si="128"/>
        <v>0</v>
      </c>
      <c r="V218" s="230">
        <f t="shared" si="129"/>
        <v>0</v>
      </c>
      <c r="W218" s="230">
        <f t="shared" si="130"/>
        <v>0</v>
      </c>
      <c r="X218" s="230">
        <f t="shared" si="131"/>
        <v>0</v>
      </c>
      <c r="Y218" s="230">
        <f t="shared" si="132"/>
        <v>0</v>
      </c>
      <c r="Z218" s="292">
        <f t="shared" si="133"/>
        <v>0</v>
      </c>
      <c r="AA218" s="300"/>
      <c r="AB218" s="191">
        <f t="shared" si="134"/>
        <v>0</v>
      </c>
      <c r="AC218" s="139">
        <f t="shared" si="135"/>
        <v>0</v>
      </c>
      <c r="AD218" s="132">
        <f t="shared" si="136"/>
        <v>5.6914303950139429</v>
      </c>
      <c r="AE218" s="168">
        <f t="shared" si="137"/>
        <v>7.599573685736874E-2</v>
      </c>
      <c r="AF218" s="192">
        <f t="shared" si="138"/>
        <v>0</v>
      </c>
      <c r="AG218" s="192">
        <f t="shared" si="148"/>
        <v>0.23785554846399509</v>
      </c>
      <c r="AH218" s="192">
        <f t="shared" si="139"/>
        <v>0</v>
      </c>
      <c r="AI218" s="168">
        <f t="shared" si="140"/>
        <v>4.6194980952307343E-10</v>
      </c>
      <c r="AJ218" s="192">
        <f t="shared" si="141"/>
        <v>1.5229608166762116E-10</v>
      </c>
      <c r="AK218" s="132">
        <f t="shared" si="142"/>
        <v>33.445095275017245</v>
      </c>
      <c r="AL218" s="192">
        <f t="shared" si="143"/>
        <v>0.48299871842168901</v>
      </c>
      <c r="AM218" s="192">
        <f t="shared" si="149"/>
        <v>0</v>
      </c>
      <c r="AN218" s="192">
        <f t="shared" si="144"/>
        <v>0</v>
      </c>
      <c r="AO218" s="192">
        <f t="shared" si="150"/>
        <v>0</v>
      </c>
      <c r="AS218" s="132"/>
      <c r="AT218" s="132"/>
      <c r="AU218" s="200"/>
      <c r="AV218" s="132"/>
      <c r="AW218" s="132"/>
      <c r="AX218" s="132"/>
      <c r="AY218" s="132"/>
      <c r="AZ218" s="132"/>
      <c r="BA218" s="167"/>
      <c r="BB218" s="167"/>
      <c r="BD218" s="211">
        <f t="shared" si="145"/>
        <v>42623</v>
      </c>
      <c r="BE218" s="210">
        <v>1</v>
      </c>
      <c r="BF218" s="209">
        <v>0.5</v>
      </c>
      <c r="BG218" s="209">
        <v>2</v>
      </c>
      <c r="BH218" s="210"/>
      <c r="BI218" s="209"/>
      <c r="BJ218" s="209"/>
      <c r="BK218" s="168">
        <f t="shared" si="146"/>
        <v>0</v>
      </c>
      <c r="BL218" s="168">
        <f t="shared" si="147"/>
        <v>0</v>
      </c>
    </row>
    <row r="219" spans="1:64" ht="13.5" thickBot="1" x14ac:dyDescent="0.25">
      <c r="A219" s="215">
        <f t="shared" si="114"/>
        <v>42624</v>
      </c>
      <c r="B219" s="190"/>
      <c r="C219" s="168"/>
      <c r="D219" s="198"/>
      <c r="E219" s="132">
        <f t="shared" si="115"/>
        <v>307.08816654870071</v>
      </c>
      <c r="F219" s="168">
        <f t="shared" si="116"/>
        <v>307.0881664748278</v>
      </c>
      <c r="G219" s="300"/>
      <c r="H219" s="127">
        <f>VLOOKUP(MONTH(A219),ETP_Parametros!$A$6:$D$17,4,FALSE)</f>
        <v>3.5666666666666669</v>
      </c>
      <c r="I219" s="230">
        <f>VLOOKUP(A219,P_Q_obs!$A$4:$F$308,6,FALSE)*1</f>
        <v>0</v>
      </c>
      <c r="J219" s="230">
        <f t="shared" si="117"/>
        <v>0</v>
      </c>
      <c r="K219" s="230">
        <f t="shared" si="118"/>
        <v>0</v>
      </c>
      <c r="L219" s="230">
        <f t="shared" si="119"/>
        <v>0</v>
      </c>
      <c r="M219" s="230">
        <f t="shared" si="120"/>
        <v>0</v>
      </c>
      <c r="N219" s="230">
        <f t="shared" si="121"/>
        <v>0</v>
      </c>
      <c r="O219" s="230">
        <f t="shared" si="122"/>
        <v>0</v>
      </c>
      <c r="P219" s="230">
        <f t="shared" si="123"/>
        <v>0</v>
      </c>
      <c r="Q219" s="230">
        <f t="shared" si="124"/>
        <v>0</v>
      </c>
      <c r="R219" s="230">
        <f t="shared" si="125"/>
        <v>0</v>
      </c>
      <c r="S219" s="230">
        <f t="shared" si="126"/>
        <v>0</v>
      </c>
      <c r="T219" s="230">
        <f t="shared" si="127"/>
        <v>0</v>
      </c>
      <c r="U219" s="230">
        <f t="shared" si="128"/>
        <v>0</v>
      </c>
      <c r="V219" s="230">
        <f t="shared" si="129"/>
        <v>0</v>
      </c>
      <c r="W219" s="230">
        <f t="shared" si="130"/>
        <v>0</v>
      </c>
      <c r="X219" s="230">
        <f t="shared" si="131"/>
        <v>0</v>
      </c>
      <c r="Y219" s="230">
        <f t="shared" si="132"/>
        <v>0</v>
      </c>
      <c r="Z219" s="292">
        <f t="shared" si="133"/>
        <v>0</v>
      </c>
      <c r="AA219" s="300"/>
      <c r="AB219" s="191">
        <f t="shared" si="134"/>
        <v>0</v>
      </c>
      <c r="AC219" s="139">
        <f t="shared" si="135"/>
        <v>0</v>
      </c>
      <c r="AD219" s="132">
        <f t="shared" si="136"/>
        <v>5.4631165118490115</v>
      </c>
      <c r="AE219" s="168">
        <f t="shared" si="137"/>
        <v>7.29471391268076E-2</v>
      </c>
      <c r="AF219" s="192">
        <f t="shared" si="138"/>
        <v>0</v>
      </c>
      <c r="AG219" s="192">
        <f t="shared" si="148"/>
        <v>0.22831388316493167</v>
      </c>
      <c r="AH219" s="192">
        <f t="shared" si="139"/>
        <v>0</v>
      </c>
      <c r="AI219" s="168">
        <f t="shared" si="140"/>
        <v>3.4741400728743961E-10</v>
      </c>
      <c r="AJ219" s="192">
        <f t="shared" si="141"/>
        <v>1.145358022356338E-10</v>
      </c>
      <c r="AK219" s="132">
        <f t="shared" si="142"/>
        <v>32.968972503179593</v>
      </c>
      <c r="AL219" s="192">
        <f t="shared" si="143"/>
        <v>0.47612277183765428</v>
      </c>
      <c r="AM219" s="192">
        <f t="shared" si="149"/>
        <v>0</v>
      </c>
      <c r="AN219" s="192">
        <f t="shared" si="144"/>
        <v>0</v>
      </c>
      <c r="AO219" s="192">
        <f t="shared" si="150"/>
        <v>0</v>
      </c>
      <c r="AS219" s="132"/>
      <c r="AT219" s="132"/>
      <c r="AU219" s="200"/>
      <c r="AV219" s="132"/>
      <c r="AW219" s="132"/>
      <c r="AX219" s="132"/>
      <c r="AY219" s="132"/>
      <c r="AZ219" s="132"/>
      <c r="BA219" s="167"/>
      <c r="BB219" s="167"/>
      <c r="BD219" s="211">
        <f t="shared" si="145"/>
        <v>42624</v>
      </c>
      <c r="BE219" s="210">
        <v>1</v>
      </c>
      <c r="BF219" s="209">
        <v>0.5</v>
      </c>
      <c r="BG219" s="209">
        <v>2</v>
      </c>
      <c r="BH219" s="210"/>
      <c r="BI219" s="209"/>
      <c r="BJ219" s="209"/>
      <c r="BK219" s="168">
        <f t="shared" si="146"/>
        <v>0</v>
      </c>
      <c r="BL219" s="168">
        <f t="shared" si="147"/>
        <v>0</v>
      </c>
    </row>
    <row r="220" spans="1:64" ht="13.5" thickBot="1" x14ac:dyDescent="0.25">
      <c r="A220" s="215">
        <f t="shared" si="114"/>
        <v>42625</v>
      </c>
      <c r="B220" s="190"/>
      <c r="C220" s="168"/>
      <c r="D220" s="198"/>
      <c r="E220" s="132">
        <f t="shared" si="115"/>
        <v>302.71647412471964</v>
      </c>
      <c r="F220" s="168">
        <f t="shared" si="116"/>
        <v>302.71647406916276</v>
      </c>
      <c r="G220" s="300"/>
      <c r="H220" s="127">
        <f>VLOOKUP(MONTH(A220),ETP_Parametros!$A$6:$D$17,4,FALSE)</f>
        <v>3.5666666666666669</v>
      </c>
      <c r="I220" s="230">
        <f>VLOOKUP(A220,P_Q_obs!$A$4:$F$308,6,FALSE)*1</f>
        <v>0</v>
      </c>
      <c r="J220" s="230">
        <f t="shared" si="117"/>
        <v>0</v>
      </c>
      <c r="K220" s="230">
        <f t="shared" si="118"/>
        <v>0</v>
      </c>
      <c r="L220" s="230">
        <f t="shared" si="119"/>
        <v>0</v>
      </c>
      <c r="M220" s="230">
        <f t="shared" si="120"/>
        <v>0</v>
      </c>
      <c r="N220" s="230">
        <f t="shared" si="121"/>
        <v>0</v>
      </c>
      <c r="O220" s="230">
        <f t="shared" si="122"/>
        <v>0</v>
      </c>
      <c r="P220" s="230">
        <f t="shared" si="123"/>
        <v>0</v>
      </c>
      <c r="Q220" s="230">
        <f t="shared" si="124"/>
        <v>0</v>
      </c>
      <c r="R220" s="230">
        <f t="shared" si="125"/>
        <v>0</v>
      </c>
      <c r="S220" s="230">
        <f t="shared" si="126"/>
        <v>0</v>
      </c>
      <c r="T220" s="230">
        <f t="shared" si="127"/>
        <v>0</v>
      </c>
      <c r="U220" s="230">
        <f t="shared" si="128"/>
        <v>0</v>
      </c>
      <c r="V220" s="230">
        <f t="shared" si="129"/>
        <v>0</v>
      </c>
      <c r="W220" s="230">
        <f t="shared" si="130"/>
        <v>0</v>
      </c>
      <c r="X220" s="230">
        <f t="shared" si="131"/>
        <v>0</v>
      </c>
      <c r="Y220" s="230">
        <f t="shared" si="132"/>
        <v>0</v>
      </c>
      <c r="Z220" s="292">
        <f t="shared" si="133"/>
        <v>0</v>
      </c>
      <c r="AA220" s="300"/>
      <c r="AB220" s="191">
        <f t="shared" si="134"/>
        <v>0</v>
      </c>
      <c r="AC220" s="139">
        <f t="shared" si="135"/>
        <v>0</v>
      </c>
      <c r="AD220" s="132">
        <f t="shared" si="136"/>
        <v>5.2439615264703932</v>
      </c>
      <c r="AE220" s="168">
        <f t="shared" si="137"/>
        <v>7.0020837047385764E-2</v>
      </c>
      <c r="AF220" s="192">
        <f t="shared" si="138"/>
        <v>0</v>
      </c>
      <c r="AG220" s="192">
        <f t="shared" si="148"/>
        <v>0.21915498537861827</v>
      </c>
      <c r="AH220" s="192">
        <f t="shared" si="139"/>
        <v>0</v>
      </c>
      <c r="AI220" s="168">
        <f t="shared" si="140"/>
        <v>2.612762035428193E-10</v>
      </c>
      <c r="AJ220" s="192">
        <f t="shared" si="141"/>
        <v>8.6137803744620288E-11</v>
      </c>
      <c r="AK220" s="132">
        <f t="shared" si="142"/>
        <v>32.499627792280272</v>
      </c>
      <c r="AL220" s="192">
        <f t="shared" si="143"/>
        <v>0.46934471089932278</v>
      </c>
      <c r="AM220" s="192">
        <f t="shared" si="149"/>
        <v>0</v>
      </c>
      <c r="AN220" s="192">
        <f t="shared" si="144"/>
        <v>0</v>
      </c>
      <c r="AO220" s="192">
        <f t="shared" si="150"/>
        <v>0</v>
      </c>
      <c r="AS220" s="132"/>
      <c r="AT220" s="132"/>
      <c r="AU220" s="200"/>
      <c r="AV220" s="132"/>
      <c r="AW220" s="132"/>
      <c r="AX220" s="132"/>
      <c r="AY220" s="132"/>
      <c r="AZ220" s="132"/>
      <c r="BA220" s="167"/>
      <c r="BB220" s="167"/>
      <c r="BD220" s="211">
        <f t="shared" si="145"/>
        <v>42625</v>
      </c>
      <c r="BE220" s="210">
        <v>1</v>
      </c>
      <c r="BF220" s="209">
        <v>0.5</v>
      </c>
      <c r="BG220" s="209">
        <v>2</v>
      </c>
      <c r="BH220" s="210"/>
      <c r="BI220" s="209"/>
      <c r="BJ220" s="209"/>
      <c r="BK220" s="168">
        <f t="shared" si="146"/>
        <v>0</v>
      </c>
      <c r="BL220" s="168">
        <f t="shared" si="147"/>
        <v>0</v>
      </c>
    </row>
    <row r="221" spans="1:64" ht="13.5" thickBot="1" x14ac:dyDescent="0.25">
      <c r="A221" s="215">
        <f t="shared" si="114"/>
        <v>42626</v>
      </c>
      <c r="B221" s="190"/>
      <c r="C221" s="168"/>
      <c r="D221" s="198"/>
      <c r="E221" s="132">
        <f t="shared" si="115"/>
        <v>298.40701690863892</v>
      </c>
      <c r="F221" s="168">
        <f t="shared" si="116"/>
        <v>298.40701686685685</v>
      </c>
      <c r="G221" s="300"/>
      <c r="H221" s="127">
        <f>VLOOKUP(MONTH(A221),ETP_Parametros!$A$6:$D$17,4,FALSE)</f>
        <v>3.5666666666666669</v>
      </c>
      <c r="I221" s="230">
        <f>VLOOKUP(A221,P_Q_obs!$A$4:$F$308,6,FALSE)*1</f>
        <v>0</v>
      </c>
      <c r="J221" s="230">
        <f t="shared" si="117"/>
        <v>0</v>
      </c>
      <c r="K221" s="230">
        <f t="shared" si="118"/>
        <v>0</v>
      </c>
      <c r="L221" s="230">
        <f t="shared" si="119"/>
        <v>0</v>
      </c>
      <c r="M221" s="230">
        <f t="shared" si="120"/>
        <v>0</v>
      </c>
      <c r="N221" s="230">
        <f t="shared" si="121"/>
        <v>0</v>
      </c>
      <c r="O221" s="230">
        <f t="shared" si="122"/>
        <v>0</v>
      </c>
      <c r="P221" s="230">
        <f t="shared" si="123"/>
        <v>0</v>
      </c>
      <c r="Q221" s="230">
        <f t="shared" si="124"/>
        <v>0</v>
      </c>
      <c r="R221" s="230">
        <f t="shared" si="125"/>
        <v>0</v>
      </c>
      <c r="S221" s="230">
        <f t="shared" si="126"/>
        <v>0</v>
      </c>
      <c r="T221" s="230">
        <f t="shared" si="127"/>
        <v>0</v>
      </c>
      <c r="U221" s="230">
        <f t="shared" si="128"/>
        <v>0</v>
      </c>
      <c r="V221" s="230">
        <f t="shared" si="129"/>
        <v>0</v>
      </c>
      <c r="W221" s="230">
        <f t="shared" si="130"/>
        <v>0</v>
      </c>
      <c r="X221" s="230">
        <f t="shared" si="131"/>
        <v>0</v>
      </c>
      <c r="Y221" s="230">
        <f t="shared" si="132"/>
        <v>0</v>
      </c>
      <c r="Z221" s="292">
        <f t="shared" si="133"/>
        <v>0</v>
      </c>
      <c r="AA221" s="300"/>
      <c r="AB221" s="191">
        <f t="shared" si="134"/>
        <v>0</v>
      </c>
      <c r="AC221" s="139">
        <f t="shared" si="135"/>
        <v>0</v>
      </c>
      <c r="AD221" s="132">
        <f t="shared" si="136"/>
        <v>5.0335980262288995</v>
      </c>
      <c r="AE221" s="168">
        <f t="shared" si="137"/>
        <v>6.7211924682797602E-2</v>
      </c>
      <c r="AF221" s="192">
        <f t="shared" si="138"/>
        <v>0</v>
      </c>
      <c r="AG221" s="192">
        <f t="shared" si="148"/>
        <v>0.21036350024149333</v>
      </c>
      <c r="AH221" s="192">
        <f t="shared" si="139"/>
        <v>0</v>
      </c>
      <c r="AI221" s="168">
        <f t="shared" si="140"/>
        <v>1.9649540060504291E-10</v>
      </c>
      <c r="AJ221" s="192">
        <f t="shared" si="141"/>
        <v>6.4780802937776385E-11</v>
      </c>
      <c r="AK221" s="132">
        <f t="shared" si="142"/>
        <v>32.036964650168933</v>
      </c>
      <c r="AL221" s="192">
        <f t="shared" si="143"/>
        <v>0.46266314211133819</v>
      </c>
      <c r="AM221" s="192">
        <f t="shared" si="149"/>
        <v>0</v>
      </c>
      <c r="AN221" s="192">
        <f t="shared" si="144"/>
        <v>0</v>
      </c>
      <c r="AO221" s="192">
        <f t="shared" si="150"/>
        <v>0</v>
      </c>
      <c r="AS221" s="132"/>
      <c r="AT221" s="132"/>
      <c r="AU221" s="200"/>
      <c r="AV221" s="132"/>
      <c r="AW221" s="132"/>
      <c r="AX221" s="132"/>
      <c r="AY221" s="132"/>
      <c r="AZ221" s="132"/>
      <c r="BA221" s="167"/>
      <c r="BB221" s="167"/>
      <c r="BD221" s="211">
        <f t="shared" si="145"/>
        <v>42626</v>
      </c>
      <c r="BE221" s="210">
        <v>1</v>
      </c>
      <c r="BF221" s="209">
        <v>0.5</v>
      </c>
      <c r="BG221" s="209">
        <v>2</v>
      </c>
      <c r="BH221" s="210"/>
      <c r="BI221" s="209"/>
      <c r="BJ221" s="209"/>
      <c r="BK221" s="168">
        <f t="shared" si="146"/>
        <v>0</v>
      </c>
      <c r="BL221" s="168">
        <f t="shared" si="147"/>
        <v>0</v>
      </c>
    </row>
    <row r="222" spans="1:64" ht="13.5" thickBot="1" x14ac:dyDescent="0.25">
      <c r="A222" s="215">
        <f t="shared" si="114"/>
        <v>42627</v>
      </c>
      <c r="B222" s="190"/>
      <c r="C222" s="168"/>
      <c r="D222" s="198"/>
      <c r="E222" s="132">
        <f t="shared" si="115"/>
        <v>294.1589089219633</v>
      </c>
      <c r="F222" s="168">
        <f t="shared" si="116"/>
        <v>294.15890889054072</v>
      </c>
      <c r="G222" s="300"/>
      <c r="H222" s="127">
        <f>VLOOKUP(MONTH(A222),ETP_Parametros!$A$6:$D$17,4,FALSE)</f>
        <v>3.5666666666666669</v>
      </c>
      <c r="I222" s="230">
        <f>VLOOKUP(A222,P_Q_obs!$A$4:$F$308,6,FALSE)*1</f>
        <v>0</v>
      </c>
      <c r="J222" s="230">
        <f t="shared" si="117"/>
        <v>0</v>
      </c>
      <c r="K222" s="230">
        <f t="shared" si="118"/>
        <v>0</v>
      </c>
      <c r="L222" s="230">
        <f t="shared" si="119"/>
        <v>0</v>
      </c>
      <c r="M222" s="230">
        <f t="shared" si="120"/>
        <v>0</v>
      </c>
      <c r="N222" s="230">
        <f t="shared" si="121"/>
        <v>0</v>
      </c>
      <c r="O222" s="230">
        <f t="shared" si="122"/>
        <v>0</v>
      </c>
      <c r="P222" s="230">
        <f t="shared" si="123"/>
        <v>0</v>
      </c>
      <c r="Q222" s="230">
        <f t="shared" si="124"/>
        <v>0</v>
      </c>
      <c r="R222" s="230">
        <f t="shared" si="125"/>
        <v>0</v>
      </c>
      <c r="S222" s="230">
        <f t="shared" si="126"/>
        <v>0</v>
      </c>
      <c r="T222" s="230">
        <f t="shared" si="127"/>
        <v>0</v>
      </c>
      <c r="U222" s="230">
        <f t="shared" si="128"/>
        <v>0</v>
      </c>
      <c r="V222" s="230">
        <f t="shared" si="129"/>
        <v>0</v>
      </c>
      <c r="W222" s="230">
        <f t="shared" si="130"/>
        <v>0</v>
      </c>
      <c r="X222" s="230">
        <f t="shared" si="131"/>
        <v>0</v>
      </c>
      <c r="Y222" s="230">
        <f t="shared" si="132"/>
        <v>0</v>
      </c>
      <c r="Z222" s="292">
        <f t="shared" si="133"/>
        <v>0</v>
      </c>
      <c r="AA222" s="300"/>
      <c r="AB222" s="191">
        <f t="shared" si="134"/>
        <v>0</v>
      </c>
      <c r="AC222" s="139">
        <f t="shared" si="135"/>
        <v>0</v>
      </c>
      <c r="AD222" s="132">
        <f t="shared" si="136"/>
        <v>4.8316733373727443</v>
      </c>
      <c r="AE222" s="168">
        <f t="shared" si="137"/>
        <v>6.4515692900228142E-2</v>
      </c>
      <c r="AF222" s="192">
        <f t="shared" si="138"/>
        <v>0</v>
      </c>
      <c r="AG222" s="192">
        <f t="shared" si="148"/>
        <v>0.20192468885615533</v>
      </c>
      <c r="AH222" s="192">
        <f t="shared" si="139"/>
        <v>0</v>
      </c>
      <c r="AI222" s="168">
        <f t="shared" si="140"/>
        <v>1.4777634524457801E-10</v>
      </c>
      <c r="AJ222" s="192">
        <f t="shared" si="141"/>
        <v>4.8719055360464907E-11</v>
      </c>
      <c r="AK222" s="132">
        <f t="shared" si="142"/>
        <v>31.580887958352857</v>
      </c>
      <c r="AL222" s="192">
        <f t="shared" si="143"/>
        <v>0.45607669181607718</v>
      </c>
      <c r="AM222" s="192">
        <f t="shared" si="149"/>
        <v>0</v>
      </c>
      <c r="AN222" s="192">
        <f t="shared" si="144"/>
        <v>0</v>
      </c>
      <c r="AO222" s="192">
        <f t="shared" si="150"/>
        <v>0</v>
      </c>
      <c r="AS222" s="132"/>
      <c r="AT222" s="132"/>
      <c r="AU222" s="200"/>
      <c r="AV222" s="132"/>
      <c r="AW222" s="132"/>
      <c r="AX222" s="132"/>
      <c r="AY222" s="132"/>
      <c r="AZ222" s="132"/>
      <c r="BA222" s="167"/>
      <c r="BB222" s="167"/>
      <c r="BD222" s="211">
        <f t="shared" si="145"/>
        <v>42627</v>
      </c>
      <c r="BE222" s="210">
        <v>1</v>
      </c>
      <c r="BF222" s="209">
        <v>0.5</v>
      </c>
      <c r="BG222" s="209">
        <v>2</v>
      </c>
      <c r="BH222" s="210"/>
      <c r="BI222" s="209"/>
      <c r="BJ222" s="209"/>
      <c r="BK222" s="168">
        <f t="shared" si="146"/>
        <v>0</v>
      </c>
      <c r="BL222" s="168">
        <f t="shared" si="147"/>
        <v>0</v>
      </c>
    </row>
    <row r="223" spans="1:64" ht="13.5" thickBot="1" x14ac:dyDescent="0.25">
      <c r="A223" s="215">
        <f t="shared" si="114"/>
        <v>42628</v>
      </c>
      <c r="B223" s="190"/>
      <c r="C223" s="168"/>
      <c r="D223" s="198"/>
      <c r="E223" s="132">
        <f t="shared" si="115"/>
        <v>289.97127679920806</v>
      </c>
      <c r="F223" s="168">
        <f t="shared" si="116"/>
        <v>289.97127677557637</v>
      </c>
      <c r="G223" s="300"/>
      <c r="H223" s="127">
        <f>VLOOKUP(MONTH(A223),ETP_Parametros!$A$6:$D$17,4,FALSE)</f>
        <v>3.5666666666666669</v>
      </c>
      <c r="I223" s="230">
        <f>VLOOKUP(A223,P_Q_obs!$A$4:$F$308,6,FALSE)*1</f>
        <v>0</v>
      </c>
      <c r="J223" s="230">
        <f t="shared" si="117"/>
        <v>0</v>
      </c>
      <c r="K223" s="230">
        <f t="shared" si="118"/>
        <v>0</v>
      </c>
      <c r="L223" s="230">
        <f t="shared" si="119"/>
        <v>0</v>
      </c>
      <c r="M223" s="230">
        <f t="shared" si="120"/>
        <v>0</v>
      </c>
      <c r="N223" s="230">
        <f t="shared" si="121"/>
        <v>0</v>
      </c>
      <c r="O223" s="230">
        <f t="shared" si="122"/>
        <v>0</v>
      </c>
      <c r="P223" s="230">
        <f t="shared" si="123"/>
        <v>0</v>
      </c>
      <c r="Q223" s="230">
        <f t="shared" si="124"/>
        <v>0</v>
      </c>
      <c r="R223" s="230">
        <f t="shared" si="125"/>
        <v>0</v>
      </c>
      <c r="S223" s="230">
        <f t="shared" si="126"/>
        <v>0</v>
      </c>
      <c r="T223" s="230">
        <f t="shared" si="127"/>
        <v>0</v>
      </c>
      <c r="U223" s="230">
        <f t="shared" si="128"/>
        <v>0</v>
      </c>
      <c r="V223" s="230">
        <f t="shared" si="129"/>
        <v>0</v>
      </c>
      <c r="W223" s="230">
        <f t="shared" si="130"/>
        <v>0</v>
      </c>
      <c r="X223" s="230">
        <f t="shared" si="131"/>
        <v>0</v>
      </c>
      <c r="Y223" s="230">
        <f t="shared" si="132"/>
        <v>0</v>
      </c>
      <c r="Z223" s="292">
        <f t="shared" si="133"/>
        <v>0</v>
      </c>
      <c r="AA223" s="300"/>
      <c r="AB223" s="191">
        <f t="shared" si="134"/>
        <v>0</v>
      </c>
      <c r="AC223" s="139">
        <f t="shared" si="135"/>
        <v>0</v>
      </c>
      <c r="AD223" s="132">
        <f t="shared" si="136"/>
        <v>4.6378489337910969</v>
      </c>
      <c r="AE223" s="168">
        <f t="shared" si="137"/>
        <v>6.1927621475506588E-2</v>
      </c>
      <c r="AF223" s="192">
        <f t="shared" si="138"/>
        <v>0</v>
      </c>
      <c r="AG223" s="192">
        <f t="shared" si="148"/>
        <v>0.19382440358164721</v>
      </c>
      <c r="AH223" s="192">
        <f t="shared" si="139"/>
        <v>0</v>
      </c>
      <c r="AI223" s="168">
        <f t="shared" si="140"/>
        <v>1.1113668893318747E-10</v>
      </c>
      <c r="AJ223" s="192">
        <f t="shared" si="141"/>
        <v>3.663965631139053E-11</v>
      </c>
      <c r="AK223" s="132">
        <f t="shared" si="142"/>
        <v>31.131303952441616</v>
      </c>
      <c r="AL223" s="192">
        <f t="shared" si="143"/>
        <v>0.4495840059112407</v>
      </c>
      <c r="AM223" s="192">
        <f t="shared" si="149"/>
        <v>0</v>
      </c>
      <c r="AN223" s="192">
        <f t="shared" si="144"/>
        <v>0</v>
      </c>
      <c r="AO223" s="192">
        <f t="shared" si="150"/>
        <v>0</v>
      </c>
      <c r="AS223" s="132"/>
      <c r="AT223" s="132"/>
      <c r="AU223" s="200"/>
      <c r="AV223" s="132"/>
      <c r="AW223" s="132"/>
      <c r="AX223" s="132"/>
      <c r="AY223" s="132"/>
      <c r="AZ223" s="132"/>
      <c r="BA223" s="167"/>
      <c r="BB223" s="167"/>
      <c r="BD223" s="211">
        <f t="shared" si="145"/>
        <v>42628</v>
      </c>
      <c r="BE223" s="210">
        <v>1</v>
      </c>
      <c r="BF223" s="209">
        <v>0.5</v>
      </c>
      <c r="BG223" s="209">
        <v>2</v>
      </c>
      <c r="BH223" s="210"/>
      <c r="BI223" s="209"/>
      <c r="BJ223" s="209"/>
      <c r="BK223" s="168">
        <f t="shared" si="146"/>
        <v>0</v>
      </c>
      <c r="BL223" s="168">
        <f t="shared" si="147"/>
        <v>0</v>
      </c>
    </row>
    <row r="224" spans="1:64" ht="13.5" thickBot="1" x14ac:dyDescent="0.25">
      <c r="A224" s="215">
        <f t="shared" si="114"/>
        <v>42629</v>
      </c>
      <c r="B224" s="190"/>
      <c r="C224" s="168"/>
      <c r="D224" s="198"/>
      <c r="E224" s="132">
        <f t="shared" si="115"/>
        <v>285.84325960827533</v>
      </c>
      <c r="F224" s="168">
        <f t="shared" si="116"/>
        <v>285.8432595905029</v>
      </c>
      <c r="G224" s="300"/>
      <c r="H224" s="127">
        <f>VLOOKUP(MONTH(A224),ETP_Parametros!$A$6:$D$17,4,FALSE)</f>
        <v>3.5666666666666669</v>
      </c>
      <c r="I224" s="230">
        <f>VLOOKUP(A224,P_Q_obs!$A$4:$F$308,6,FALSE)*1</f>
        <v>0</v>
      </c>
      <c r="J224" s="230">
        <f t="shared" si="117"/>
        <v>0</v>
      </c>
      <c r="K224" s="230">
        <f t="shared" si="118"/>
        <v>0</v>
      </c>
      <c r="L224" s="230">
        <f t="shared" si="119"/>
        <v>0</v>
      </c>
      <c r="M224" s="230">
        <f t="shared" si="120"/>
        <v>0</v>
      </c>
      <c r="N224" s="230">
        <f t="shared" si="121"/>
        <v>0</v>
      </c>
      <c r="O224" s="230">
        <f t="shared" si="122"/>
        <v>0</v>
      </c>
      <c r="P224" s="230">
        <f t="shared" si="123"/>
        <v>0</v>
      </c>
      <c r="Q224" s="230">
        <f t="shared" si="124"/>
        <v>0</v>
      </c>
      <c r="R224" s="230">
        <f t="shared" si="125"/>
        <v>0</v>
      </c>
      <c r="S224" s="230">
        <f t="shared" si="126"/>
        <v>0</v>
      </c>
      <c r="T224" s="230">
        <f t="shared" si="127"/>
        <v>0</v>
      </c>
      <c r="U224" s="230">
        <f t="shared" si="128"/>
        <v>0</v>
      </c>
      <c r="V224" s="230">
        <f t="shared" si="129"/>
        <v>0</v>
      </c>
      <c r="W224" s="230">
        <f t="shared" si="130"/>
        <v>0</v>
      </c>
      <c r="X224" s="230">
        <f t="shared" si="131"/>
        <v>0</v>
      </c>
      <c r="Y224" s="230">
        <f t="shared" si="132"/>
        <v>0</v>
      </c>
      <c r="Z224" s="292">
        <f t="shared" si="133"/>
        <v>0</v>
      </c>
      <c r="AA224" s="300"/>
      <c r="AB224" s="191">
        <f t="shared" si="134"/>
        <v>0</v>
      </c>
      <c r="AC224" s="139">
        <f t="shared" si="135"/>
        <v>0</v>
      </c>
      <c r="AD224" s="132">
        <f t="shared" si="136"/>
        <v>4.4517998694761163</v>
      </c>
      <c r="AE224" s="168">
        <f t="shared" si="137"/>
        <v>5.9443371514964587E-2</v>
      </c>
      <c r="AF224" s="192">
        <f t="shared" si="138"/>
        <v>0</v>
      </c>
      <c r="AG224" s="192">
        <f t="shared" si="148"/>
        <v>0.18604906431498042</v>
      </c>
      <c r="AH224" s="192">
        <f t="shared" si="139"/>
        <v>0</v>
      </c>
      <c r="AI224" s="168">
        <f t="shared" si="140"/>
        <v>8.3581466347607159E-11</v>
      </c>
      <c r="AJ224" s="192">
        <f t="shared" si="141"/>
        <v>2.7555222585580305E-11</v>
      </c>
      <c r="AK224" s="132">
        <f t="shared" si="142"/>
        <v>30.688120202870152</v>
      </c>
      <c r="AL224" s="192">
        <f t="shared" si="143"/>
        <v>0.44318374957146484</v>
      </c>
      <c r="AM224" s="192">
        <f t="shared" si="149"/>
        <v>0</v>
      </c>
      <c r="AN224" s="192">
        <f t="shared" si="144"/>
        <v>0</v>
      </c>
      <c r="AO224" s="192">
        <f t="shared" si="150"/>
        <v>0</v>
      </c>
      <c r="AS224" s="132"/>
      <c r="AT224" s="132"/>
      <c r="AU224" s="200"/>
      <c r="AV224" s="132"/>
      <c r="AW224" s="132"/>
      <c r="AX224" s="132"/>
      <c r="AY224" s="132"/>
      <c r="AZ224" s="132"/>
      <c r="BA224" s="167"/>
      <c r="BB224" s="167"/>
      <c r="BD224" s="211">
        <f t="shared" si="145"/>
        <v>42629</v>
      </c>
      <c r="BE224" s="210">
        <v>1</v>
      </c>
      <c r="BF224" s="209">
        <v>0.5</v>
      </c>
      <c r="BG224" s="209">
        <v>2</v>
      </c>
      <c r="BH224" s="210"/>
      <c r="BI224" s="209"/>
      <c r="BJ224" s="209"/>
      <c r="BK224" s="168">
        <f t="shared" si="146"/>
        <v>0</v>
      </c>
      <c r="BL224" s="168">
        <f t="shared" si="147"/>
        <v>0</v>
      </c>
    </row>
    <row r="225" spans="1:64" ht="13.5" thickBot="1" x14ac:dyDescent="0.25">
      <c r="A225" s="215">
        <f t="shared" si="114"/>
        <v>42630</v>
      </c>
      <c r="B225" s="190"/>
      <c r="C225" s="168"/>
      <c r="D225" s="198"/>
      <c r="E225" s="132">
        <f t="shared" si="115"/>
        <v>281.7740086734043</v>
      </c>
      <c r="F225" s="168">
        <f t="shared" si="116"/>
        <v>281.77400866003831</v>
      </c>
      <c r="G225" s="300"/>
      <c r="H225" s="127">
        <f>VLOOKUP(MONTH(A225),ETP_Parametros!$A$6:$D$17,4,FALSE)</f>
        <v>3.5666666666666669</v>
      </c>
      <c r="I225" s="230">
        <f>VLOOKUP(A225,P_Q_obs!$A$4:$F$308,6,FALSE)*1</f>
        <v>0</v>
      </c>
      <c r="J225" s="230">
        <f t="shared" si="117"/>
        <v>0</v>
      </c>
      <c r="K225" s="230">
        <f t="shared" si="118"/>
        <v>0</v>
      </c>
      <c r="L225" s="230">
        <f t="shared" si="119"/>
        <v>0</v>
      </c>
      <c r="M225" s="230">
        <f t="shared" si="120"/>
        <v>0</v>
      </c>
      <c r="N225" s="230">
        <f t="shared" si="121"/>
        <v>0</v>
      </c>
      <c r="O225" s="230">
        <f t="shared" si="122"/>
        <v>0</v>
      </c>
      <c r="P225" s="230">
        <f t="shared" si="123"/>
        <v>0</v>
      </c>
      <c r="Q225" s="230">
        <f t="shared" si="124"/>
        <v>0</v>
      </c>
      <c r="R225" s="230">
        <f t="shared" si="125"/>
        <v>0</v>
      </c>
      <c r="S225" s="230">
        <f t="shared" si="126"/>
        <v>0</v>
      </c>
      <c r="T225" s="230">
        <f t="shared" si="127"/>
        <v>0</v>
      </c>
      <c r="U225" s="230">
        <f t="shared" si="128"/>
        <v>0</v>
      </c>
      <c r="V225" s="230">
        <f t="shared" si="129"/>
        <v>0</v>
      </c>
      <c r="W225" s="230">
        <f t="shared" si="130"/>
        <v>0</v>
      </c>
      <c r="X225" s="230">
        <f t="shared" si="131"/>
        <v>0</v>
      </c>
      <c r="Y225" s="230">
        <f t="shared" si="132"/>
        <v>0</v>
      </c>
      <c r="Z225" s="292">
        <f t="shared" si="133"/>
        <v>0</v>
      </c>
      <c r="AA225" s="300"/>
      <c r="AB225" s="191">
        <f t="shared" si="134"/>
        <v>0</v>
      </c>
      <c r="AC225" s="139">
        <f t="shared" si="135"/>
        <v>0</v>
      </c>
      <c r="AD225" s="132">
        <f t="shared" si="136"/>
        <v>4.2732142337519816</v>
      </c>
      <c r="AE225" s="168">
        <f t="shared" si="137"/>
        <v>5.7058778181294553E-2</v>
      </c>
      <c r="AF225" s="192">
        <f t="shared" si="138"/>
        <v>0</v>
      </c>
      <c r="AG225" s="192">
        <f t="shared" si="148"/>
        <v>0.17858563572413472</v>
      </c>
      <c r="AH225" s="192">
        <f t="shared" si="139"/>
        <v>0</v>
      </c>
      <c r="AI225" s="168">
        <f t="shared" si="140"/>
        <v>6.2858283649388816E-11</v>
      </c>
      <c r="AJ225" s="192">
        <f t="shared" si="141"/>
        <v>2.0723182698218346E-11</v>
      </c>
      <c r="AK225" s="132">
        <f t="shared" si="142"/>
        <v>30.251245595896258</v>
      </c>
      <c r="AL225" s="192">
        <f t="shared" si="143"/>
        <v>0.43687460697389568</v>
      </c>
      <c r="AM225" s="192">
        <f t="shared" si="149"/>
        <v>0</v>
      </c>
      <c r="AN225" s="192">
        <f t="shared" si="144"/>
        <v>0</v>
      </c>
      <c r="AO225" s="192">
        <f t="shared" si="150"/>
        <v>0</v>
      </c>
      <c r="AS225" s="132"/>
      <c r="AT225" s="132"/>
      <c r="AU225" s="200"/>
      <c r="AV225" s="132"/>
      <c r="AW225" s="132"/>
      <c r="AX225" s="132"/>
      <c r="AY225" s="132"/>
      <c r="AZ225" s="132"/>
      <c r="BA225" s="167"/>
      <c r="BB225" s="167"/>
      <c r="BD225" s="211">
        <f t="shared" si="145"/>
        <v>42630</v>
      </c>
      <c r="BE225" s="210">
        <v>1</v>
      </c>
      <c r="BF225" s="209">
        <v>0.5</v>
      </c>
      <c r="BG225" s="209">
        <v>2</v>
      </c>
      <c r="BH225" s="210"/>
      <c r="BI225" s="209"/>
      <c r="BJ225" s="209"/>
      <c r="BK225" s="168">
        <f t="shared" si="146"/>
        <v>0</v>
      </c>
      <c r="BL225" s="168">
        <f t="shared" si="147"/>
        <v>0</v>
      </c>
    </row>
    <row r="226" spans="1:64" ht="13.5" thickBot="1" x14ac:dyDescent="0.25">
      <c r="A226" s="215">
        <f t="shared" si="114"/>
        <v>42631</v>
      </c>
      <c r="B226" s="190"/>
      <c r="C226" s="168"/>
      <c r="D226" s="198"/>
      <c r="E226" s="132">
        <f t="shared" si="115"/>
        <v>277.76268740065331</v>
      </c>
      <c r="F226" s="168">
        <f t="shared" si="116"/>
        <v>277.76268739060129</v>
      </c>
      <c r="G226" s="300"/>
      <c r="H226" s="127">
        <f>VLOOKUP(MONTH(A226),ETP_Parametros!$A$6:$D$17,4,FALSE)</f>
        <v>3.5666666666666669</v>
      </c>
      <c r="I226" s="230">
        <f>VLOOKUP(A226,P_Q_obs!$A$4:$F$308,6,FALSE)*1</f>
        <v>0</v>
      </c>
      <c r="J226" s="230">
        <f t="shared" si="117"/>
        <v>0</v>
      </c>
      <c r="K226" s="230">
        <f t="shared" si="118"/>
        <v>0</v>
      </c>
      <c r="L226" s="230">
        <f t="shared" si="119"/>
        <v>0</v>
      </c>
      <c r="M226" s="230">
        <f t="shared" si="120"/>
        <v>0</v>
      </c>
      <c r="N226" s="230">
        <f t="shared" si="121"/>
        <v>0</v>
      </c>
      <c r="O226" s="230">
        <f t="shared" si="122"/>
        <v>0</v>
      </c>
      <c r="P226" s="230">
        <f t="shared" si="123"/>
        <v>0</v>
      </c>
      <c r="Q226" s="230">
        <f t="shared" si="124"/>
        <v>0</v>
      </c>
      <c r="R226" s="230">
        <f t="shared" si="125"/>
        <v>0</v>
      </c>
      <c r="S226" s="230">
        <f t="shared" si="126"/>
        <v>0</v>
      </c>
      <c r="T226" s="230">
        <f t="shared" si="127"/>
        <v>0</v>
      </c>
      <c r="U226" s="230">
        <f t="shared" si="128"/>
        <v>0</v>
      </c>
      <c r="V226" s="230">
        <f t="shared" si="129"/>
        <v>0</v>
      </c>
      <c r="W226" s="230">
        <f t="shared" si="130"/>
        <v>0</v>
      </c>
      <c r="X226" s="230">
        <f t="shared" si="131"/>
        <v>0</v>
      </c>
      <c r="Y226" s="230">
        <f t="shared" si="132"/>
        <v>0</v>
      </c>
      <c r="Z226" s="292">
        <f t="shared" si="133"/>
        <v>0</v>
      </c>
      <c r="AA226" s="300"/>
      <c r="AB226" s="191">
        <f t="shared" si="134"/>
        <v>0</v>
      </c>
      <c r="AC226" s="139">
        <f t="shared" si="135"/>
        <v>0</v>
      </c>
      <c r="AD226" s="132">
        <f t="shared" si="136"/>
        <v>4.1017926283576172</v>
      </c>
      <c r="AE226" s="168">
        <f t="shared" si="137"/>
        <v>5.47698437112129E-2</v>
      </c>
      <c r="AF226" s="192">
        <f t="shared" si="138"/>
        <v>0</v>
      </c>
      <c r="AG226" s="192">
        <f t="shared" si="148"/>
        <v>0.17142160539436463</v>
      </c>
      <c r="AH226" s="192">
        <f t="shared" si="139"/>
        <v>0</v>
      </c>
      <c r="AI226" s="168">
        <f t="shared" si="140"/>
        <v>4.7273205364865417E-11</v>
      </c>
      <c r="AJ226" s="192">
        <f t="shared" si="141"/>
        <v>1.5585078284523396E-11</v>
      </c>
      <c r="AK226" s="132">
        <f t="shared" si="142"/>
        <v>29.820590314868589</v>
      </c>
      <c r="AL226" s="192">
        <f t="shared" si="143"/>
        <v>0.43065528102767026</v>
      </c>
      <c r="AM226" s="192">
        <f t="shared" si="149"/>
        <v>0</v>
      </c>
      <c r="AN226" s="192">
        <f t="shared" si="144"/>
        <v>0</v>
      </c>
      <c r="AO226" s="192">
        <f t="shared" si="150"/>
        <v>0</v>
      </c>
      <c r="AS226" s="132"/>
      <c r="AT226" s="132"/>
      <c r="AU226" s="200"/>
      <c r="AV226" s="132"/>
      <c r="AW226" s="132"/>
      <c r="AX226" s="132"/>
      <c r="AY226" s="132"/>
      <c r="AZ226" s="132"/>
      <c r="BA226" s="167"/>
      <c r="BB226" s="167"/>
      <c r="BD226" s="211">
        <f t="shared" si="145"/>
        <v>42631</v>
      </c>
      <c r="BE226" s="210">
        <v>1</v>
      </c>
      <c r="BF226" s="209">
        <v>0.5</v>
      </c>
      <c r="BG226" s="209">
        <v>2</v>
      </c>
      <c r="BH226" s="210"/>
      <c r="BI226" s="209"/>
      <c r="BJ226" s="209"/>
      <c r="BK226" s="168">
        <f t="shared" si="146"/>
        <v>0</v>
      </c>
      <c r="BL226" s="168">
        <f t="shared" si="147"/>
        <v>0</v>
      </c>
    </row>
    <row r="227" spans="1:64" ht="13.5" thickBot="1" x14ac:dyDescent="0.25">
      <c r="A227" s="215">
        <f t="shared" si="114"/>
        <v>42632</v>
      </c>
      <c r="B227" s="190"/>
      <c r="C227" s="168"/>
      <c r="D227" s="198"/>
      <c r="E227" s="132">
        <f t="shared" si="115"/>
        <v>273.80847110587627</v>
      </c>
      <c r="F227" s="168">
        <f t="shared" si="116"/>
        <v>273.80847109831655</v>
      </c>
      <c r="G227" s="300"/>
      <c r="H227" s="127">
        <f>VLOOKUP(MONTH(A227),ETP_Parametros!$A$6:$D$17,4,FALSE)</f>
        <v>3.5666666666666669</v>
      </c>
      <c r="I227" s="230">
        <f>VLOOKUP(A227,P_Q_obs!$A$4:$F$308,6,FALSE)*1</f>
        <v>0</v>
      </c>
      <c r="J227" s="230">
        <f t="shared" si="117"/>
        <v>0</v>
      </c>
      <c r="K227" s="230">
        <f t="shared" si="118"/>
        <v>0</v>
      </c>
      <c r="L227" s="230">
        <f t="shared" si="119"/>
        <v>0</v>
      </c>
      <c r="M227" s="230">
        <f t="shared" si="120"/>
        <v>0</v>
      </c>
      <c r="N227" s="230">
        <f t="shared" si="121"/>
        <v>0</v>
      </c>
      <c r="O227" s="230">
        <f t="shared" si="122"/>
        <v>0</v>
      </c>
      <c r="P227" s="230">
        <f t="shared" si="123"/>
        <v>0</v>
      </c>
      <c r="Q227" s="230">
        <f t="shared" si="124"/>
        <v>0</v>
      </c>
      <c r="R227" s="230">
        <f t="shared" si="125"/>
        <v>0</v>
      </c>
      <c r="S227" s="230">
        <f t="shared" si="126"/>
        <v>0</v>
      </c>
      <c r="T227" s="230">
        <f t="shared" si="127"/>
        <v>0</v>
      </c>
      <c r="U227" s="230">
        <f t="shared" si="128"/>
        <v>0</v>
      </c>
      <c r="V227" s="230">
        <f t="shared" si="129"/>
        <v>0</v>
      </c>
      <c r="W227" s="230">
        <f t="shared" si="130"/>
        <v>0</v>
      </c>
      <c r="X227" s="230">
        <f t="shared" si="131"/>
        <v>0</v>
      </c>
      <c r="Y227" s="230">
        <f t="shared" si="132"/>
        <v>0</v>
      </c>
      <c r="Z227" s="292">
        <f t="shared" si="133"/>
        <v>0</v>
      </c>
      <c r="AA227" s="300"/>
      <c r="AB227" s="191">
        <f t="shared" si="134"/>
        <v>0</v>
      </c>
      <c r="AC227" s="139">
        <f t="shared" si="135"/>
        <v>0</v>
      </c>
      <c r="AD227" s="132">
        <f t="shared" si="136"/>
        <v>3.9372476655064417</v>
      </c>
      <c r="AE227" s="168">
        <f t="shared" si="137"/>
        <v>5.2572730713222389E-2</v>
      </c>
      <c r="AF227" s="192">
        <f t="shared" si="138"/>
        <v>0</v>
      </c>
      <c r="AG227" s="192">
        <f t="shared" si="148"/>
        <v>0.16454496285117529</v>
      </c>
      <c r="AH227" s="192">
        <f t="shared" si="139"/>
        <v>0</v>
      </c>
      <c r="AI227" s="168">
        <f t="shared" si="140"/>
        <v>3.5552290258731387E-11</v>
      </c>
      <c r="AJ227" s="192">
        <f t="shared" si="141"/>
        <v>1.1720915106134028E-11</v>
      </c>
      <c r="AK227" s="132">
        <f t="shared" si="142"/>
        <v>29.39606582176134</v>
      </c>
      <c r="AL227" s="192">
        <f t="shared" si="143"/>
        <v>0.42452449310724888</v>
      </c>
      <c r="AM227" s="192">
        <f t="shared" si="149"/>
        <v>0</v>
      </c>
      <c r="AN227" s="192">
        <f t="shared" si="144"/>
        <v>0</v>
      </c>
      <c r="AO227" s="192">
        <f t="shared" si="150"/>
        <v>0</v>
      </c>
      <c r="AS227" s="132"/>
      <c r="AT227" s="132"/>
      <c r="AU227" s="200"/>
      <c r="AV227" s="132"/>
      <c r="AW227" s="132"/>
      <c r="AX227" s="132"/>
      <c r="AY227" s="132"/>
      <c r="AZ227" s="132"/>
      <c r="BA227" s="167"/>
      <c r="BB227" s="167"/>
      <c r="BD227" s="211">
        <f t="shared" si="145"/>
        <v>42632</v>
      </c>
      <c r="BE227" s="210">
        <v>1</v>
      </c>
      <c r="BF227" s="209">
        <v>0.5</v>
      </c>
      <c r="BG227" s="209">
        <v>2</v>
      </c>
      <c r="BH227" s="210"/>
      <c r="BI227" s="209"/>
      <c r="BJ227" s="209"/>
      <c r="BK227" s="168">
        <f t="shared" si="146"/>
        <v>0</v>
      </c>
      <c r="BL227" s="168">
        <f t="shared" si="147"/>
        <v>0</v>
      </c>
    </row>
    <row r="228" spans="1:64" ht="13.5" thickBot="1" x14ac:dyDescent="0.25">
      <c r="A228" s="215">
        <f t="shared" si="114"/>
        <v>42633</v>
      </c>
      <c r="B228" s="190"/>
      <c r="C228" s="168"/>
      <c r="D228" s="198"/>
      <c r="E228" s="132">
        <f t="shared" si="115"/>
        <v>269.91054684515433</v>
      </c>
      <c r="F228" s="168">
        <f t="shared" si="116"/>
        <v>269.91054683946891</v>
      </c>
      <c r="G228" s="300"/>
      <c r="H228" s="127">
        <f>VLOOKUP(MONTH(A228),ETP_Parametros!$A$6:$D$17,4,FALSE)</f>
        <v>3.5666666666666669</v>
      </c>
      <c r="I228" s="230">
        <f>VLOOKUP(A228,P_Q_obs!$A$4:$F$308,6,FALSE)*1</f>
        <v>0</v>
      </c>
      <c r="J228" s="230">
        <f t="shared" si="117"/>
        <v>0</v>
      </c>
      <c r="K228" s="230">
        <f t="shared" si="118"/>
        <v>0</v>
      </c>
      <c r="L228" s="230">
        <f t="shared" si="119"/>
        <v>0</v>
      </c>
      <c r="M228" s="230">
        <f t="shared" si="120"/>
        <v>0</v>
      </c>
      <c r="N228" s="230">
        <f t="shared" si="121"/>
        <v>0</v>
      </c>
      <c r="O228" s="230">
        <f t="shared" si="122"/>
        <v>0</v>
      </c>
      <c r="P228" s="230">
        <f t="shared" si="123"/>
        <v>0</v>
      </c>
      <c r="Q228" s="230">
        <f t="shared" si="124"/>
        <v>0</v>
      </c>
      <c r="R228" s="230">
        <f t="shared" si="125"/>
        <v>0</v>
      </c>
      <c r="S228" s="230">
        <f t="shared" si="126"/>
        <v>0</v>
      </c>
      <c r="T228" s="230">
        <f t="shared" si="127"/>
        <v>0</v>
      </c>
      <c r="U228" s="230">
        <f t="shared" si="128"/>
        <v>0</v>
      </c>
      <c r="V228" s="230">
        <f t="shared" si="129"/>
        <v>0</v>
      </c>
      <c r="W228" s="230">
        <f t="shared" si="130"/>
        <v>0</v>
      </c>
      <c r="X228" s="230">
        <f t="shared" si="131"/>
        <v>0</v>
      </c>
      <c r="Y228" s="230">
        <f t="shared" si="132"/>
        <v>0</v>
      </c>
      <c r="Z228" s="292">
        <f t="shared" si="133"/>
        <v>0</v>
      </c>
      <c r="AA228" s="300"/>
      <c r="AB228" s="191">
        <f t="shared" si="134"/>
        <v>0</v>
      </c>
      <c r="AC228" s="139">
        <f t="shared" si="135"/>
        <v>0</v>
      </c>
      <c r="AD228" s="132">
        <f t="shared" si="136"/>
        <v>3.7793034860816426</v>
      </c>
      <c r="AE228" s="168">
        <f t="shared" si="137"/>
        <v>5.0463755734237219E-2</v>
      </c>
      <c r="AF228" s="192">
        <f t="shared" si="138"/>
        <v>0</v>
      </c>
      <c r="AG228" s="192">
        <f t="shared" si="148"/>
        <v>0.15794417942479916</v>
      </c>
      <c r="AH228" s="192">
        <f t="shared" si="139"/>
        <v>0</v>
      </c>
      <c r="AI228" s="168">
        <f t="shared" si="140"/>
        <v>2.6737457993074788E-11</v>
      </c>
      <c r="AJ228" s="192">
        <f t="shared" si="141"/>
        <v>8.8148322656566008E-12</v>
      </c>
      <c r="AK228" s="132">
        <f t="shared" si="142"/>
        <v>28.977584838971797</v>
      </c>
      <c r="AL228" s="192">
        <f t="shared" si="143"/>
        <v>0.41848098278954377</v>
      </c>
      <c r="AM228" s="192">
        <f t="shared" si="149"/>
        <v>0</v>
      </c>
      <c r="AN228" s="192">
        <f t="shared" si="144"/>
        <v>0</v>
      </c>
      <c r="AO228" s="192">
        <f t="shared" si="150"/>
        <v>0</v>
      </c>
      <c r="AS228" s="132"/>
      <c r="AT228" s="132"/>
      <c r="AU228" s="200"/>
      <c r="AV228" s="132"/>
      <c r="AW228" s="132"/>
      <c r="AX228" s="132"/>
      <c r="AY228" s="132"/>
      <c r="AZ228" s="132"/>
      <c r="BA228" s="167"/>
      <c r="BB228" s="167"/>
      <c r="BD228" s="211">
        <f t="shared" si="145"/>
        <v>42633</v>
      </c>
      <c r="BE228" s="210">
        <v>1</v>
      </c>
      <c r="BF228" s="209">
        <v>0.5</v>
      </c>
      <c r="BG228" s="209">
        <v>2</v>
      </c>
      <c r="BH228" s="210"/>
      <c r="BI228" s="209"/>
      <c r="BJ228" s="209"/>
      <c r="BK228" s="168">
        <f t="shared" si="146"/>
        <v>0</v>
      </c>
      <c r="BL228" s="168">
        <f t="shared" si="147"/>
        <v>0</v>
      </c>
    </row>
    <row r="229" spans="1:64" ht="13.5" thickBot="1" x14ac:dyDescent="0.25">
      <c r="A229" s="215">
        <f t="shared" si="114"/>
        <v>42634</v>
      </c>
      <c r="B229" s="190"/>
      <c r="C229" s="168"/>
      <c r="D229" s="198"/>
      <c r="E229" s="132">
        <f t="shared" si="115"/>
        <v>266.06811324764664</v>
      </c>
      <c r="F229" s="168">
        <f t="shared" si="116"/>
        <v>266.06811324337093</v>
      </c>
      <c r="G229" s="300"/>
      <c r="H229" s="127">
        <f>VLOOKUP(MONTH(A229),ETP_Parametros!$A$6:$D$17,4,FALSE)</f>
        <v>3.5666666666666669</v>
      </c>
      <c r="I229" s="230">
        <f>VLOOKUP(A229,P_Q_obs!$A$4:$F$308,6,FALSE)*1</f>
        <v>0</v>
      </c>
      <c r="J229" s="230">
        <f t="shared" si="117"/>
        <v>0</v>
      </c>
      <c r="K229" s="230">
        <f t="shared" si="118"/>
        <v>0</v>
      </c>
      <c r="L229" s="230">
        <f t="shared" si="119"/>
        <v>0</v>
      </c>
      <c r="M229" s="230">
        <f t="shared" si="120"/>
        <v>0</v>
      </c>
      <c r="N229" s="230">
        <f t="shared" si="121"/>
        <v>0</v>
      </c>
      <c r="O229" s="230">
        <f t="shared" si="122"/>
        <v>0</v>
      </c>
      <c r="P229" s="230">
        <f t="shared" si="123"/>
        <v>0</v>
      </c>
      <c r="Q229" s="230">
        <f t="shared" si="124"/>
        <v>0</v>
      </c>
      <c r="R229" s="230">
        <f t="shared" si="125"/>
        <v>0</v>
      </c>
      <c r="S229" s="230">
        <f t="shared" si="126"/>
        <v>0</v>
      </c>
      <c r="T229" s="230">
        <f t="shared" si="127"/>
        <v>0</v>
      </c>
      <c r="U229" s="230">
        <f t="shared" si="128"/>
        <v>0</v>
      </c>
      <c r="V229" s="230">
        <f t="shared" si="129"/>
        <v>0</v>
      </c>
      <c r="W229" s="230">
        <f t="shared" si="130"/>
        <v>0</v>
      </c>
      <c r="X229" s="230">
        <f t="shared" si="131"/>
        <v>0</v>
      </c>
      <c r="Y229" s="230">
        <f t="shared" si="132"/>
        <v>0</v>
      </c>
      <c r="Z229" s="292">
        <f t="shared" si="133"/>
        <v>0</v>
      </c>
      <c r="AA229" s="300"/>
      <c r="AB229" s="191">
        <f t="shared" si="134"/>
        <v>0</v>
      </c>
      <c r="AC229" s="139">
        <f t="shared" si="135"/>
        <v>0</v>
      </c>
      <c r="AD229" s="132">
        <f t="shared" si="136"/>
        <v>3.6276952971592249</v>
      </c>
      <c r="AE229" s="168">
        <f t="shared" si="137"/>
        <v>4.8439383084285477E-2</v>
      </c>
      <c r="AF229" s="192">
        <f t="shared" si="138"/>
        <v>0</v>
      </c>
      <c r="AG229" s="192">
        <f t="shared" si="148"/>
        <v>0.15160818892241751</v>
      </c>
      <c r="AH229" s="192">
        <f t="shared" si="139"/>
        <v>0</v>
      </c>
      <c r="AI229" s="168">
        <f t="shared" si="140"/>
        <v>2.010817459940901E-11</v>
      </c>
      <c r="AJ229" s="192">
        <f t="shared" si="141"/>
        <v>6.6292833936657786E-12</v>
      </c>
      <c r="AK229" s="132">
        <f t="shared" si="142"/>
        <v>28.565061331377006</v>
      </c>
      <c r="AL229" s="192">
        <f t="shared" si="143"/>
        <v>0.41252350759478962</v>
      </c>
      <c r="AM229" s="192">
        <f t="shared" si="149"/>
        <v>0</v>
      </c>
      <c r="AN229" s="192">
        <f t="shared" si="144"/>
        <v>0</v>
      </c>
      <c r="AO229" s="192">
        <f t="shared" si="150"/>
        <v>0</v>
      </c>
      <c r="AS229" s="132"/>
      <c r="AT229" s="132"/>
      <c r="AU229" s="200"/>
      <c r="AV229" s="132"/>
      <c r="AW229" s="132"/>
      <c r="AX229" s="132"/>
      <c r="AY229" s="132"/>
      <c r="AZ229" s="132"/>
      <c r="BA229" s="167"/>
      <c r="BB229" s="167"/>
      <c r="BD229" s="211">
        <f t="shared" si="145"/>
        <v>42634</v>
      </c>
      <c r="BE229" s="210">
        <v>1</v>
      </c>
      <c r="BF229" s="209">
        <v>0.5</v>
      </c>
      <c r="BG229" s="209">
        <v>2</v>
      </c>
      <c r="BH229" s="210"/>
      <c r="BI229" s="209"/>
      <c r="BJ229" s="209"/>
      <c r="BK229" s="168">
        <f t="shared" si="146"/>
        <v>0</v>
      </c>
      <c r="BL229" s="168">
        <f t="shared" si="147"/>
        <v>0</v>
      </c>
    </row>
    <row r="230" spans="1:64" ht="13.5" thickBot="1" x14ac:dyDescent="0.25">
      <c r="A230" s="215">
        <f t="shared" si="114"/>
        <v>42635</v>
      </c>
      <c r="B230" s="190"/>
      <c r="C230" s="168"/>
      <c r="D230" s="198"/>
      <c r="E230" s="132">
        <f t="shared" si="115"/>
        <v>262.2803803508254</v>
      </c>
      <c r="F230" s="168">
        <f t="shared" si="116"/>
        <v>262.28038034760976</v>
      </c>
      <c r="G230" s="300"/>
      <c r="H230" s="127">
        <f>VLOOKUP(MONTH(A230),ETP_Parametros!$A$6:$D$17,4,FALSE)</f>
        <v>3.5666666666666669</v>
      </c>
      <c r="I230" s="230">
        <f>VLOOKUP(A230,P_Q_obs!$A$4:$F$308,6,FALSE)*1</f>
        <v>0</v>
      </c>
      <c r="J230" s="230">
        <f t="shared" si="117"/>
        <v>0</v>
      </c>
      <c r="K230" s="230">
        <f t="shared" si="118"/>
        <v>0</v>
      </c>
      <c r="L230" s="230">
        <f t="shared" si="119"/>
        <v>0</v>
      </c>
      <c r="M230" s="230">
        <f t="shared" si="120"/>
        <v>0</v>
      </c>
      <c r="N230" s="230">
        <f t="shared" si="121"/>
        <v>0</v>
      </c>
      <c r="O230" s="230">
        <f t="shared" si="122"/>
        <v>0</v>
      </c>
      <c r="P230" s="230">
        <f t="shared" si="123"/>
        <v>0</v>
      </c>
      <c r="Q230" s="230">
        <f t="shared" si="124"/>
        <v>0</v>
      </c>
      <c r="R230" s="230">
        <f t="shared" si="125"/>
        <v>0</v>
      </c>
      <c r="S230" s="230">
        <f t="shared" si="126"/>
        <v>0</v>
      </c>
      <c r="T230" s="230">
        <f t="shared" si="127"/>
        <v>0</v>
      </c>
      <c r="U230" s="230">
        <f t="shared" si="128"/>
        <v>0</v>
      </c>
      <c r="V230" s="230">
        <f t="shared" si="129"/>
        <v>0</v>
      </c>
      <c r="W230" s="230">
        <f t="shared" si="130"/>
        <v>0</v>
      </c>
      <c r="X230" s="230">
        <f t="shared" si="131"/>
        <v>0</v>
      </c>
      <c r="Y230" s="230">
        <f t="shared" si="132"/>
        <v>0</v>
      </c>
      <c r="Z230" s="292">
        <f t="shared" si="133"/>
        <v>0</v>
      </c>
      <c r="AA230" s="300"/>
      <c r="AB230" s="191">
        <f t="shared" si="134"/>
        <v>0</v>
      </c>
      <c r="AC230" s="139">
        <f t="shared" si="135"/>
        <v>0</v>
      </c>
      <c r="AD230" s="132">
        <f t="shared" si="136"/>
        <v>3.4821689280835026</v>
      </c>
      <c r="AE230" s="168">
        <f t="shared" si="137"/>
        <v>4.649621890893587E-2</v>
      </c>
      <c r="AF230" s="192">
        <f t="shared" si="138"/>
        <v>0</v>
      </c>
      <c r="AG230" s="192">
        <f t="shared" si="148"/>
        <v>0.14552636907572236</v>
      </c>
      <c r="AH230" s="192">
        <f t="shared" si="139"/>
        <v>0</v>
      </c>
      <c r="AI230" s="168">
        <f t="shared" si="140"/>
        <v>1.5122555249083311E-11</v>
      </c>
      <c r="AJ230" s="192">
        <f t="shared" si="141"/>
        <v>4.9856193503256983E-12</v>
      </c>
      <c r="AK230" s="132">
        <f t="shared" si="142"/>
        <v>28.158410488645902</v>
      </c>
      <c r="AL230" s="192">
        <f t="shared" si="143"/>
        <v>0.40665084273110369</v>
      </c>
      <c r="AM230" s="192">
        <f t="shared" si="149"/>
        <v>0</v>
      </c>
      <c r="AN230" s="192">
        <f t="shared" si="144"/>
        <v>0</v>
      </c>
      <c r="AO230" s="192">
        <f t="shared" si="150"/>
        <v>0</v>
      </c>
      <c r="AS230" s="132"/>
      <c r="AT230" s="132"/>
      <c r="AU230" s="200"/>
      <c r="AV230" s="132"/>
      <c r="AW230" s="132"/>
      <c r="AX230" s="132"/>
      <c r="AY230" s="132"/>
      <c r="AZ230" s="132"/>
      <c r="BA230" s="167"/>
      <c r="BB230" s="167"/>
      <c r="BD230" s="211">
        <f t="shared" si="145"/>
        <v>42635</v>
      </c>
      <c r="BE230" s="210">
        <v>1</v>
      </c>
      <c r="BF230" s="209">
        <v>0.5</v>
      </c>
      <c r="BG230" s="209">
        <v>2</v>
      </c>
      <c r="BH230" s="210"/>
      <c r="BI230" s="209"/>
      <c r="BJ230" s="209"/>
      <c r="BK230" s="168">
        <f t="shared" si="146"/>
        <v>0</v>
      </c>
      <c r="BL230" s="168">
        <f t="shared" si="147"/>
        <v>0</v>
      </c>
    </row>
    <row r="231" spans="1:64" ht="13.5" thickBot="1" x14ac:dyDescent="0.25">
      <c r="A231" s="215">
        <f t="shared" si="114"/>
        <v>42636</v>
      </c>
      <c r="B231" s="190"/>
      <c r="C231" s="168"/>
      <c r="D231" s="198"/>
      <c r="E231" s="132">
        <f t="shared" si="115"/>
        <v>258.54656943805799</v>
      </c>
      <c r="F231" s="168">
        <f t="shared" si="116"/>
        <v>258.54656943563964</v>
      </c>
      <c r="G231" s="300"/>
      <c r="H231" s="127">
        <f>VLOOKUP(MONTH(A231),ETP_Parametros!$A$6:$D$17,4,FALSE)</f>
        <v>3.5666666666666669</v>
      </c>
      <c r="I231" s="230">
        <f>VLOOKUP(A231,P_Q_obs!$A$4:$F$308,6,FALSE)*1</f>
        <v>0</v>
      </c>
      <c r="J231" s="230">
        <f t="shared" si="117"/>
        <v>0</v>
      </c>
      <c r="K231" s="230">
        <f t="shared" si="118"/>
        <v>0</v>
      </c>
      <c r="L231" s="230">
        <f t="shared" si="119"/>
        <v>0</v>
      </c>
      <c r="M231" s="230">
        <f t="shared" si="120"/>
        <v>0</v>
      </c>
      <c r="N231" s="230">
        <f t="shared" si="121"/>
        <v>0</v>
      </c>
      <c r="O231" s="230">
        <f t="shared" si="122"/>
        <v>0</v>
      </c>
      <c r="P231" s="230">
        <f t="shared" si="123"/>
        <v>0</v>
      </c>
      <c r="Q231" s="230">
        <f t="shared" si="124"/>
        <v>0</v>
      </c>
      <c r="R231" s="230">
        <f t="shared" si="125"/>
        <v>0</v>
      </c>
      <c r="S231" s="230">
        <f t="shared" si="126"/>
        <v>0</v>
      </c>
      <c r="T231" s="230">
        <f t="shared" si="127"/>
        <v>0</v>
      </c>
      <c r="U231" s="230">
        <f t="shared" si="128"/>
        <v>0</v>
      </c>
      <c r="V231" s="230">
        <f t="shared" si="129"/>
        <v>0</v>
      </c>
      <c r="W231" s="230">
        <f t="shared" si="130"/>
        <v>0</v>
      </c>
      <c r="X231" s="230">
        <f t="shared" si="131"/>
        <v>0</v>
      </c>
      <c r="Y231" s="230">
        <f t="shared" si="132"/>
        <v>0</v>
      </c>
      <c r="Z231" s="292">
        <f t="shared" si="133"/>
        <v>0</v>
      </c>
      <c r="AA231" s="300"/>
      <c r="AB231" s="191">
        <f t="shared" si="134"/>
        <v>0</v>
      </c>
      <c r="AC231" s="139">
        <f t="shared" si="135"/>
        <v>0</v>
      </c>
      <c r="AD231" s="132">
        <f t="shared" si="136"/>
        <v>3.3424804043507854</v>
      </c>
      <c r="AE231" s="168">
        <f t="shared" si="137"/>
        <v>4.4631005499511427E-2</v>
      </c>
      <c r="AF231" s="192">
        <f t="shared" si="138"/>
        <v>0</v>
      </c>
      <c r="AG231" s="192">
        <f t="shared" si="148"/>
        <v>0.13968852373271703</v>
      </c>
      <c r="AH231" s="192">
        <f t="shared" si="139"/>
        <v>0</v>
      </c>
      <c r="AI231" s="168">
        <f t="shared" si="140"/>
        <v>1.1373069998521825E-11</v>
      </c>
      <c r="AJ231" s="192">
        <f t="shared" si="141"/>
        <v>3.7494852505614869E-12</v>
      </c>
      <c r="AK231" s="132">
        <f t="shared" si="142"/>
        <v>27.75754870780322</v>
      </c>
      <c r="AL231" s="192">
        <f t="shared" si="143"/>
        <v>0.40086178084268148</v>
      </c>
      <c r="AM231" s="192">
        <f t="shared" si="149"/>
        <v>0</v>
      </c>
      <c r="AN231" s="192">
        <f t="shared" si="144"/>
        <v>0</v>
      </c>
      <c r="AO231" s="192">
        <f t="shared" si="150"/>
        <v>0</v>
      </c>
      <c r="AS231" s="132"/>
      <c r="AT231" s="132"/>
      <c r="AU231" s="200"/>
      <c r="AV231" s="132"/>
      <c r="AW231" s="132"/>
      <c r="AX231" s="132"/>
      <c r="AY231" s="132"/>
      <c r="AZ231" s="132"/>
      <c r="BA231" s="167"/>
      <c r="BB231" s="167"/>
      <c r="BD231" s="211">
        <f t="shared" si="145"/>
        <v>42636</v>
      </c>
      <c r="BE231" s="210">
        <v>1</v>
      </c>
      <c r="BF231" s="209">
        <v>0.5</v>
      </c>
      <c r="BG231" s="209">
        <v>2</v>
      </c>
      <c r="BH231" s="210"/>
      <c r="BI231" s="209"/>
      <c r="BJ231" s="209"/>
      <c r="BK231" s="168">
        <f t="shared" si="146"/>
        <v>0</v>
      </c>
      <c r="BL231" s="168">
        <f t="shared" si="147"/>
        <v>0</v>
      </c>
    </row>
    <row r="232" spans="1:64" ht="13.5" thickBot="1" x14ac:dyDescent="0.25">
      <c r="A232" s="215">
        <f t="shared" si="114"/>
        <v>42637</v>
      </c>
      <c r="B232" s="190"/>
      <c r="C232" s="168"/>
      <c r="D232" s="198"/>
      <c r="E232" s="132">
        <f t="shared" si="115"/>
        <v>254.86591287850504</v>
      </c>
      <c r="F232" s="168">
        <f t="shared" si="116"/>
        <v>254.86591287668631</v>
      </c>
      <c r="G232" s="300"/>
      <c r="H232" s="127">
        <f>VLOOKUP(MONTH(A232),ETP_Parametros!$A$6:$D$17,4,FALSE)</f>
        <v>3.5666666666666669</v>
      </c>
      <c r="I232" s="230">
        <f>VLOOKUP(A232,P_Q_obs!$A$4:$F$308,6,FALSE)*1</f>
        <v>0</v>
      </c>
      <c r="J232" s="230">
        <f t="shared" si="117"/>
        <v>0</v>
      </c>
      <c r="K232" s="230">
        <f t="shared" si="118"/>
        <v>0</v>
      </c>
      <c r="L232" s="230">
        <f t="shared" si="119"/>
        <v>0</v>
      </c>
      <c r="M232" s="230">
        <f t="shared" si="120"/>
        <v>0</v>
      </c>
      <c r="N232" s="230">
        <f t="shared" si="121"/>
        <v>0</v>
      </c>
      <c r="O232" s="230">
        <f t="shared" si="122"/>
        <v>0</v>
      </c>
      <c r="P232" s="230">
        <f t="shared" si="123"/>
        <v>0</v>
      </c>
      <c r="Q232" s="230">
        <f t="shared" si="124"/>
        <v>0</v>
      </c>
      <c r="R232" s="230">
        <f t="shared" si="125"/>
        <v>0</v>
      </c>
      <c r="S232" s="230">
        <f t="shared" si="126"/>
        <v>0</v>
      </c>
      <c r="T232" s="230">
        <f t="shared" si="127"/>
        <v>0</v>
      </c>
      <c r="U232" s="230">
        <f t="shared" si="128"/>
        <v>0</v>
      </c>
      <c r="V232" s="230">
        <f t="shared" si="129"/>
        <v>0</v>
      </c>
      <c r="W232" s="230">
        <f t="shared" si="130"/>
        <v>0</v>
      </c>
      <c r="X232" s="230">
        <f t="shared" si="131"/>
        <v>0</v>
      </c>
      <c r="Y232" s="230">
        <f t="shared" si="132"/>
        <v>0</v>
      </c>
      <c r="Z232" s="292">
        <f t="shared" si="133"/>
        <v>0</v>
      </c>
      <c r="AA232" s="300"/>
      <c r="AB232" s="191">
        <f t="shared" si="134"/>
        <v>0</v>
      </c>
      <c r="AC232" s="139">
        <f t="shared" si="135"/>
        <v>0</v>
      </c>
      <c r="AD232" s="132">
        <f t="shared" si="136"/>
        <v>3.2083955385868865</v>
      </c>
      <c r="AE232" s="168">
        <f t="shared" si="137"/>
        <v>4.2840615831551E-2</v>
      </c>
      <c r="AF232" s="192">
        <f t="shared" si="138"/>
        <v>0</v>
      </c>
      <c r="AG232" s="192">
        <f t="shared" si="148"/>
        <v>0.13408486576389894</v>
      </c>
      <c r="AH232" s="192">
        <f t="shared" si="139"/>
        <v>0</v>
      </c>
      <c r="AI232" s="168">
        <f t="shared" si="140"/>
        <v>8.5532318487722428E-12</v>
      </c>
      <c r="AJ232" s="192">
        <f t="shared" si="141"/>
        <v>2.8198381497495832E-12</v>
      </c>
      <c r="AK232" s="132">
        <f t="shared" si="142"/>
        <v>27.362393576041644</v>
      </c>
      <c r="AL232" s="192">
        <f t="shared" si="143"/>
        <v>0.39515513176157802</v>
      </c>
      <c r="AM232" s="192">
        <f t="shared" si="149"/>
        <v>0</v>
      </c>
      <c r="AN232" s="192">
        <f t="shared" si="144"/>
        <v>0</v>
      </c>
      <c r="AO232" s="192">
        <f t="shared" si="150"/>
        <v>0</v>
      </c>
      <c r="AS232" s="132"/>
      <c r="AT232" s="132"/>
      <c r="AU232" s="200"/>
      <c r="AV232" s="132"/>
      <c r="AW232" s="132"/>
      <c r="AX232" s="132"/>
      <c r="AY232" s="132"/>
      <c r="AZ232" s="132"/>
      <c r="BA232" s="167"/>
      <c r="BB232" s="167"/>
      <c r="BD232" s="211">
        <f t="shared" si="145"/>
        <v>42637</v>
      </c>
      <c r="BE232" s="210">
        <v>1</v>
      </c>
      <c r="BF232" s="209">
        <v>0.5</v>
      </c>
      <c r="BG232" s="209">
        <v>2</v>
      </c>
      <c r="BH232" s="210"/>
      <c r="BI232" s="209"/>
      <c r="BJ232" s="209"/>
      <c r="BK232" s="168">
        <f t="shared" si="146"/>
        <v>0</v>
      </c>
      <c r="BL232" s="168">
        <f t="shared" si="147"/>
        <v>0</v>
      </c>
    </row>
    <row r="233" spans="1:64" ht="13.5" thickBot="1" x14ac:dyDescent="0.25">
      <c r="A233" s="215">
        <f t="shared" si="114"/>
        <v>42638</v>
      </c>
      <c r="B233" s="190"/>
      <c r="C233" s="168"/>
      <c r="D233" s="198"/>
      <c r="E233" s="132">
        <f t="shared" si="115"/>
        <v>251.23765396929784</v>
      </c>
      <c r="F233" s="168">
        <f t="shared" si="116"/>
        <v>251.23765396793007</v>
      </c>
      <c r="G233" s="300"/>
      <c r="H233" s="127">
        <f>VLOOKUP(MONTH(A233),ETP_Parametros!$A$6:$D$17,4,FALSE)</f>
        <v>3.5666666666666669</v>
      </c>
      <c r="I233" s="230">
        <f>VLOOKUP(A233,P_Q_obs!$A$4:$F$308,6,FALSE)*1</f>
        <v>0</v>
      </c>
      <c r="J233" s="230">
        <f t="shared" si="117"/>
        <v>0</v>
      </c>
      <c r="K233" s="230">
        <f t="shared" si="118"/>
        <v>0</v>
      </c>
      <c r="L233" s="230">
        <f t="shared" si="119"/>
        <v>0</v>
      </c>
      <c r="M233" s="230">
        <f t="shared" si="120"/>
        <v>0</v>
      </c>
      <c r="N233" s="230">
        <f t="shared" si="121"/>
        <v>0</v>
      </c>
      <c r="O233" s="230">
        <f t="shared" si="122"/>
        <v>0</v>
      </c>
      <c r="P233" s="230">
        <f t="shared" si="123"/>
        <v>0</v>
      </c>
      <c r="Q233" s="230">
        <f t="shared" si="124"/>
        <v>0</v>
      </c>
      <c r="R233" s="230">
        <f t="shared" si="125"/>
        <v>0</v>
      </c>
      <c r="S233" s="230">
        <f t="shared" si="126"/>
        <v>0</v>
      </c>
      <c r="T233" s="230">
        <f t="shared" si="127"/>
        <v>0</v>
      </c>
      <c r="U233" s="230">
        <f t="shared" si="128"/>
        <v>0</v>
      </c>
      <c r="V233" s="230">
        <f t="shared" si="129"/>
        <v>0</v>
      </c>
      <c r="W233" s="230">
        <f t="shared" si="130"/>
        <v>0</v>
      </c>
      <c r="X233" s="230">
        <f t="shared" si="131"/>
        <v>0</v>
      </c>
      <c r="Y233" s="230">
        <f t="shared" si="132"/>
        <v>0</v>
      </c>
      <c r="Z233" s="292">
        <f t="shared" si="133"/>
        <v>0</v>
      </c>
      <c r="AA233" s="300"/>
      <c r="AB233" s="191">
        <f t="shared" si="134"/>
        <v>0</v>
      </c>
      <c r="AC233" s="139">
        <f t="shared" si="135"/>
        <v>0</v>
      </c>
      <c r="AD233" s="132">
        <f t="shared" si="136"/>
        <v>3.0796895379327189</v>
      </c>
      <c r="AE233" s="168">
        <f t="shared" si="137"/>
        <v>4.1122048322362569E-2</v>
      </c>
      <c r="AF233" s="192">
        <f t="shared" si="138"/>
        <v>0</v>
      </c>
      <c r="AG233" s="192">
        <f t="shared" si="148"/>
        <v>0.12870600065416771</v>
      </c>
      <c r="AH233" s="192">
        <f t="shared" si="139"/>
        <v>0</v>
      </c>
      <c r="AI233" s="168">
        <f t="shared" si="140"/>
        <v>6.4325441651515601E-12</v>
      </c>
      <c r="AJ233" s="192">
        <f t="shared" si="141"/>
        <v>2.1206876836206827E-12</v>
      </c>
      <c r="AK233" s="132">
        <f t="shared" si="142"/>
        <v>26.972863853778623</v>
      </c>
      <c r="AL233" s="192">
        <f t="shared" si="143"/>
        <v>0.3895297222630219</v>
      </c>
      <c r="AM233" s="192">
        <f t="shared" si="149"/>
        <v>0</v>
      </c>
      <c r="AN233" s="192">
        <f t="shared" si="144"/>
        <v>0</v>
      </c>
      <c r="AO233" s="192">
        <f t="shared" si="150"/>
        <v>0</v>
      </c>
      <c r="AS233" s="132"/>
      <c r="AT233" s="132"/>
      <c r="AU233" s="200"/>
      <c r="AV233" s="132"/>
      <c r="AW233" s="132"/>
      <c r="AX233" s="132"/>
      <c r="AY233" s="132"/>
      <c r="AZ233" s="132"/>
      <c r="BA233" s="167"/>
      <c r="BB233" s="167"/>
      <c r="BD233" s="211">
        <f t="shared" si="145"/>
        <v>42638</v>
      </c>
      <c r="BE233" s="210">
        <v>1</v>
      </c>
      <c r="BF233" s="209">
        <v>0.5</v>
      </c>
      <c r="BG233" s="209">
        <v>2</v>
      </c>
      <c r="BH233" s="210"/>
      <c r="BI233" s="209"/>
      <c r="BJ233" s="209"/>
      <c r="BK233" s="168">
        <f t="shared" si="146"/>
        <v>0</v>
      </c>
      <c r="BL233" s="168">
        <f t="shared" si="147"/>
        <v>0</v>
      </c>
    </row>
    <row r="234" spans="1:64" ht="13.5" thickBot="1" x14ac:dyDescent="0.25">
      <c r="A234" s="215">
        <f t="shared" si="114"/>
        <v>42639</v>
      </c>
      <c r="B234" s="190"/>
      <c r="C234" s="168"/>
      <c r="D234" s="198"/>
      <c r="E234" s="132">
        <f t="shared" si="115"/>
        <v>247.6610467799652</v>
      </c>
      <c r="F234" s="168">
        <f t="shared" si="116"/>
        <v>247.66104677893654</v>
      </c>
      <c r="G234" s="300"/>
      <c r="H234" s="127">
        <f>VLOOKUP(MONTH(A234),ETP_Parametros!$A$6:$D$17,4,FALSE)</f>
        <v>3.5666666666666669</v>
      </c>
      <c r="I234" s="230">
        <f>VLOOKUP(A234,P_Q_obs!$A$4:$F$308,6,FALSE)*1</f>
        <v>0</v>
      </c>
      <c r="J234" s="230">
        <f t="shared" si="117"/>
        <v>0</v>
      </c>
      <c r="K234" s="230">
        <f t="shared" si="118"/>
        <v>0</v>
      </c>
      <c r="L234" s="230">
        <f t="shared" si="119"/>
        <v>0</v>
      </c>
      <c r="M234" s="230">
        <f t="shared" si="120"/>
        <v>0</v>
      </c>
      <c r="N234" s="230">
        <f t="shared" si="121"/>
        <v>0</v>
      </c>
      <c r="O234" s="230">
        <f t="shared" si="122"/>
        <v>0</v>
      </c>
      <c r="P234" s="230">
        <f t="shared" si="123"/>
        <v>0</v>
      </c>
      <c r="Q234" s="230">
        <f t="shared" si="124"/>
        <v>0</v>
      </c>
      <c r="R234" s="230">
        <f t="shared" si="125"/>
        <v>0</v>
      </c>
      <c r="S234" s="230">
        <f t="shared" si="126"/>
        <v>0</v>
      </c>
      <c r="T234" s="230">
        <f t="shared" si="127"/>
        <v>0</v>
      </c>
      <c r="U234" s="230">
        <f t="shared" si="128"/>
        <v>0</v>
      </c>
      <c r="V234" s="230">
        <f t="shared" si="129"/>
        <v>0</v>
      </c>
      <c r="W234" s="230">
        <f t="shared" si="130"/>
        <v>0</v>
      </c>
      <c r="X234" s="230">
        <f t="shared" si="131"/>
        <v>0</v>
      </c>
      <c r="Y234" s="230">
        <f t="shared" si="132"/>
        <v>0</v>
      </c>
      <c r="Z234" s="292">
        <f t="shared" si="133"/>
        <v>0</v>
      </c>
      <c r="AA234" s="300"/>
      <c r="AB234" s="191">
        <f t="shared" si="134"/>
        <v>0</v>
      </c>
      <c r="AC234" s="139">
        <f t="shared" si="135"/>
        <v>0</v>
      </c>
      <c r="AD234" s="132">
        <f t="shared" si="136"/>
        <v>2.9561466271797689</v>
      </c>
      <c r="AE234" s="168">
        <f t="shared" si="137"/>
        <v>3.9472421798879179E-2</v>
      </c>
      <c r="AF234" s="192">
        <f t="shared" si="138"/>
        <v>0</v>
      </c>
      <c r="AG234" s="192">
        <f t="shared" si="148"/>
        <v>0.12354291075294979</v>
      </c>
      <c r="AH234" s="192">
        <f t="shared" si="139"/>
        <v>0</v>
      </c>
      <c r="AI234" s="168">
        <f t="shared" si="140"/>
        <v>4.837659631846044E-12</v>
      </c>
      <c r="AJ234" s="192">
        <f t="shared" si="141"/>
        <v>1.5948845333055165E-12</v>
      </c>
      <c r="AK234" s="132">
        <f t="shared" si="142"/>
        <v>26.588879457954409</v>
      </c>
      <c r="AL234" s="192">
        <f t="shared" si="143"/>
        <v>0.38398439582421345</v>
      </c>
      <c r="AM234" s="192">
        <f t="shared" si="149"/>
        <v>0</v>
      </c>
      <c r="AN234" s="192">
        <f t="shared" si="144"/>
        <v>0</v>
      </c>
      <c r="AO234" s="192">
        <f t="shared" si="150"/>
        <v>0</v>
      </c>
      <c r="AS234" s="132"/>
      <c r="AT234" s="132"/>
      <c r="AU234" s="200"/>
      <c r="AV234" s="132"/>
      <c r="AW234" s="132"/>
      <c r="AX234" s="132"/>
      <c r="AY234" s="132"/>
      <c r="AZ234" s="132"/>
      <c r="BA234" s="167"/>
      <c r="BB234" s="167"/>
      <c r="BD234" s="211">
        <f t="shared" si="145"/>
        <v>42639</v>
      </c>
      <c r="BE234" s="210">
        <v>1</v>
      </c>
      <c r="BF234" s="209">
        <v>0.5</v>
      </c>
      <c r="BG234" s="209">
        <v>2</v>
      </c>
      <c r="BH234" s="210"/>
      <c r="BI234" s="209"/>
      <c r="BJ234" s="209"/>
      <c r="BK234" s="168">
        <f t="shared" si="146"/>
        <v>0</v>
      </c>
      <c r="BL234" s="168">
        <f t="shared" si="147"/>
        <v>0</v>
      </c>
    </row>
    <row r="235" spans="1:64" ht="13.5" thickBot="1" x14ac:dyDescent="0.25">
      <c r="A235" s="215">
        <f t="shared" si="114"/>
        <v>42640</v>
      </c>
      <c r="B235" s="190"/>
      <c r="C235" s="168"/>
      <c r="D235" s="198"/>
      <c r="E235" s="132">
        <f t="shared" si="115"/>
        <v>244.1353559990747</v>
      </c>
      <c r="F235" s="168">
        <f t="shared" si="116"/>
        <v>244.13535599830107</v>
      </c>
      <c r="G235" s="300"/>
      <c r="H235" s="127">
        <f>VLOOKUP(MONTH(A235),ETP_Parametros!$A$6:$D$17,4,FALSE)</f>
        <v>3.5666666666666669</v>
      </c>
      <c r="I235" s="230">
        <f>VLOOKUP(A235,P_Q_obs!$A$4:$F$308,6,FALSE)*1</f>
        <v>0</v>
      </c>
      <c r="J235" s="230">
        <f t="shared" si="117"/>
        <v>0</v>
      </c>
      <c r="K235" s="230">
        <f t="shared" si="118"/>
        <v>0</v>
      </c>
      <c r="L235" s="230">
        <f t="shared" si="119"/>
        <v>0</v>
      </c>
      <c r="M235" s="230">
        <f t="shared" si="120"/>
        <v>0</v>
      </c>
      <c r="N235" s="230">
        <f t="shared" si="121"/>
        <v>0</v>
      </c>
      <c r="O235" s="230">
        <f t="shared" si="122"/>
        <v>0</v>
      </c>
      <c r="P235" s="230">
        <f t="shared" si="123"/>
        <v>0</v>
      </c>
      <c r="Q235" s="230">
        <f t="shared" si="124"/>
        <v>0</v>
      </c>
      <c r="R235" s="230">
        <f t="shared" si="125"/>
        <v>0</v>
      </c>
      <c r="S235" s="230">
        <f t="shared" si="126"/>
        <v>0</v>
      </c>
      <c r="T235" s="230">
        <f t="shared" si="127"/>
        <v>0</v>
      </c>
      <c r="U235" s="230">
        <f t="shared" si="128"/>
        <v>0</v>
      </c>
      <c r="V235" s="230">
        <f t="shared" si="129"/>
        <v>0</v>
      </c>
      <c r="W235" s="230">
        <f t="shared" si="130"/>
        <v>0</v>
      </c>
      <c r="X235" s="230">
        <f t="shared" si="131"/>
        <v>0</v>
      </c>
      <c r="Y235" s="230">
        <f t="shared" si="132"/>
        <v>0</v>
      </c>
      <c r="Z235" s="292">
        <f t="shared" si="133"/>
        <v>0</v>
      </c>
      <c r="AA235" s="300"/>
      <c r="AB235" s="191">
        <f t="shared" si="134"/>
        <v>0</v>
      </c>
      <c r="AC235" s="139">
        <f t="shared" si="135"/>
        <v>0</v>
      </c>
      <c r="AD235" s="132">
        <f t="shared" si="136"/>
        <v>2.8375596870236337</v>
      </c>
      <c r="AE235" s="168">
        <f t="shared" si="137"/>
        <v>3.7888970667381304E-2</v>
      </c>
      <c r="AF235" s="192">
        <f t="shared" si="138"/>
        <v>0</v>
      </c>
      <c r="AG235" s="192">
        <f t="shared" si="148"/>
        <v>0.11858694015613543</v>
      </c>
      <c r="AH235" s="192">
        <f t="shared" si="139"/>
        <v>0</v>
      </c>
      <c r="AI235" s="168">
        <f t="shared" si="140"/>
        <v>3.6382106539398153E-12</v>
      </c>
      <c r="AJ235" s="192">
        <f t="shared" si="141"/>
        <v>1.1994489779062289E-12</v>
      </c>
      <c r="AK235" s="132">
        <f t="shared" si="142"/>
        <v>26.210361445567852</v>
      </c>
      <c r="AL235" s="192">
        <f t="shared" si="143"/>
        <v>0.37851801238655591</v>
      </c>
      <c r="AM235" s="192">
        <f t="shared" si="149"/>
        <v>0</v>
      </c>
      <c r="AN235" s="192">
        <f t="shared" si="144"/>
        <v>0</v>
      </c>
      <c r="AO235" s="192">
        <f t="shared" si="150"/>
        <v>0</v>
      </c>
      <c r="AS235" s="132"/>
      <c r="AT235" s="132"/>
      <c r="AU235" s="200"/>
      <c r="AV235" s="132"/>
      <c r="AW235" s="132"/>
      <c r="AX235" s="132"/>
      <c r="AY235" s="132"/>
      <c r="AZ235" s="132"/>
      <c r="BA235" s="167"/>
      <c r="BB235" s="167"/>
      <c r="BD235" s="211">
        <f t="shared" si="145"/>
        <v>42640</v>
      </c>
      <c r="BE235" s="210">
        <v>1</v>
      </c>
      <c r="BF235" s="209">
        <v>0.5</v>
      </c>
      <c r="BG235" s="209">
        <v>2</v>
      </c>
      <c r="BH235" s="210"/>
      <c r="BI235" s="209"/>
      <c r="BJ235" s="209"/>
      <c r="BK235" s="168">
        <f t="shared" si="146"/>
        <v>0</v>
      </c>
      <c r="BL235" s="168">
        <f t="shared" si="147"/>
        <v>0</v>
      </c>
    </row>
    <row r="236" spans="1:64" ht="13.5" thickBot="1" x14ac:dyDescent="0.25">
      <c r="A236" s="215">
        <f t="shared" si="114"/>
        <v>42641</v>
      </c>
      <c r="B236" s="190"/>
      <c r="C236" s="168"/>
      <c r="D236" s="198"/>
      <c r="E236" s="132">
        <f t="shared" si="115"/>
        <v>240.65985678305881</v>
      </c>
      <c r="F236" s="168">
        <f t="shared" si="116"/>
        <v>240.65985678247699</v>
      </c>
      <c r="G236" s="300"/>
      <c r="H236" s="127">
        <f>VLOOKUP(MONTH(A236),ETP_Parametros!$A$6:$D$17,4,FALSE)</f>
        <v>3.5666666666666669</v>
      </c>
      <c r="I236" s="230">
        <f>VLOOKUP(A236,P_Q_obs!$A$4:$F$308,6,FALSE)*1</f>
        <v>0</v>
      </c>
      <c r="J236" s="230">
        <f t="shared" si="117"/>
        <v>0</v>
      </c>
      <c r="K236" s="230">
        <f t="shared" si="118"/>
        <v>0</v>
      </c>
      <c r="L236" s="230">
        <f t="shared" si="119"/>
        <v>0</v>
      </c>
      <c r="M236" s="230">
        <f t="shared" si="120"/>
        <v>0</v>
      </c>
      <c r="N236" s="230">
        <f t="shared" si="121"/>
        <v>0</v>
      </c>
      <c r="O236" s="230">
        <f t="shared" si="122"/>
        <v>0</v>
      </c>
      <c r="P236" s="230">
        <f t="shared" si="123"/>
        <v>0</v>
      </c>
      <c r="Q236" s="230">
        <f t="shared" si="124"/>
        <v>0</v>
      </c>
      <c r="R236" s="230">
        <f t="shared" si="125"/>
        <v>0</v>
      </c>
      <c r="S236" s="230">
        <f t="shared" si="126"/>
        <v>0</v>
      </c>
      <c r="T236" s="230">
        <f t="shared" si="127"/>
        <v>0</v>
      </c>
      <c r="U236" s="230">
        <f t="shared" si="128"/>
        <v>0</v>
      </c>
      <c r="V236" s="230">
        <f t="shared" si="129"/>
        <v>0</v>
      </c>
      <c r="W236" s="230">
        <f t="shared" si="130"/>
        <v>0</v>
      </c>
      <c r="X236" s="230">
        <f t="shared" si="131"/>
        <v>0</v>
      </c>
      <c r="Y236" s="230">
        <f t="shared" si="132"/>
        <v>0</v>
      </c>
      <c r="Z236" s="292">
        <f t="shared" si="133"/>
        <v>0</v>
      </c>
      <c r="AA236" s="300"/>
      <c r="AB236" s="191">
        <f t="shared" si="134"/>
        <v>0</v>
      </c>
      <c r="AC236" s="139">
        <f t="shared" si="135"/>
        <v>0</v>
      </c>
      <c r="AD236" s="132">
        <f t="shared" si="136"/>
        <v>2.7237299068291509</v>
      </c>
      <c r="AE236" s="168">
        <f t="shared" si="137"/>
        <v>3.6369040276987619E-2</v>
      </c>
      <c r="AF236" s="192">
        <f t="shared" si="138"/>
        <v>0</v>
      </c>
      <c r="AG236" s="192">
        <f t="shared" si="148"/>
        <v>0.11382978019448253</v>
      </c>
      <c r="AH236" s="192">
        <f t="shared" si="139"/>
        <v>0</v>
      </c>
      <c r="AI236" s="168">
        <f t="shared" si="140"/>
        <v>2.7361529685357628E-12</v>
      </c>
      <c r="AJ236" s="192">
        <f t="shared" si="141"/>
        <v>9.0205768540405264E-13</v>
      </c>
      <c r="AK236" s="132">
        <f t="shared" si="142"/>
        <v>25.83723199744658</v>
      </c>
      <c r="AL236" s="192">
        <f t="shared" si="143"/>
        <v>0.37312944812127219</v>
      </c>
      <c r="AM236" s="192">
        <f t="shared" si="149"/>
        <v>0</v>
      </c>
      <c r="AN236" s="192">
        <f t="shared" si="144"/>
        <v>0</v>
      </c>
      <c r="AO236" s="192">
        <f t="shared" si="150"/>
        <v>0</v>
      </c>
      <c r="AS236" s="132"/>
      <c r="AT236" s="132"/>
      <c r="AU236" s="200"/>
      <c r="AV236" s="132"/>
      <c r="AW236" s="132"/>
      <c r="AX236" s="132"/>
      <c r="AY236" s="132"/>
      <c r="AZ236" s="132"/>
      <c r="BA236" s="167"/>
      <c r="BB236" s="167"/>
      <c r="BD236" s="211">
        <f t="shared" si="145"/>
        <v>42641</v>
      </c>
      <c r="BE236" s="210">
        <v>1</v>
      </c>
      <c r="BF236" s="209">
        <v>0.5</v>
      </c>
      <c r="BG236" s="209">
        <v>2</v>
      </c>
      <c r="BH236" s="210"/>
      <c r="BI236" s="209"/>
      <c r="BJ236" s="209"/>
      <c r="BK236" s="168">
        <f t="shared" si="146"/>
        <v>0</v>
      </c>
      <c r="BL236" s="168">
        <f t="shared" si="147"/>
        <v>0</v>
      </c>
    </row>
    <row r="237" spans="1:64" ht="13.5" thickBot="1" x14ac:dyDescent="0.25">
      <c r="A237" s="215">
        <f t="shared" si="114"/>
        <v>42642</v>
      </c>
      <c r="B237" s="190"/>
      <c r="C237" s="168"/>
      <c r="D237" s="198"/>
      <c r="E237" s="132">
        <f t="shared" si="115"/>
        <v>237.2338346071931</v>
      </c>
      <c r="F237" s="168">
        <f t="shared" si="116"/>
        <v>237.23383460675558</v>
      </c>
      <c r="G237" s="300"/>
      <c r="H237" s="127">
        <f>VLOOKUP(MONTH(A237),ETP_Parametros!$A$6:$D$17,4,FALSE)</f>
        <v>3.5666666666666669</v>
      </c>
      <c r="I237" s="230">
        <f>VLOOKUP(A237,P_Q_obs!$A$4:$F$308,6,FALSE)*1</f>
        <v>0</v>
      </c>
      <c r="J237" s="230">
        <f t="shared" si="117"/>
        <v>0</v>
      </c>
      <c r="K237" s="230">
        <f t="shared" si="118"/>
        <v>0</v>
      </c>
      <c r="L237" s="230">
        <f t="shared" si="119"/>
        <v>0</v>
      </c>
      <c r="M237" s="230">
        <f t="shared" si="120"/>
        <v>0</v>
      </c>
      <c r="N237" s="230">
        <f t="shared" si="121"/>
        <v>0</v>
      </c>
      <c r="O237" s="230">
        <f t="shared" si="122"/>
        <v>0</v>
      </c>
      <c r="P237" s="230">
        <f t="shared" si="123"/>
        <v>0</v>
      </c>
      <c r="Q237" s="230">
        <f t="shared" si="124"/>
        <v>0</v>
      </c>
      <c r="R237" s="230">
        <f t="shared" si="125"/>
        <v>0</v>
      </c>
      <c r="S237" s="230">
        <f t="shared" si="126"/>
        <v>0</v>
      </c>
      <c r="T237" s="230">
        <f t="shared" si="127"/>
        <v>0</v>
      </c>
      <c r="U237" s="230">
        <f t="shared" si="128"/>
        <v>0</v>
      </c>
      <c r="V237" s="230">
        <f t="shared" si="129"/>
        <v>0</v>
      </c>
      <c r="W237" s="230">
        <f t="shared" si="130"/>
        <v>0</v>
      </c>
      <c r="X237" s="230">
        <f t="shared" si="131"/>
        <v>0</v>
      </c>
      <c r="Y237" s="230">
        <f t="shared" si="132"/>
        <v>0</v>
      </c>
      <c r="Z237" s="292">
        <f t="shared" si="133"/>
        <v>0</v>
      </c>
      <c r="AA237" s="300"/>
      <c r="AB237" s="191">
        <f t="shared" si="134"/>
        <v>0</v>
      </c>
      <c r="AC237" s="139">
        <f t="shared" si="135"/>
        <v>0</v>
      </c>
      <c r="AD237" s="132">
        <f t="shared" si="136"/>
        <v>2.6144664513249927</v>
      </c>
      <c r="AE237" s="168">
        <f t="shared" si="137"/>
        <v>3.4910082469141054E-2</v>
      </c>
      <c r="AF237" s="192">
        <f t="shared" si="138"/>
        <v>0</v>
      </c>
      <c r="AG237" s="192">
        <f t="shared" si="148"/>
        <v>0.10926345550415847</v>
      </c>
      <c r="AH237" s="192">
        <f t="shared" si="139"/>
        <v>0</v>
      </c>
      <c r="AI237" s="168">
        <f t="shared" si="140"/>
        <v>2.0577514001614793E-12</v>
      </c>
      <c r="AJ237" s="192">
        <f t="shared" si="141"/>
        <v>6.7840156837428341E-13</v>
      </c>
      <c r="AK237" s="132">
        <f t="shared" si="142"/>
        <v>25.469414402248223</v>
      </c>
      <c r="AL237" s="192">
        <f t="shared" si="143"/>
        <v>0.36781759519835772</v>
      </c>
      <c r="AM237" s="192">
        <f t="shared" si="149"/>
        <v>0</v>
      </c>
      <c r="AN237" s="192">
        <f t="shared" si="144"/>
        <v>0</v>
      </c>
      <c r="AO237" s="192">
        <f t="shared" si="150"/>
        <v>0</v>
      </c>
      <c r="AS237" s="132"/>
      <c r="AT237" s="132"/>
      <c r="AU237" s="200"/>
      <c r="AV237" s="132"/>
      <c r="AW237" s="132"/>
      <c r="AX237" s="132"/>
      <c r="AY237" s="132"/>
      <c r="AZ237" s="132"/>
      <c r="BA237" s="167"/>
      <c r="BB237" s="167"/>
      <c r="BD237" s="211">
        <f t="shared" si="145"/>
        <v>42642</v>
      </c>
      <c r="BE237" s="210">
        <v>1</v>
      </c>
      <c r="BF237" s="209">
        <v>0.5</v>
      </c>
      <c r="BG237" s="209">
        <v>2</v>
      </c>
      <c r="BH237" s="210"/>
      <c r="BI237" s="209"/>
      <c r="BJ237" s="209"/>
      <c r="BK237" s="168">
        <f t="shared" si="146"/>
        <v>0</v>
      </c>
      <c r="BL237" s="168">
        <f t="shared" si="147"/>
        <v>0</v>
      </c>
    </row>
    <row r="238" spans="1:64" ht="13.5" thickBot="1" x14ac:dyDescent="0.25">
      <c r="A238" s="215">
        <f t="shared" si="114"/>
        <v>42643</v>
      </c>
      <c r="B238" s="190"/>
      <c r="C238" s="168"/>
      <c r="D238" s="198"/>
      <c r="E238" s="132">
        <f t="shared" si="115"/>
        <v>233.85658511869653</v>
      </c>
      <c r="F238" s="168">
        <f t="shared" si="116"/>
        <v>233.85658511836741</v>
      </c>
      <c r="G238" s="300"/>
      <c r="H238" s="127">
        <f>VLOOKUP(MONTH(A238),ETP_Parametros!$A$6:$D$17,4,FALSE)</f>
        <v>3.5666666666666669</v>
      </c>
      <c r="I238" s="230">
        <f>VLOOKUP(A238,P_Q_obs!$A$4:$F$308,6,FALSE)*1</f>
        <v>0</v>
      </c>
      <c r="J238" s="230">
        <f t="shared" si="117"/>
        <v>0</v>
      </c>
      <c r="K238" s="230">
        <f t="shared" si="118"/>
        <v>0</v>
      </c>
      <c r="L238" s="230">
        <f t="shared" si="119"/>
        <v>0</v>
      </c>
      <c r="M238" s="230">
        <f t="shared" si="120"/>
        <v>0</v>
      </c>
      <c r="N238" s="230">
        <f t="shared" si="121"/>
        <v>0</v>
      </c>
      <c r="O238" s="230">
        <f t="shared" si="122"/>
        <v>0</v>
      </c>
      <c r="P238" s="230">
        <f t="shared" si="123"/>
        <v>0</v>
      </c>
      <c r="Q238" s="230">
        <f t="shared" si="124"/>
        <v>0</v>
      </c>
      <c r="R238" s="230">
        <f t="shared" si="125"/>
        <v>0</v>
      </c>
      <c r="S238" s="230">
        <f t="shared" si="126"/>
        <v>0</v>
      </c>
      <c r="T238" s="230">
        <f t="shared" si="127"/>
        <v>0</v>
      </c>
      <c r="U238" s="230">
        <f t="shared" si="128"/>
        <v>0</v>
      </c>
      <c r="V238" s="230">
        <f t="shared" si="129"/>
        <v>0</v>
      </c>
      <c r="W238" s="230">
        <f t="shared" si="130"/>
        <v>0</v>
      </c>
      <c r="X238" s="230">
        <f t="shared" si="131"/>
        <v>0</v>
      </c>
      <c r="Y238" s="230">
        <f t="shared" si="132"/>
        <v>0</v>
      </c>
      <c r="Z238" s="292">
        <f t="shared" si="133"/>
        <v>0</v>
      </c>
      <c r="AA238" s="300"/>
      <c r="AB238" s="191">
        <f t="shared" si="134"/>
        <v>0</v>
      </c>
      <c r="AC238" s="139">
        <f t="shared" si="135"/>
        <v>0</v>
      </c>
      <c r="AD238" s="132">
        <f t="shared" si="136"/>
        <v>2.509586140668925</v>
      </c>
      <c r="AE238" s="168">
        <f t="shared" si="137"/>
        <v>3.350965130562894E-2</v>
      </c>
      <c r="AF238" s="192">
        <f t="shared" si="138"/>
        <v>0</v>
      </c>
      <c r="AG238" s="192">
        <f t="shared" si="148"/>
        <v>0.10488031065606761</v>
      </c>
      <c r="AH238" s="192">
        <f t="shared" si="139"/>
        <v>0</v>
      </c>
      <c r="AI238" s="168">
        <f t="shared" si="140"/>
        <v>1.5475526673980195E-12</v>
      </c>
      <c r="AJ238" s="192">
        <f t="shared" si="141"/>
        <v>5.1019873276345987E-13</v>
      </c>
      <c r="AK238" s="132">
        <f t="shared" si="142"/>
        <v>25.106833040689398</v>
      </c>
      <c r="AL238" s="192">
        <f t="shared" si="143"/>
        <v>0.36258136155882259</v>
      </c>
      <c r="AM238" s="192">
        <f t="shared" si="149"/>
        <v>0</v>
      </c>
      <c r="AN238" s="192">
        <f t="shared" si="144"/>
        <v>0</v>
      </c>
      <c r="AO238" s="192">
        <f t="shared" si="150"/>
        <v>0</v>
      </c>
      <c r="AS238" s="132"/>
      <c r="AT238" s="132"/>
      <c r="AU238" s="200"/>
      <c r="AV238" s="132"/>
      <c r="AW238" s="132"/>
      <c r="AX238" s="132"/>
      <c r="AY238" s="132"/>
      <c r="AZ238" s="132"/>
      <c r="BA238" s="167"/>
      <c r="BB238" s="167"/>
      <c r="BD238" s="211">
        <f t="shared" si="145"/>
        <v>42643</v>
      </c>
      <c r="BE238" s="210">
        <v>1</v>
      </c>
      <c r="BF238" s="209">
        <v>0.5</v>
      </c>
      <c r="BG238" s="209">
        <v>2</v>
      </c>
      <c r="BH238" s="210"/>
      <c r="BI238" s="209"/>
      <c r="BJ238" s="209"/>
      <c r="BK238" s="168">
        <f t="shared" si="146"/>
        <v>0</v>
      </c>
      <c r="BL238" s="168">
        <f t="shared" si="147"/>
        <v>0</v>
      </c>
    </row>
    <row r="239" spans="1:64" ht="13.5" thickBot="1" x14ac:dyDescent="0.25">
      <c r="A239" s="215">
        <f t="shared" si="114"/>
        <v>42644</v>
      </c>
      <c r="B239" s="190"/>
      <c r="C239" s="168"/>
      <c r="D239" s="198"/>
      <c r="E239" s="132">
        <f t="shared" si="115"/>
        <v>230.52741399192308</v>
      </c>
      <c r="F239" s="168">
        <f t="shared" si="116"/>
        <v>230.52741399167559</v>
      </c>
      <c r="G239" s="300"/>
      <c r="H239" s="127">
        <f>VLOOKUP(MONTH(A239),ETP_Parametros!$A$6:$D$17,4,FALSE)</f>
        <v>4.903225806451613</v>
      </c>
      <c r="I239" s="230">
        <f>VLOOKUP(A239,P_Q_obs!$A$4:$F$308,6,FALSE)*1</f>
        <v>0</v>
      </c>
      <c r="J239" s="230">
        <f t="shared" si="117"/>
        <v>0</v>
      </c>
      <c r="K239" s="230">
        <f t="shared" si="118"/>
        <v>0</v>
      </c>
      <c r="L239" s="230">
        <f t="shared" si="119"/>
        <v>0</v>
      </c>
      <c r="M239" s="230">
        <f t="shared" si="120"/>
        <v>0</v>
      </c>
      <c r="N239" s="230">
        <f t="shared" si="121"/>
        <v>0</v>
      </c>
      <c r="O239" s="230">
        <f t="shared" si="122"/>
        <v>0</v>
      </c>
      <c r="P239" s="230">
        <f t="shared" si="123"/>
        <v>0</v>
      </c>
      <c r="Q239" s="230">
        <f t="shared" si="124"/>
        <v>0</v>
      </c>
      <c r="R239" s="230">
        <f t="shared" si="125"/>
        <v>0</v>
      </c>
      <c r="S239" s="230">
        <f t="shared" si="126"/>
        <v>0</v>
      </c>
      <c r="T239" s="230">
        <f t="shared" si="127"/>
        <v>0</v>
      </c>
      <c r="U239" s="230">
        <f t="shared" si="128"/>
        <v>0</v>
      </c>
      <c r="V239" s="230">
        <f t="shared" si="129"/>
        <v>0</v>
      </c>
      <c r="W239" s="230">
        <f t="shared" si="130"/>
        <v>0</v>
      </c>
      <c r="X239" s="230">
        <f t="shared" si="131"/>
        <v>0</v>
      </c>
      <c r="Y239" s="230">
        <f t="shared" si="132"/>
        <v>0</v>
      </c>
      <c r="Z239" s="292">
        <f t="shared" si="133"/>
        <v>0</v>
      </c>
      <c r="AA239" s="300"/>
      <c r="AB239" s="191">
        <f t="shared" si="134"/>
        <v>0</v>
      </c>
      <c r="AC239" s="139">
        <f t="shared" si="135"/>
        <v>0</v>
      </c>
      <c r="AD239" s="132">
        <f t="shared" si="136"/>
        <v>2.3711873261418646</v>
      </c>
      <c r="AE239" s="168">
        <f t="shared" si="137"/>
        <v>3.2165398967975212E-2</v>
      </c>
      <c r="AF239" s="192">
        <f t="shared" si="138"/>
        <v>0</v>
      </c>
      <c r="AG239" s="192">
        <f t="shared" si="148"/>
        <v>0.13839881452706054</v>
      </c>
      <c r="AH239" s="192">
        <f t="shared" si="139"/>
        <v>0</v>
      </c>
      <c r="AI239" s="168">
        <f t="shared" si="140"/>
        <v>1.163852571395547E-12</v>
      </c>
      <c r="AJ239" s="192">
        <f t="shared" si="141"/>
        <v>3.8370009600247246E-13</v>
      </c>
      <c r="AK239" s="132">
        <f t="shared" si="142"/>
        <v>24.749413369999221</v>
      </c>
      <c r="AL239" s="192">
        <f t="shared" si="143"/>
        <v>0.35741967069017644</v>
      </c>
      <c r="AM239" s="192">
        <f t="shared" si="149"/>
        <v>0</v>
      </c>
      <c r="AN239" s="192">
        <f t="shared" si="144"/>
        <v>0</v>
      </c>
      <c r="AO239" s="192">
        <f t="shared" si="150"/>
        <v>0</v>
      </c>
      <c r="AS239" s="132"/>
      <c r="AT239" s="132"/>
      <c r="AU239" s="200"/>
      <c r="AV239" s="132"/>
      <c r="AW239" s="132"/>
      <c r="AX239" s="132"/>
      <c r="AY239" s="132"/>
      <c r="AZ239" s="132"/>
      <c r="BA239" s="167"/>
      <c r="BB239" s="167"/>
      <c r="BD239" s="211">
        <f t="shared" si="145"/>
        <v>42644</v>
      </c>
      <c r="BE239" s="210">
        <v>1</v>
      </c>
      <c r="BF239" s="209">
        <v>0.5</v>
      </c>
      <c r="BG239" s="209">
        <v>2</v>
      </c>
      <c r="BH239" s="210"/>
      <c r="BI239" s="209"/>
      <c r="BJ239" s="209"/>
      <c r="BK239" s="168">
        <f t="shared" si="146"/>
        <v>0</v>
      </c>
      <c r="BL239" s="168">
        <f t="shared" si="147"/>
        <v>0</v>
      </c>
    </row>
    <row r="240" spans="1:64" ht="13.5" thickBot="1" x14ac:dyDescent="0.25">
      <c r="A240" s="215">
        <f t="shared" si="114"/>
        <v>42645</v>
      </c>
      <c r="B240" s="190"/>
      <c r="C240" s="168"/>
      <c r="D240" s="198"/>
      <c r="E240" s="132">
        <f t="shared" si="115"/>
        <v>227.24563678561552</v>
      </c>
      <c r="F240" s="168">
        <f t="shared" si="116"/>
        <v>227.24563678542941</v>
      </c>
      <c r="G240" s="300"/>
      <c r="H240" s="127">
        <f>VLOOKUP(MONTH(A240),ETP_Parametros!$A$6:$D$17,4,FALSE)</f>
        <v>4.903225806451613</v>
      </c>
      <c r="I240" s="230">
        <f>VLOOKUP(A240,P_Q_obs!$A$4:$F$308,6,FALSE)*1</f>
        <v>0</v>
      </c>
      <c r="J240" s="230">
        <f t="shared" si="117"/>
        <v>0</v>
      </c>
      <c r="K240" s="230">
        <f t="shared" si="118"/>
        <v>0</v>
      </c>
      <c r="L240" s="230">
        <f t="shared" si="119"/>
        <v>0</v>
      </c>
      <c r="M240" s="230">
        <f t="shared" si="120"/>
        <v>0</v>
      </c>
      <c r="N240" s="230">
        <f t="shared" si="121"/>
        <v>0</v>
      </c>
      <c r="O240" s="230">
        <f t="shared" si="122"/>
        <v>0</v>
      </c>
      <c r="P240" s="230">
        <f t="shared" si="123"/>
        <v>0</v>
      </c>
      <c r="Q240" s="230">
        <f t="shared" si="124"/>
        <v>0</v>
      </c>
      <c r="R240" s="230">
        <f t="shared" si="125"/>
        <v>0</v>
      </c>
      <c r="S240" s="230">
        <f t="shared" si="126"/>
        <v>0</v>
      </c>
      <c r="T240" s="230">
        <f t="shared" si="127"/>
        <v>0</v>
      </c>
      <c r="U240" s="230">
        <f t="shared" si="128"/>
        <v>0</v>
      </c>
      <c r="V240" s="230">
        <f t="shared" si="129"/>
        <v>0</v>
      </c>
      <c r="W240" s="230">
        <f t="shared" si="130"/>
        <v>0</v>
      </c>
      <c r="X240" s="230">
        <f t="shared" si="131"/>
        <v>0</v>
      </c>
      <c r="Y240" s="230">
        <f t="shared" si="132"/>
        <v>0</v>
      </c>
      <c r="Z240" s="292">
        <f t="shared" si="133"/>
        <v>0</v>
      </c>
      <c r="AA240" s="300"/>
      <c r="AB240" s="191">
        <f t="shared" si="134"/>
        <v>0</v>
      </c>
      <c r="AC240" s="139">
        <f t="shared" si="135"/>
        <v>0</v>
      </c>
      <c r="AD240" s="132">
        <f t="shared" si="136"/>
        <v>2.2404209381540223</v>
      </c>
      <c r="AE240" s="168">
        <f t="shared" si="137"/>
        <v>3.0391539520069941E-2</v>
      </c>
      <c r="AF240" s="192">
        <f t="shared" si="138"/>
        <v>0</v>
      </c>
      <c r="AG240" s="192">
        <f t="shared" si="148"/>
        <v>0.13076638798784235</v>
      </c>
      <c r="AH240" s="192">
        <f t="shared" si="139"/>
        <v>0</v>
      </c>
      <c r="AI240" s="168">
        <f t="shared" si="140"/>
        <v>8.7528704933933302E-13</v>
      </c>
      <c r="AJ240" s="192">
        <f t="shared" si="141"/>
        <v>2.8856552205621389E-13</v>
      </c>
      <c r="AK240" s="132">
        <f t="shared" si="142"/>
        <v>24.397081908594114</v>
      </c>
      <c r="AL240" s="192">
        <f t="shared" si="143"/>
        <v>0.35233146140510896</v>
      </c>
      <c r="AM240" s="192">
        <f t="shared" si="149"/>
        <v>0</v>
      </c>
      <c r="AN240" s="192">
        <f t="shared" si="144"/>
        <v>0</v>
      </c>
      <c r="AO240" s="192">
        <f t="shared" si="150"/>
        <v>0</v>
      </c>
      <c r="AS240" s="132"/>
      <c r="AT240" s="132"/>
      <c r="AU240" s="200"/>
      <c r="AV240" s="132"/>
      <c r="AW240" s="132"/>
      <c r="AX240" s="132"/>
      <c r="AY240" s="132"/>
      <c r="AZ240" s="132"/>
      <c r="BA240" s="167"/>
      <c r="BB240" s="167"/>
      <c r="BD240" s="211">
        <f t="shared" si="145"/>
        <v>42645</v>
      </c>
      <c r="BE240" s="210">
        <v>1</v>
      </c>
      <c r="BF240" s="209">
        <v>0.5</v>
      </c>
      <c r="BG240" s="209">
        <v>2</v>
      </c>
      <c r="BH240" s="210"/>
      <c r="BI240" s="209"/>
      <c r="BJ240" s="209"/>
      <c r="BK240" s="168">
        <f t="shared" si="146"/>
        <v>0</v>
      </c>
      <c r="BL240" s="168">
        <f t="shared" si="147"/>
        <v>0</v>
      </c>
    </row>
    <row r="241" spans="1:64" ht="13.5" thickBot="1" x14ac:dyDescent="0.25">
      <c r="A241" s="215">
        <f t="shared" si="114"/>
        <v>42646</v>
      </c>
      <c r="B241" s="190"/>
      <c r="C241" s="168"/>
      <c r="D241" s="198"/>
      <c r="E241" s="132">
        <f t="shared" si="115"/>
        <v>224.01057880219111</v>
      </c>
      <c r="F241" s="168">
        <f t="shared" si="116"/>
        <v>224.01057880205113</v>
      </c>
      <c r="G241" s="300"/>
      <c r="H241" s="127">
        <f>VLOOKUP(MONTH(A241),ETP_Parametros!$A$6:$D$17,4,FALSE)</f>
        <v>4.903225806451613</v>
      </c>
      <c r="I241" s="230">
        <f>VLOOKUP(A241,P_Q_obs!$A$4:$F$308,6,FALSE)*1</f>
        <v>0</v>
      </c>
      <c r="J241" s="230">
        <f t="shared" si="117"/>
        <v>0</v>
      </c>
      <c r="K241" s="230">
        <f t="shared" si="118"/>
        <v>0</v>
      </c>
      <c r="L241" s="230">
        <f t="shared" si="119"/>
        <v>0</v>
      </c>
      <c r="M241" s="230">
        <f t="shared" si="120"/>
        <v>0</v>
      </c>
      <c r="N241" s="230">
        <f t="shared" si="121"/>
        <v>0</v>
      </c>
      <c r="O241" s="230">
        <f t="shared" si="122"/>
        <v>0</v>
      </c>
      <c r="P241" s="230">
        <f t="shared" si="123"/>
        <v>0</v>
      </c>
      <c r="Q241" s="230">
        <f t="shared" si="124"/>
        <v>0</v>
      </c>
      <c r="R241" s="230">
        <f t="shared" si="125"/>
        <v>0</v>
      </c>
      <c r="S241" s="230">
        <f t="shared" si="126"/>
        <v>0</v>
      </c>
      <c r="T241" s="230">
        <f t="shared" si="127"/>
        <v>0</v>
      </c>
      <c r="U241" s="230">
        <f t="shared" si="128"/>
        <v>0</v>
      </c>
      <c r="V241" s="230">
        <f t="shared" si="129"/>
        <v>0</v>
      </c>
      <c r="W241" s="230">
        <f t="shared" si="130"/>
        <v>0</v>
      </c>
      <c r="X241" s="230">
        <f t="shared" si="131"/>
        <v>0</v>
      </c>
      <c r="Y241" s="230">
        <f t="shared" si="132"/>
        <v>0</v>
      </c>
      <c r="Z241" s="292">
        <f t="shared" si="133"/>
        <v>0</v>
      </c>
      <c r="AA241" s="300"/>
      <c r="AB241" s="191">
        <f t="shared" si="134"/>
        <v>0</v>
      </c>
      <c r="AC241" s="139">
        <f t="shared" si="135"/>
        <v>0</v>
      </c>
      <c r="AD241" s="132">
        <f t="shared" si="136"/>
        <v>2.1168660631659604</v>
      </c>
      <c r="AE241" s="168">
        <f t="shared" si="137"/>
        <v>2.8715504984706732E-2</v>
      </c>
      <c r="AF241" s="192">
        <f t="shared" si="138"/>
        <v>0</v>
      </c>
      <c r="AG241" s="192">
        <f t="shared" si="148"/>
        <v>0.12355487498806179</v>
      </c>
      <c r="AH241" s="192">
        <f t="shared" si="139"/>
        <v>0</v>
      </c>
      <c r="AI241" s="168">
        <f t="shared" si="140"/>
        <v>6.5826844187190438E-13</v>
      </c>
      <c r="AJ241" s="192">
        <f t="shared" si="141"/>
        <v>2.1701860746742863E-13</v>
      </c>
      <c r="AK241" s="132">
        <f t="shared" si="142"/>
        <v>24.049766220970792</v>
      </c>
      <c r="AL241" s="192">
        <f t="shared" si="143"/>
        <v>0.3473156876233216</v>
      </c>
      <c r="AM241" s="192">
        <f t="shared" si="149"/>
        <v>0</v>
      </c>
      <c r="AN241" s="192">
        <f t="shared" si="144"/>
        <v>0</v>
      </c>
      <c r="AO241" s="192">
        <f t="shared" si="150"/>
        <v>0</v>
      </c>
      <c r="AS241" s="132"/>
      <c r="AT241" s="132"/>
      <c r="AU241" s="200"/>
      <c r="AV241" s="132"/>
      <c r="AW241" s="132"/>
      <c r="AX241" s="132"/>
      <c r="AY241" s="132"/>
      <c r="AZ241" s="132"/>
      <c r="BA241" s="167"/>
      <c r="BB241" s="167"/>
      <c r="BD241" s="211">
        <f t="shared" si="145"/>
        <v>42646</v>
      </c>
      <c r="BE241" s="210">
        <v>1</v>
      </c>
      <c r="BF241" s="209">
        <v>0.5</v>
      </c>
      <c r="BG241" s="209">
        <v>2</v>
      </c>
      <c r="BH241" s="210"/>
      <c r="BI241" s="209"/>
      <c r="BJ241" s="209"/>
      <c r="BK241" s="168">
        <f t="shared" si="146"/>
        <v>0</v>
      </c>
      <c r="BL241" s="168">
        <f t="shared" si="147"/>
        <v>0</v>
      </c>
    </row>
    <row r="242" spans="1:64" ht="13.5" thickBot="1" x14ac:dyDescent="0.25">
      <c r="A242" s="215">
        <f t="shared" si="114"/>
        <v>42647</v>
      </c>
      <c r="B242" s="190"/>
      <c r="C242" s="168"/>
      <c r="D242" s="198"/>
      <c r="E242" s="132">
        <f t="shared" si="115"/>
        <v>220.82157494903058</v>
      </c>
      <c r="F242" s="168">
        <f t="shared" si="116"/>
        <v>220.8215749489253</v>
      </c>
      <c r="G242" s="300"/>
      <c r="H242" s="127">
        <f>VLOOKUP(MONTH(A242),ETP_Parametros!$A$6:$D$17,4,FALSE)</f>
        <v>4.903225806451613</v>
      </c>
      <c r="I242" s="230">
        <f>VLOOKUP(A242,P_Q_obs!$A$4:$F$308,6,FALSE)*1</f>
        <v>0</v>
      </c>
      <c r="J242" s="230">
        <f t="shared" si="117"/>
        <v>0</v>
      </c>
      <c r="K242" s="230">
        <f t="shared" si="118"/>
        <v>0</v>
      </c>
      <c r="L242" s="230">
        <f t="shared" si="119"/>
        <v>0</v>
      </c>
      <c r="M242" s="230">
        <f t="shared" si="120"/>
        <v>0</v>
      </c>
      <c r="N242" s="230">
        <f t="shared" si="121"/>
        <v>0</v>
      </c>
      <c r="O242" s="230">
        <f t="shared" si="122"/>
        <v>0</v>
      </c>
      <c r="P242" s="230">
        <f t="shared" si="123"/>
        <v>0</v>
      </c>
      <c r="Q242" s="230">
        <f t="shared" si="124"/>
        <v>0</v>
      </c>
      <c r="R242" s="230">
        <f t="shared" si="125"/>
        <v>0</v>
      </c>
      <c r="S242" s="230">
        <f t="shared" si="126"/>
        <v>0</v>
      </c>
      <c r="T242" s="230">
        <f t="shared" si="127"/>
        <v>0</v>
      </c>
      <c r="U242" s="230">
        <f t="shared" si="128"/>
        <v>0</v>
      </c>
      <c r="V242" s="230">
        <f t="shared" si="129"/>
        <v>0</v>
      </c>
      <c r="W242" s="230">
        <f t="shared" si="130"/>
        <v>0</v>
      </c>
      <c r="X242" s="230">
        <f t="shared" si="131"/>
        <v>0</v>
      </c>
      <c r="Y242" s="230">
        <f t="shared" si="132"/>
        <v>0</v>
      </c>
      <c r="Z242" s="292">
        <f t="shared" si="133"/>
        <v>0</v>
      </c>
      <c r="AA242" s="300"/>
      <c r="AB242" s="191">
        <f t="shared" si="134"/>
        <v>0</v>
      </c>
      <c r="AC242" s="139">
        <f t="shared" si="135"/>
        <v>0</v>
      </c>
      <c r="AD242" s="132">
        <f t="shared" si="136"/>
        <v>2.0001250002046214</v>
      </c>
      <c r="AE242" s="168">
        <f t="shared" si="137"/>
        <v>2.7131900507448185E-2</v>
      </c>
      <c r="AF242" s="192">
        <f t="shared" si="138"/>
        <v>0</v>
      </c>
      <c r="AG242" s="192">
        <f t="shared" si="148"/>
        <v>0.11674106296133895</v>
      </c>
      <c r="AH242" s="192">
        <f t="shared" si="139"/>
        <v>0</v>
      </c>
      <c r="AI242" s="168">
        <f t="shared" si="140"/>
        <v>4.950574121844175E-13</v>
      </c>
      <c r="AJ242" s="192">
        <f t="shared" si="141"/>
        <v>1.6321102968748688E-13</v>
      </c>
      <c r="AK242" s="132">
        <f t="shared" si="142"/>
        <v>23.707394902814329</v>
      </c>
      <c r="AL242" s="192">
        <f t="shared" si="143"/>
        <v>0.34237131815646465</v>
      </c>
      <c r="AM242" s="192">
        <f t="shared" si="149"/>
        <v>0</v>
      </c>
      <c r="AN242" s="192">
        <f t="shared" si="144"/>
        <v>0</v>
      </c>
      <c r="AO242" s="192">
        <f t="shared" si="150"/>
        <v>0</v>
      </c>
      <c r="AS242" s="132"/>
      <c r="AT242" s="132"/>
      <c r="AU242" s="200"/>
      <c r="AV242" s="132"/>
      <c r="AW242" s="132"/>
      <c r="AX242" s="132"/>
      <c r="AY242" s="132"/>
      <c r="AZ242" s="132"/>
      <c r="BA242" s="167"/>
      <c r="BB242" s="167"/>
      <c r="BD242" s="211">
        <f t="shared" si="145"/>
        <v>42647</v>
      </c>
      <c r="BE242" s="210">
        <v>1</v>
      </c>
      <c r="BF242" s="209">
        <v>0.5</v>
      </c>
      <c r="BG242" s="209">
        <v>2</v>
      </c>
      <c r="BH242" s="210"/>
      <c r="BI242" s="209"/>
      <c r="BJ242" s="209"/>
      <c r="BK242" s="168">
        <f t="shared" si="146"/>
        <v>0</v>
      </c>
      <c r="BL242" s="168">
        <f t="shared" si="147"/>
        <v>0</v>
      </c>
    </row>
    <row r="243" spans="1:64" ht="13.5" thickBot="1" x14ac:dyDescent="0.25">
      <c r="A243" s="215">
        <f t="shared" si="114"/>
        <v>42648</v>
      </c>
      <c r="B243" s="190"/>
      <c r="C243" s="168"/>
      <c r="D243" s="198"/>
      <c r="E243" s="132">
        <f t="shared" si="115"/>
        <v>217.67796960174229</v>
      </c>
      <c r="F243" s="168">
        <f t="shared" si="116"/>
        <v>217.67796960166314</v>
      </c>
      <c r="G243" s="300"/>
      <c r="H243" s="127">
        <f>VLOOKUP(MONTH(A243),ETP_Parametros!$A$6:$D$17,4,FALSE)</f>
        <v>4.903225806451613</v>
      </c>
      <c r="I243" s="230">
        <f>VLOOKUP(A243,P_Q_obs!$A$4:$F$308,6,FALSE)*1</f>
        <v>0</v>
      </c>
      <c r="J243" s="230">
        <f t="shared" si="117"/>
        <v>0</v>
      </c>
      <c r="K243" s="230">
        <f t="shared" si="118"/>
        <v>0</v>
      </c>
      <c r="L243" s="230">
        <f t="shared" si="119"/>
        <v>0</v>
      </c>
      <c r="M243" s="230">
        <f t="shared" si="120"/>
        <v>0</v>
      </c>
      <c r="N243" s="230">
        <f t="shared" si="121"/>
        <v>0</v>
      </c>
      <c r="O243" s="230">
        <f t="shared" si="122"/>
        <v>0</v>
      </c>
      <c r="P243" s="230">
        <f t="shared" si="123"/>
        <v>0</v>
      </c>
      <c r="Q243" s="230">
        <f t="shared" si="124"/>
        <v>0</v>
      </c>
      <c r="R243" s="230">
        <f t="shared" si="125"/>
        <v>0</v>
      </c>
      <c r="S243" s="230">
        <f t="shared" si="126"/>
        <v>0</v>
      </c>
      <c r="T243" s="230">
        <f t="shared" si="127"/>
        <v>0</v>
      </c>
      <c r="U243" s="230">
        <f t="shared" si="128"/>
        <v>0</v>
      </c>
      <c r="V243" s="230">
        <f t="shared" si="129"/>
        <v>0</v>
      </c>
      <c r="W243" s="230">
        <f t="shared" si="130"/>
        <v>0</v>
      </c>
      <c r="X243" s="230">
        <f t="shared" si="131"/>
        <v>0</v>
      </c>
      <c r="Y243" s="230">
        <f t="shared" si="132"/>
        <v>0</v>
      </c>
      <c r="Z243" s="292">
        <f t="shared" si="133"/>
        <v>0</v>
      </c>
      <c r="AA243" s="300"/>
      <c r="AB243" s="191">
        <f t="shared" si="134"/>
        <v>0</v>
      </c>
      <c r="AC243" s="139">
        <f t="shared" si="135"/>
        <v>0</v>
      </c>
      <c r="AD243" s="132">
        <f t="shared" si="136"/>
        <v>1.889821980735255</v>
      </c>
      <c r="AE243" s="168">
        <f t="shared" si="137"/>
        <v>2.5635628749629148E-2</v>
      </c>
      <c r="AF243" s="192">
        <f t="shared" si="138"/>
        <v>0</v>
      </c>
      <c r="AG243" s="192">
        <f t="shared" si="148"/>
        <v>0.11030301946936633</v>
      </c>
      <c r="AH243" s="192">
        <f t="shared" si="139"/>
        <v>0</v>
      </c>
      <c r="AI243" s="168">
        <f t="shared" si="140"/>
        <v>3.723129133485392E-13</v>
      </c>
      <c r="AJ243" s="192">
        <f t="shared" si="141"/>
        <v>1.227444988358783E-13</v>
      </c>
      <c r="AK243" s="132">
        <f t="shared" si="142"/>
        <v>23.369897566318194</v>
      </c>
      <c r="AL243" s="192">
        <f t="shared" si="143"/>
        <v>0.33749733649613639</v>
      </c>
      <c r="AM243" s="192">
        <f t="shared" si="149"/>
        <v>0</v>
      </c>
      <c r="AN243" s="192">
        <f t="shared" si="144"/>
        <v>0</v>
      </c>
      <c r="AO243" s="192">
        <f t="shared" si="150"/>
        <v>0</v>
      </c>
      <c r="AS243" s="132"/>
      <c r="AT243" s="132"/>
      <c r="AU243" s="200"/>
      <c r="AV243" s="132"/>
      <c r="AW243" s="132"/>
      <c r="AX243" s="132"/>
      <c r="AY243" s="132"/>
      <c r="AZ243" s="132"/>
      <c r="BA243" s="167"/>
      <c r="BB243" s="167"/>
      <c r="BD243" s="211">
        <f t="shared" si="145"/>
        <v>42648</v>
      </c>
      <c r="BE243" s="210">
        <v>1</v>
      </c>
      <c r="BF243" s="209">
        <v>0.5</v>
      </c>
      <c r="BG243" s="209">
        <v>2</v>
      </c>
      <c r="BH243" s="210"/>
      <c r="BI243" s="209"/>
      <c r="BJ243" s="209"/>
      <c r="BK243" s="168">
        <f t="shared" si="146"/>
        <v>0</v>
      </c>
      <c r="BL243" s="168">
        <f t="shared" si="147"/>
        <v>0</v>
      </c>
    </row>
    <row r="244" spans="1:64" ht="13.5" thickBot="1" x14ac:dyDescent="0.25">
      <c r="A244" s="215">
        <f t="shared" si="114"/>
        <v>42649</v>
      </c>
      <c r="B244" s="190"/>
      <c r="C244" s="168"/>
      <c r="D244" s="198"/>
      <c r="E244" s="132">
        <f t="shared" si="115"/>
        <v>214.57911646937254</v>
      </c>
      <c r="F244" s="168">
        <f t="shared" si="116"/>
        <v>214.57911646931299</v>
      </c>
      <c r="G244" s="300"/>
      <c r="H244" s="127">
        <f>VLOOKUP(MONTH(A244),ETP_Parametros!$A$6:$D$17,4,FALSE)</f>
        <v>4.903225806451613</v>
      </c>
      <c r="I244" s="230">
        <f>VLOOKUP(A244,P_Q_obs!$A$4:$F$308,6,FALSE)*1</f>
        <v>0</v>
      </c>
      <c r="J244" s="230">
        <f t="shared" si="117"/>
        <v>0</v>
      </c>
      <c r="K244" s="230">
        <f t="shared" si="118"/>
        <v>0</v>
      </c>
      <c r="L244" s="230">
        <f t="shared" si="119"/>
        <v>0</v>
      </c>
      <c r="M244" s="230">
        <f t="shared" si="120"/>
        <v>0</v>
      </c>
      <c r="N244" s="230">
        <f t="shared" si="121"/>
        <v>0</v>
      </c>
      <c r="O244" s="230">
        <f t="shared" si="122"/>
        <v>0</v>
      </c>
      <c r="P244" s="230">
        <f t="shared" si="123"/>
        <v>0</v>
      </c>
      <c r="Q244" s="230">
        <f t="shared" si="124"/>
        <v>0</v>
      </c>
      <c r="R244" s="230">
        <f t="shared" si="125"/>
        <v>0</v>
      </c>
      <c r="S244" s="230">
        <f t="shared" si="126"/>
        <v>0</v>
      </c>
      <c r="T244" s="230">
        <f t="shared" si="127"/>
        <v>0</v>
      </c>
      <c r="U244" s="230">
        <f t="shared" si="128"/>
        <v>0</v>
      </c>
      <c r="V244" s="230">
        <f t="shared" si="129"/>
        <v>0</v>
      </c>
      <c r="W244" s="230">
        <f t="shared" si="130"/>
        <v>0</v>
      </c>
      <c r="X244" s="230">
        <f t="shared" si="131"/>
        <v>0</v>
      </c>
      <c r="Y244" s="230">
        <f t="shared" si="132"/>
        <v>0</v>
      </c>
      <c r="Z244" s="292">
        <f t="shared" si="133"/>
        <v>0</v>
      </c>
      <c r="AA244" s="300"/>
      <c r="AB244" s="191">
        <f t="shared" si="134"/>
        <v>0</v>
      </c>
      <c r="AC244" s="139">
        <f t="shared" si="135"/>
        <v>0</v>
      </c>
      <c r="AD244" s="132">
        <f t="shared" si="136"/>
        <v>1.7856019591299295</v>
      </c>
      <c r="AE244" s="168">
        <f t="shared" si="137"/>
        <v>2.4221873480938187E-2</v>
      </c>
      <c r="AF244" s="192">
        <f t="shared" si="138"/>
        <v>0</v>
      </c>
      <c r="AG244" s="192">
        <f t="shared" si="148"/>
        <v>0.10422002160532547</v>
      </c>
      <c r="AH244" s="192">
        <f t="shared" si="139"/>
        <v>0</v>
      </c>
      <c r="AI244" s="168">
        <f t="shared" si="140"/>
        <v>2.8000167664278835E-13</v>
      </c>
      <c r="AJ244" s="192">
        <f t="shared" si="141"/>
        <v>9.2311236705750854E-14</v>
      </c>
      <c r="AK244" s="132">
        <f t="shared" si="142"/>
        <v>23.037204825713296</v>
      </c>
      <c r="AL244" s="192">
        <f t="shared" si="143"/>
        <v>0.33269274060489973</v>
      </c>
      <c r="AM244" s="192">
        <f t="shared" si="149"/>
        <v>0</v>
      </c>
      <c r="AN244" s="192">
        <f t="shared" si="144"/>
        <v>0</v>
      </c>
      <c r="AO244" s="192">
        <f t="shared" si="150"/>
        <v>0</v>
      </c>
      <c r="AS244" s="132"/>
      <c r="AT244" s="132"/>
      <c r="AU244" s="200"/>
      <c r="AV244" s="132"/>
      <c r="AW244" s="132"/>
      <c r="AX244" s="132"/>
      <c r="AY244" s="132"/>
      <c r="AZ244" s="132"/>
      <c r="BA244" s="167"/>
      <c r="BB244" s="167"/>
      <c r="BD244" s="211">
        <f t="shared" si="145"/>
        <v>42649</v>
      </c>
      <c r="BE244" s="210">
        <v>1</v>
      </c>
      <c r="BF244" s="209">
        <v>0.5</v>
      </c>
      <c r="BG244" s="209">
        <v>2</v>
      </c>
      <c r="BH244" s="210"/>
      <c r="BI244" s="209"/>
      <c r="BJ244" s="209"/>
      <c r="BK244" s="168">
        <f t="shared" si="146"/>
        <v>0</v>
      </c>
      <c r="BL244" s="168">
        <f t="shared" si="147"/>
        <v>0</v>
      </c>
    </row>
    <row r="245" spans="1:64" ht="13.5" thickBot="1" x14ac:dyDescent="0.25">
      <c r="A245" s="215">
        <f t="shared" si="114"/>
        <v>42650</v>
      </c>
      <c r="B245" s="190"/>
      <c r="C245" s="168"/>
      <c r="D245" s="198"/>
      <c r="E245" s="132">
        <f t="shared" si="115"/>
        <v>211.52437846153515</v>
      </c>
      <c r="F245" s="168">
        <f t="shared" si="116"/>
        <v>211.52437846149041</v>
      </c>
      <c r="G245" s="300"/>
      <c r="H245" s="127">
        <f>VLOOKUP(MONTH(A245),ETP_Parametros!$A$6:$D$17,4,FALSE)</f>
        <v>4.903225806451613</v>
      </c>
      <c r="I245" s="230">
        <f>VLOOKUP(A245,P_Q_obs!$A$4:$F$308,6,FALSE)*1</f>
        <v>0</v>
      </c>
      <c r="J245" s="230">
        <f t="shared" si="117"/>
        <v>0</v>
      </c>
      <c r="K245" s="230">
        <f t="shared" si="118"/>
        <v>0</v>
      </c>
      <c r="L245" s="230">
        <f t="shared" si="119"/>
        <v>0</v>
      </c>
      <c r="M245" s="230">
        <f t="shared" si="120"/>
        <v>0</v>
      </c>
      <c r="N245" s="230">
        <f t="shared" si="121"/>
        <v>0</v>
      </c>
      <c r="O245" s="230">
        <f t="shared" si="122"/>
        <v>0</v>
      </c>
      <c r="P245" s="230">
        <f t="shared" si="123"/>
        <v>0</v>
      </c>
      <c r="Q245" s="230">
        <f t="shared" si="124"/>
        <v>0</v>
      </c>
      <c r="R245" s="230">
        <f t="shared" si="125"/>
        <v>0</v>
      </c>
      <c r="S245" s="230">
        <f t="shared" si="126"/>
        <v>0</v>
      </c>
      <c r="T245" s="230">
        <f t="shared" si="127"/>
        <v>0</v>
      </c>
      <c r="U245" s="230">
        <f t="shared" si="128"/>
        <v>0</v>
      </c>
      <c r="V245" s="230">
        <f t="shared" si="129"/>
        <v>0</v>
      </c>
      <c r="W245" s="230">
        <f t="shared" si="130"/>
        <v>0</v>
      </c>
      <c r="X245" s="230">
        <f t="shared" si="131"/>
        <v>0</v>
      </c>
      <c r="Y245" s="230">
        <f t="shared" si="132"/>
        <v>0</v>
      </c>
      <c r="Z245" s="292">
        <f t="shared" si="133"/>
        <v>0</v>
      </c>
      <c r="AA245" s="300"/>
      <c r="AB245" s="191">
        <f t="shared" si="134"/>
        <v>0</v>
      </c>
      <c r="AC245" s="139">
        <f t="shared" si="135"/>
        <v>0</v>
      </c>
      <c r="AD245" s="132">
        <f t="shared" si="136"/>
        <v>1.6871294698393613</v>
      </c>
      <c r="AE245" s="168">
        <f t="shared" si="137"/>
        <v>2.2886084076836382E-2</v>
      </c>
      <c r="AF245" s="192">
        <f t="shared" si="138"/>
        <v>0</v>
      </c>
      <c r="AG245" s="192">
        <f t="shared" si="148"/>
        <v>9.8472489290568177E-2</v>
      </c>
      <c r="AH245" s="192">
        <f t="shared" si="139"/>
        <v>0</v>
      </c>
      <c r="AI245" s="168">
        <f t="shared" si="140"/>
        <v>2.1057808126407338E-13</v>
      </c>
      <c r="AJ245" s="192">
        <f t="shared" si="141"/>
        <v>6.9423595378714954E-14</v>
      </c>
      <c r="AK245" s="132">
        <f t="shared" si="142"/>
        <v>22.709248283003021</v>
      </c>
      <c r="AL245" s="192">
        <f t="shared" si="143"/>
        <v>0.32795654271027475</v>
      </c>
      <c r="AM245" s="192">
        <f t="shared" si="149"/>
        <v>0</v>
      </c>
      <c r="AN245" s="192">
        <f t="shared" si="144"/>
        <v>0</v>
      </c>
      <c r="AO245" s="192">
        <f t="shared" si="150"/>
        <v>0</v>
      </c>
      <c r="AS245" s="132"/>
      <c r="AT245" s="132"/>
      <c r="AU245" s="200"/>
      <c r="AV245" s="132"/>
      <c r="AW245" s="132"/>
      <c r="AX245" s="132"/>
      <c r="AY245" s="132"/>
      <c r="AZ245" s="132"/>
      <c r="BA245" s="167"/>
      <c r="BB245" s="167"/>
      <c r="BD245" s="211">
        <f t="shared" si="145"/>
        <v>42650</v>
      </c>
      <c r="BE245" s="210">
        <v>1</v>
      </c>
      <c r="BF245" s="209">
        <v>0.5</v>
      </c>
      <c r="BG245" s="209">
        <v>2</v>
      </c>
      <c r="BH245" s="210"/>
      <c r="BI245" s="209"/>
      <c r="BJ245" s="209"/>
      <c r="BK245" s="168">
        <f t="shared" si="146"/>
        <v>0</v>
      </c>
      <c r="BL245" s="168">
        <f t="shared" si="147"/>
        <v>0</v>
      </c>
    </row>
    <row r="246" spans="1:64" ht="13.5" thickBot="1" x14ac:dyDescent="0.25">
      <c r="A246" s="215">
        <f t="shared" si="114"/>
        <v>42651</v>
      </c>
      <c r="B246" s="190"/>
      <c r="C246" s="168"/>
      <c r="D246" s="198"/>
      <c r="E246" s="132">
        <f t="shared" si="115"/>
        <v>208.51312755743257</v>
      </c>
      <c r="F246" s="168">
        <f t="shared" si="116"/>
        <v>208.51312755739886</v>
      </c>
      <c r="G246" s="300"/>
      <c r="H246" s="127">
        <f>VLOOKUP(MONTH(A246),ETP_Parametros!$A$6:$D$17,4,FALSE)</f>
        <v>4.903225806451613</v>
      </c>
      <c r="I246" s="230">
        <f>VLOOKUP(A246,P_Q_obs!$A$4:$F$308,6,FALSE)*1</f>
        <v>0</v>
      </c>
      <c r="J246" s="230">
        <f t="shared" si="117"/>
        <v>0</v>
      </c>
      <c r="K246" s="230">
        <f t="shared" si="118"/>
        <v>0</v>
      </c>
      <c r="L246" s="230">
        <f t="shared" si="119"/>
        <v>0</v>
      </c>
      <c r="M246" s="230">
        <f t="shared" si="120"/>
        <v>0</v>
      </c>
      <c r="N246" s="230">
        <f t="shared" si="121"/>
        <v>0</v>
      </c>
      <c r="O246" s="230">
        <f t="shared" si="122"/>
        <v>0</v>
      </c>
      <c r="P246" s="230">
        <f t="shared" si="123"/>
        <v>0</v>
      </c>
      <c r="Q246" s="230">
        <f t="shared" si="124"/>
        <v>0</v>
      </c>
      <c r="R246" s="230">
        <f t="shared" si="125"/>
        <v>0</v>
      </c>
      <c r="S246" s="230">
        <f t="shared" si="126"/>
        <v>0</v>
      </c>
      <c r="T246" s="230">
        <f t="shared" si="127"/>
        <v>0</v>
      </c>
      <c r="U246" s="230">
        <f t="shared" si="128"/>
        <v>0</v>
      </c>
      <c r="V246" s="230">
        <f t="shared" si="129"/>
        <v>0</v>
      </c>
      <c r="W246" s="230">
        <f t="shared" si="130"/>
        <v>0</v>
      </c>
      <c r="X246" s="230">
        <f t="shared" si="131"/>
        <v>0</v>
      </c>
      <c r="Y246" s="230">
        <f t="shared" si="132"/>
        <v>0</v>
      </c>
      <c r="Z246" s="292">
        <f t="shared" si="133"/>
        <v>0</v>
      </c>
      <c r="AA246" s="300"/>
      <c r="AB246" s="191">
        <f t="shared" si="134"/>
        <v>0</v>
      </c>
      <c r="AC246" s="139">
        <f t="shared" si="135"/>
        <v>0</v>
      </c>
      <c r="AD246" s="132">
        <f t="shared" si="136"/>
        <v>1.5940875475895047</v>
      </c>
      <c r="AE246" s="168">
        <f t="shared" si="137"/>
        <v>2.1623960870913461E-2</v>
      </c>
      <c r="AF246" s="192">
        <f t="shared" si="138"/>
        <v>0</v>
      </c>
      <c r="AG246" s="192">
        <f t="shared" si="148"/>
        <v>9.3041922249856565E-2</v>
      </c>
      <c r="AH246" s="192">
        <f t="shared" si="139"/>
        <v>0</v>
      </c>
      <c r="AI246" s="168">
        <f t="shared" si="140"/>
        <v>1.5836736708340987E-13</v>
      </c>
      <c r="AJ246" s="192">
        <f t="shared" si="141"/>
        <v>5.2210714180663501E-14</v>
      </c>
      <c r="AK246" s="132">
        <f t="shared" si="142"/>
        <v>22.38596051390136</v>
      </c>
      <c r="AL246" s="192">
        <f t="shared" si="143"/>
        <v>0.32328776910166285</v>
      </c>
      <c r="AM246" s="192">
        <f t="shared" si="149"/>
        <v>0</v>
      </c>
      <c r="AN246" s="192">
        <f t="shared" si="144"/>
        <v>0</v>
      </c>
      <c r="AO246" s="192">
        <f t="shared" si="150"/>
        <v>0</v>
      </c>
      <c r="AS246" s="132"/>
      <c r="AT246" s="132"/>
      <c r="AU246" s="200"/>
      <c r="AV246" s="132"/>
      <c r="AW246" s="132"/>
      <c r="AX246" s="132"/>
      <c r="AY246" s="132"/>
      <c r="AZ246" s="132"/>
      <c r="BA246" s="167"/>
      <c r="BB246" s="167"/>
      <c r="BD246" s="211">
        <f t="shared" si="145"/>
        <v>42651</v>
      </c>
      <c r="BE246" s="210">
        <v>1</v>
      </c>
      <c r="BF246" s="209">
        <v>0.5</v>
      </c>
      <c r="BG246" s="209">
        <v>2</v>
      </c>
      <c r="BH246" s="210"/>
      <c r="BI246" s="209"/>
      <c r="BJ246" s="209"/>
      <c r="BK246" s="168">
        <f t="shared" si="146"/>
        <v>0</v>
      </c>
      <c r="BL246" s="168">
        <f t="shared" si="147"/>
        <v>0</v>
      </c>
    </row>
    <row r="247" spans="1:64" ht="13.5" thickBot="1" x14ac:dyDescent="0.25">
      <c r="A247" s="215">
        <f t="shared" ref="A247:A310" si="151">A246+1</f>
        <v>42652</v>
      </c>
      <c r="B247" s="190"/>
      <c r="C247" s="168"/>
      <c r="D247" s="198"/>
      <c r="E247" s="132">
        <f t="shared" si="115"/>
        <v>205.5447446767414</v>
      </c>
      <c r="F247" s="168">
        <f t="shared" si="116"/>
        <v>205.54474467671608</v>
      </c>
      <c r="G247" s="300"/>
      <c r="H247" s="127">
        <f>VLOOKUP(MONTH(A247),ETP_Parametros!$A$6:$D$17,4,FALSE)</f>
        <v>4.903225806451613</v>
      </c>
      <c r="I247" s="230">
        <f>VLOOKUP(A247,P_Q_obs!$A$4:$F$308,6,FALSE)*1</f>
        <v>0</v>
      </c>
      <c r="J247" s="230">
        <f t="shared" si="117"/>
        <v>0</v>
      </c>
      <c r="K247" s="230">
        <f t="shared" si="118"/>
        <v>0</v>
      </c>
      <c r="L247" s="230">
        <f t="shared" si="119"/>
        <v>0</v>
      </c>
      <c r="M247" s="230">
        <f t="shared" si="120"/>
        <v>0</v>
      </c>
      <c r="N247" s="230">
        <f t="shared" si="121"/>
        <v>0</v>
      </c>
      <c r="O247" s="230">
        <f t="shared" si="122"/>
        <v>0</v>
      </c>
      <c r="P247" s="230">
        <f t="shared" si="123"/>
        <v>0</v>
      </c>
      <c r="Q247" s="230">
        <f t="shared" si="124"/>
        <v>0</v>
      </c>
      <c r="R247" s="230">
        <f t="shared" si="125"/>
        <v>0</v>
      </c>
      <c r="S247" s="230">
        <f t="shared" si="126"/>
        <v>0</v>
      </c>
      <c r="T247" s="230">
        <f t="shared" si="127"/>
        <v>0</v>
      </c>
      <c r="U247" s="230">
        <f t="shared" si="128"/>
        <v>0</v>
      </c>
      <c r="V247" s="230">
        <f t="shared" si="129"/>
        <v>0</v>
      </c>
      <c r="W247" s="230">
        <f t="shared" si="130"/>
        <v>0</v>
      </c>
      <c r="X247" s="230">
        <f t="shared" si="131"/>
        <v>0</v>
      </c>
      <c r="Y247" s="230">
        <f t="shared" si="132"/>
        <v>0</v>
      </c>
      <c r="Z247" s="292">
        <f t="shared" si="133"/>
        <v>0</v>
      </c>
      <c r="AA247" s="300"/>
      <c r="AB247" s="191">
        <f t="shared" si="134"/>
        <v>0</v>
      </c>
      <c r="AC247" s="139">
        <f t="shared" si="135"/>
        <v>0</v>
      </c>
      <c r="AD247" s="132">
        <f t="shared" si="136"/>
        <v>1.5061767071272081</v>
      </c>
      <c r="AE247" s="168">
        <f t="shared" si="137"/>
        <v>2.0431441315033119E-2</v>
      </c>
      <c r="AF247" s="192">
        <f t="shared" si="138"/>
        <v>0</v>
      </c>
      <c r="AG247" s="192">
        <f t="shared" si="148"/>
        <v>8.7910840462296663E-2</v>
      </c>
      <c r="AH247" s="192">
        <f t="shared" si="139"/>
        <v>0</v>
      </c>
      <c r="AI247" s="168">
        <f t="shared" si="140"/>
        <v>1.1910177358620665E-13</v>
      </c>
      <c r="AJ247" s="192">
        <f t="shared" si="141"/>
        <v>3.9265593497203218E-14</v>
      </c>
      <c r="AK247" s="132">
        <f t="shared" si="142"/>
        <v>22.067275053971198</v>
      </c>
      <c r="AL247" s="192">
        <f t="shared" si="143"/>
        <v>0.31868545993016312</v>
      </c>
      <c r="AM247" s="192">
        <f t="shared" si="149"/>
        <v>0</v>
      </c>
      <c r="AN247" s="192">
        <f t="shared" si="144"/>
        <v>0</v>
      </c>
      <c r="AO247" s="192">
        <f t="shared" si="150"/>
        <v>0</v>
      </c>
      <c r="AS247" s="132"/>
      <c r="AT247" s="132"/>
      <c r="AU247" s="200"/>
      <c r="AV247" s="132"/>
      <c r="AW247" s="132"/>
      <c r="AX247" s="132"/>
      <c r="AY247" s="132"/>
      <c r="AZ247" s="132"/>
      <c r="BA247" s="167"/>
      <c r="BB247" s="167"/>
      <c r="BD247" s="211">
        <f t="shared" si="145"/>
        <v>42652</v>
      </c>
      <c r="BE247" s="210">
        <v>1</v>
      </c>
      <c r="BF247" s="209">
        <v>0.5</v>
      </c>
      <c r="BG247" s="209">
        <v>2</v>
      </c>
      <c r="BH247" s="210"/>
      <c r="BI247" s="209"/>
      <c r="BJ247" s="209"/>
      <c r="BK247" s="168">
        <f t="shared" si="146"/>
        <v>0</v>
      </c>
      <c r="BL247" s="168">
        <f t="shared" si="147"/>
        <v>0</v>
      </c>
    </row>
    <row r="248" spans="1:64" ht="13.5" thickBot="1" x14ac:dyDescent="0.25">
      <c r="A248" s="215">
        <f t="shared" si="151"/>
        <v>42653</v>
      </c>
      <c r="B248" s="190"/>
      <c r="C248" s="168"/>
      <c r="D248" s="198"/>
      <c r="E248" s="132">
        <f t="shared" si="115"/>
        <v>202.61861955233627</v>
      </c>
      <c r="F248" s="168">
        <f t="shared" si="116"/>
        <v>202.61861955231723</v>
      </c>
      <c r="G248" s="300"/>
      <c r="H248" s="127">
        <f>VLOOKUP(MONTH(A248),ETP_Parametros!$A$6:$D$17,4,FALSE)</f>
        <v>4.903225806451613</v>
      </c>
      <c r="I248" s="230">
        <f>VLOOKUP(A248,P_Q_obs!$A$4:$F$308,6,FALSE)*1</f>
        <v>0</v>
      </c>
      <c r="J248" s="230">
        <f t="shared" si="117"/>
        <v>0</v>
      </c>
      <c r="K248" s="230">
        <f t="shared" si="118"/>
        <v>0</v>
      </c>
      <c r="L248" s="230">
        <f t="shared" si="119"/>
        <v>0</v>
      </c>
      <c r="M248" s="230">
        <f t="shared" si="120"/>
        <v>0</v>
      </c>
      <c r="N248" s="230">
        <f t="shared" si="121"/>
        <v>0</v>
      </c>
      <c r="O248" s="230">
        <f t="shared" si="122"/>
        <v>0</v>
      </c>
      <c r="P248" s="230">
        <f t="shared" si="123"/>
        <v>0</v>
      </c>
      <c r="Q248" s="230">
        <f t="shared" si="124"/>
        <v>0</v>
      </c>
      <c r="R248" s="230">
        <f t="shared" si="125"/>
        <v>0</v>
      </c>
      <c r="S248" s="230">
        <f t="shared" si="126"/>
        <v>0</v>
      </c>
      <c r="T248" s="230">
        <f t="shared" si="127"/>
        <v>0</v>
      </c>
      <c r="U248" s="230">
        <f t="shared" si="128"/>
        <v>0</v>
      </c>
      <c r="V248" s="230">
        <f t="shared" si="129"/>
        <v>0</v>
      </c>
      <c r="W248" s="230">
        <f t="shared" si="130"/>
        <v>0</v>
      </c>
      <c r="X248" s="230">
        <f t="shared" si="131"/>
        <v>0</v>
      </c>
      <c r="Y248" s="230">
        <f t="shared" si="132"/>
        <v>0</v>
      </c>
      <c r="Z248" s="292">
        <f t="shared" si="133"/>
        <v>0</v>
      </c>
      <c r="AA248" s="300"/>
      <c r="AB248" s="191">
        <f t="shared" si="134"/>
        <v>0</v>
      </c>
      <c r="AC248" s="139">
        <f t="shared" si="135"/>
        <v>0</v>
      </c>
      <c r="AD248" s="132">
        <f t="shared" si="136"/>
        <v>1.4231139792309206</v>
      </c>
      <c r="AE248" s="168">
        <f t="shared" si="137"/>
        <v>1.9304686902719512E-2</v>
      </c>
      <c r="AF248" s="192">
        <f t="shared" si="138"/>
        <v>0</v>
      </c>
      <c r="AG248" s="192">
        <f t="shared" si="148"/>
        <v>8.3062727896287519E-2</v>
      </c>
      <c r="AH248" s="192">
        <f t="shared" si="139"/>
        <v>0</v>
      </c>
      <c r="AI248" s="168">
        <f t="shared" si="140"/>
        <v>8.957168849002125E-14</v>
      </c>
      <c r="AJ248" s="192">
        <f t="shared" si="141"/>
        <v>2.9530085096185405E-14</v>
      </c>
      <c r="AK248" s="132">
        <f t="shared" si="142"/>
        <v>21.753126384959959</v>
      </c>
      <c r="AL248" s="192">
        <f t="shared" si="143"/>
        <v>0.31414866901123728</v>
      </c>
      <c r="AM248" s="192">
        <f t="shared" si="149"/>
        <v>0</v>
      </c>
      <c r="AN248" s="192">
        <f t="shared" si="144"/>
        <v>0</v>
      </c>
      <c r="AO248" s="192">
        <f t="shared" si="150"/>
        <v>0</v>
      </c>
      <c r="AS248" s="132"/>
      <c r="AT248" s="132"/>
      <c r="AU248" s="200"/>
      <c r="AV248" s="132"/>
      <c r="AW248" s="132"/>
      <c r="AX248" s="132"/>
      <c r="AY248" s="132"/>
      <c r="AZ248" s="132"/>
      <c r="BA248" s="167"/>
      <c r="BB248" s="167"/>
      <c r="BD248" s="211">
        <f t="shared" si="145"/>
        <v>42653</v>
      </c>
      <c r="BE248" s="210">
        <v>1</v>
      </c>
      <c r="BF248" s="209">
        <v>0.5</v>
      </c>
      <c r="BG248" s="209">
        <v>2</v>
      </c>
      <c r="BH248" s="210"/>
      <c r="BI248" s="209"/>
      <c r="BJ248" s="209"/>
      <c r="BK248" s="168">
        <f t="shared" si="146"/>
        <v>0</v>
      </c>
      <c r="BL248" s="168">
        <f t="shared" si="147"/>
        <v>0</v>
      </c>
    </row>
    <row r="249" spans="1:64" ht="13.5" thickBot="1" x14ac:dyDescent="0.25">
      <c r="A249" s="215">
        <f t="shared" si="151"/>
        <v>42654</v>
      </c>
      <c r="B249" s="190"/>
      <c r="C249" s="168"/>
      <c r="D249" s="198"/>
      <c r="E249" s="132">
        <f t="shared" si="115"/>
        <v>199.73415060482549</v>
      </c>
      <c r="F249" s="168">
        <f t="shared" si="116"/>
        <v>199.73415060481116</v>
      </c>
      <c r="G249" s="300"/>
      <c r="H249" s="127">
        <f>VLOOKUP(MONTH(A249),ETP_Parametros!$A$6:$D$17,4,FALSE)</f>
        <v>4.903225806451613</v>
      </c>
      <c r="I249" s="230">
        <f>VLOOKUP(A249,P_Q_obs!$A$4:$F$308,6,FALSE)*1</f>
        <v>0</v>
      </c>
      <c r="J249" s="230">
        <f t="shared" si="117"/>
        <v>0</v>
      </c>
      <c r="K249" s="230">
        <f t="shared" si="118"/>
        <v>0</v>
      </c>
      <c r="L249" s="230">
        <f t="shared" si="119"/>
        <v>0</v>
      </c>
      <c r="M249" s="230">
        <f t="shared" si="120"/>
        <v>0</v>
      </c>
      <c r="N249" s="230">
        <f t="shared" si="121"/>
        <v>0</v>
      </c>
      <c r="O249" s="230">
        <f t="shared" si="122"/>
        <v>0</v>
      </c>
      <c r="P249" s="230">
        <f t="shared" si="123"/>
        <v>0</v>
      </c>
      <c r="Q249" s="230">
        <f t="shared" si="124"/>
        <v>0</v>
      </c>
      <c r="R249" s="230">
        <f t="shared" si="125"/>
        <v>0</v>
      </c>
      <c r="S249" s="230">
        <f t="shared" si="126"/>
        <v>0</v>
      </c>
      <c r="T249" s="230">
        <f t="shared" si="127"/>
        <v>0</v>
      </c>
      <c r="U249" s="230">
        <f t="shared" si="128"/>
        <v>0</v>
      </c>
      <c r="V249" s="230">
        <f t="shared" si="129"/>
        <v>0</v>
      </c>
      <c r="W249" s="230">
        <f t="shared" si="130"/>
        <v>0</v>
      </c>
      <c r="X249" s="230">
        <f t="shared" si="131"/>
        <v>0</v>
      </c>
      <c r="Y249" s="230">
        <f t="shared" si="132"/>
        <v>0</v>
      </c>
      <c r="Z249" s="292">
        <f t="shared" si="133"/>
        <v>0</v>
      </c>
      <c r="AA249" s="300"/>
      <c r="AB249" s="191">
        <f t="shared" si="134"/>
        <v>0</v>
      </c>
      <c r="AC249" s="139">
        <f t="shared" si="135"/>
        <v>0</v>
      </c>
      <c r="AD249" s="132">
        <f t="shared" si="136"/>
        <v>1.3446319998835417</v>
      </c>
      <c r="AE249" s="168">
        <f t="shared" si="137"/>
        <v>1.8240070813693655E-2</v>
      </c>
      <c r="AF249" s="192">
        <f t="shared" si="138"/>
        <v>0</v>
      </c>
      <c r="AG249" s="192">
        <f t="shared" si="148"/>
        <v>7.8481979347379063E-2</v>
      </c>
      <c r="AH249" s="192">
        <f t="shared" si="139"/>
        <v>0</v>
      </c>
      <c r="AI249" s="168">
        <f t="shared" si="140"/>
        <v>6.7363290548702367E-14</v>
      </c>
      <c r="AJ249" s="192">
        <f t="shared" si="141"/>
        <v>2.2208397941318877E-14</v>
      </c>
      <c r="AK249" s="132">
        <f t="shared" si="142"/>
        <v>21.443449921329773</v>
      </c>
      <c r="AL249" s="192">
        <f t="shared" si="143"/>
        <v>0.30967646363018497</v>
      </c>
      <c r="AM249" s="192">
        <f t="shared" si="149"/>
        <v>0</v>
      </c>
      <c r="AN249" s="192">
        <f t="shared" si="144"/>
        <v>0</v>
      </c>
      <c r="AO249" s="192">
        <f t="shared" si="150"/>
        <v>0</v>
      </c>
      <c r="AS249" s="132"/>
      <c r="AT249" s="132"/>
      <c r="AU249" s="200"/>
      <c r="AV249" s="132"/>
      <c r="AW249" s="132"/>
      <c r="AX249" s="132"/>
      <c r="AY249" s="132"/>
      <c r="AZ249" s="132"/>
      <c r="BA249" s="167"/>
      <c r="BB249" s="167"/>
      <c r="BD249" s="211">
        <f t="shared" si="145"/>
        <v>42654</v>
      </c>
      <c r="BE249" s="210">
        <v>1</v>
      </c>
      <c r="BF249" s="209">
        <v>0.5</v>
      </c>
      <c r="BG249" s="209">
        <v>2</v>
      </c>
      <c r="BH249" s="210"/>
      <c r="BI249" s="209"/>
      <c r="BJ249" s="209"/>
      <c r="BK249" s="168">
        <f t="shared" si="146"/>
        <v>0</v>
      </c>
      <c r="BL249" s="168">
        <f t="shared" si="147"/>
        <v>0</v>
      </c>
    </row>
    <row r="250" spans="1:64" ht="13.5" thickBot="1" x14ac:dyDescent="0.25">
      <c r="A250" s="215">
        <f t="shared" si="151"/>
        <v>42655</v>
      </c>
      <c r="B250" s="190"/>
      <c r="C250" s="168"/>
      <c r="D250" s="198"/>
      <c r="E250" s="132">
        <f t="shared" si="115"/>
        <v>196.89074481887286</v>
      </c>
      <c r="F250" s="168">
        <f t="shared" si="116"/>
        <v>196.89074481886209</v>
      </c>
      <c r="G250" s="300"/>
      <c r="H250" s="127">
        <f>VLOOKUP(MONTH(A250),ETP_Parametros!$A$6:$D$17,4,FALSE)</f>
        <v>4.903225806451613</v>
      </c>
      <c r="I250" s="230">
        <f>VLOOKUP(A250,P_Q_obs!$A$4:$F$308,6,FALSE)*1</f>
        <v>0</v>
      </c>
      <c r="J250" s="230">
        <f t="shared" si="117"/>
        <v>0</v>
      </c>
      <c r="K250" s="230">
        <f t="shared" si="118"/>
        <v>0</v>
      </c>
      <c r="L250" s="230">
        <f t="shared" si="119"/>
        <v>0</v>
      </c>
      <c r="M250" s="230">
        <f t="shared" si="120"/>
        <v>0</v>
      </c>
      <c r="N250" s="230">
        <f t="shared" si="121"/>
        <v>0</v>
      </c>
      <c r="O250" s="230">
        <f t="shared" si="122"/>
        <v>0</v>
      </c>
      <c r="P250" s="230">
        <f t="shared" si="123"/>
        <v>0</v>
      </c>
      <c r="Q250" s="230">
        <f t="shared" si="124"/>
        <v>0</v>
      </c>
      <c r="R250" s="230">
        <f t="shared" si="125"/>
        <v>0</v>
      </c>
      <c r="S250" s="230">
        <f t="shared" si="126"/>
        <v>0</v>
      </c>
      <c r="T250" s="230">
        <f t="shared" si="127"/>
        <v>0</v>
      </c>
      <c r="U250" s="230">
        <f t="shared" si="128"/>
        <v>0</v>
      </c>
      <c r="V250" s="230">
        <f t="shared" si="129"/>
        <v>0</v>
      </c>
      <c r="W250" s="230">
        <f t="shared" si="130"/>
        <v>0</v>
      </c>
      <c r="X250" s="230">
        <f t="shared" si="131"/>
        <v>0</v>
      </c>
      <c r="Y250" s="230">
        <f t="shared" si="132"/>
        <v>0</v>
      </c>
      <c r="Z250" s="292">
        <f t="shared" si="133"/>
        <v>0</v>
      </c>
      <c r="AA250" s="300"/>
      <c r="AB250" s="191">
        <f t="shared" si="134"/>
        <v>0</v>
      </c>
      <c r="AC250" s="139">
        <f t="shared" si="135"/>
        <v>0</v>
      </c>
      <c r="AD250" s="132">
        <f t="shared" si="136"/>
        <v>1.2704781496756228</v>
      </c>
      <c r="AE250" s="168">
        <f t="shared" si="137"/>
        <v>1.7234166239789701E-2</v>
      </c>
      <c r="AF250" s="192">
        <f t="shared" si="138"/>
        <v>0</v>
      </c>
      <c r="AG250" s="192">
        <f t="shared" si="148"/>
        <v>7.4153850207918898E-2</v>
      </c>
      <c r="AH250" s="192">
        <f t="shared" si="139"/>
        <v>0</v>
      </c>
      <c r="AI250" s="168">
        <f t="shared" si="140"/>
        <v>5.0661241180626282E-14</v>
      </c>
      <c r="AJ250" s="192">
        <f t="shared" si="141"/>
        <v>1.6702049368076081E-14</v>
      </c>
      <c r="AK250" s="132">
        <f t="shared" si="142"/>
        <v>21.138181996979384</v>
      </c>
      <c r="AL250" s="192">
        <f t="shared" si="143"/>
        <v>0.30526792435038735</v>
      </c>
      <c r="AM250" s="192">
        <f t="shared" si="149"/>
        <v>0</v>
      </c>
      <c r="AN250" s="192">
        <f t="shared" si="144"/>
        <v>0</v>
      </c>
      <c r="AO250" s="192">
        <f t="shared" si="150"/>
        <v>0</v>
      </c>
      <c r="AS250" s="132"/>
      <c r="AT250" s="132"/>
      <c r="AU250" s="200"/>
      <c r="AV250" s="132"/>
      <c r="AW250" s="132"/>
      <c r="AX250" s="132"/>
      <c r="AY250" s="132"/>
      <c r="AZ250" s="132"/>
      <c r="BA250" s="167"/>
      <c r="BB250" s="167"/>
      <c r="BD250" s="211">
        <f t="shared" si="145"/>
        <v>42655</v>
      </c>
      <c r="BE250" s="210">
        <v>1</v>
      </c>
      <c r="BF250" s="209">
        <v>0.5</v>
      </c>
      <c r="BG250" s="209">
        <v>2</v>
      </c>
      <c r="BH250" s="210"/>
      <c r="BI250" s="209"/>
      <c r="BJ250" s="209"/>
      <c r="BK250" s="168">
        <f t="shared" si="146"/>
        <v>0</v>
      </c>
      <c r="BL250" s="168">
        <f t="shared" si="147"/>
        <v>0</v>
      </c>
    </row>
    <row r="251" spans="1:64" ht="13.5" thickBot="1" x14ac:dyDescent="0.25">
      <c r="A251" s="215">
        <f t="shared" si="151"/>
        <v>42656</v>
      </c>
      <c r="B251" s="190"/>
      <c r="C251" s="168"/>
      <c r="D251" s="198"/>
      <c r="E251" s="132">
        <f t="shared" si="115"/>
        <v>194.08781762128012</v>
      </c>
      <c r="F251" s="168">
        <f t="shared" si="116"/>
        <v>194.08781762127205</v>
      </c>
      <c r="G251" s="300"/>
      <c r="H251" s="127">
        <f>VLOOKUP(MONTH(A251),ETP_Parametros!$A$6:$D$17,4,FALSE)</f>
        <v>4.903225806451613</v>
      </c>
      <c r="I251" s="230">
        <f>VLOOKUP(A251,P_Q_obs!$A$4:$F$308,6,FALSE)*1</f>
        <v>0</v>
      </c>
      <c r="J251" s="230">
        <f t="shared" si="117"/>
        <v>0</v>
      </c>
      <c r="K251" s="230">
        <f t="shared" si="118"/>
        <v>0</v>
      </c>
      <c r="L251" s="230">
        <f t="shared" si="119"/>
        <v>0</v>
      </c>
      <c r="M251" s="230">
        <f t="shared" si="120"/>
        <v>0</v>
      </c>
      <c r="N251" s="230">
        <f t="shared" si="121"/>
        <v>0</v>
      </c>
      <c r="O251" s="230">
        <f t="shared" si="122"/>
        <v>0</v>
      </c>
      <c r="P251" s="230">
        <f t="shared" si="123"/>
        <v>0</v>
      </c>
      <c r="Q251" s="230">
        <f t="shared" si="124"/>
        <v>0</v>
      </c>
      <c r="R251" s="230">
        <f t="shared" si="125"/>
        <v>0</v>
      </c>
      <c r="S251" s="230">
        <f t="shared" si="126"/>
        <v>0</v>
      </c>
      <c r="T251" s="230">
        <f t="shared" si="127"/>
        <v>0</v>
      </c>
      <c r="U251" s="230">
        <f t="shared" si="128"/>
        <v>0</v>
      </c>
      <c r="V251" s="230">
        <f t="shared" si="129"/>
        <v>0</v>
      </c>
      <c r="W251" s="230">
        <f t="shared" si="130"/>
        <v>0</v>
      </c>
      <c r="X251" s="230">
        <f t="shared" si="131"/>
        <v>0</v>
      </c>
      <c r="Y251" s="230">
        <f t="shared" si="132"/>
        <v>0</v>
      </c>
      <c r="Z251" s="292">
        <f t="shared" si="133"/>
        <v>0</v>
      </c>
      <c r="AA251" s="300"/>
      <c r="AB251" s="191">
        <f t="shared" si="134"/>
        <v>0</v>
      </c>
      <c r="AC251" s="139">
        <f t="shared" si="135"/>
        <v>0</v>
      </c>
      <c r="AD251" s="132">
        <f t="shared" si="136"/>
        <v>1.2004137406688167</v>
      </c>
      <c r="AE251" s="168">
        <f t="shared" si="137"/>
        <v>1.6283735354674353E-2</v>
      </c>
      <c r="AF251" s="192">
        <f t="shared" si="138"/>
        <v>0</v>
      </c>
      <c r="AG251" s="192">
        <f t="shared" si="148"/>
        <v>7.0064409006806105E-2</v>
      </c>
      <c r="AH251" s="192">
        <f t="shared" si="139"/>
        <v>0</v>
      </c>
      <c r="AI251" s="168">
        <f t="shared" si="140"/>
        <v>3.8100296720303617E-14</v>
      </c>
      <c r="AJ251" s="192">
        <f t="shared" si="141"/>
        <v>1.2560944460322664E-14</v>
      </c>
      <c r="AK251" s="132">
        <f t="shared" si="142"/>
        <v>20.837259852155103</v>
      </c>
      <c r="AL251" s="192">
        <f t="shared" si="143"/>
        <v>0.30092214482428137</v>
      </c>
      <c r="AM251" s="192">
        <f t="shared" si="149"/>
        <v>0</v>
      </c>
      <c r="AN251" s="192">
        <f t="shared" si="144"/>
        <v>0</v>
      </c>
      <c r="AO251" s="192">
        <f t="shared" si="150"/>
        <v>0</v>
      </c>
      <c r="AS251" s="132"/>
      <c r="AT251" s="132"/>
      <c r="AU251" s="200"/>
      <c r="AV251" s="132"/>
      <c r="AW251" s="132"/>
      <c r="AX251" s="132"/>
      <c r="AY251" s="132"/>
      <c r="AZ251" s="132"/>
      <c r="BA251" s="167"/>
      <c r="BB251" s="167"/>
      <c r="BD251" s="211">
        <f t="shared" si="145"/>
        <v>42656</v>
      </c>
      <c r="BE251" s="210">
        <v>1</v>
      </c>
      <c r="BF251" s="209">
        <v>0.5</v>
      </c>
      <c r="BG251" s="209">
        <v>2</v>
      </c>
      <c r="BH251" s="210"/>
      <c r="BI251" s="209"/>
      <c r="BJ251" s="209"/>
      <c r="BK251" s="168">
        <f t="shared" si="146"/>
        <v>0</v>
      </c>
      <c r="BL251" s="168">
        <f t="shared" si="147"/>
        <v>0</v>
      </c>
    </row>
    <row r="252" spans="1:64" ht="13.5" thickBot="1" x14ac:dyDescent="0.25">
      <c r="A252" s="215">
        <f t="shared" si="151"/>
        <v>42657</v>
      </c>
      <c r="B252" s="190"/>
      <c r="C252" s="168"/>
      <c r="D252" s="198"/>
      <c r="E252" s="132">
        <f t="shared" si="115"/>
        <v>191.32479276080511</v>
      </c>
      <c r="F252" s="168">
        <f t="shared" si="116"/>
        <v>191.324792760799</v>
      </c>
      <c r="G252" s="300"/>
      <c r="H252" s="127">
        <f>VLOOKUP(MONTH(A252),ETP_Parametros!$A$6:$D$17,4,FALSE)</f>
        <v>4.903225806451613</v>
      </c>
      <c r="I252" s="230">
        <f>VLOOKUP(A252,P_Q_obs!$A$4:$F$308,6,FALSE)*1</f>
        <v>0</v>
      </c>
      <c r="J252" s="230">
        <f t="shared" si="117"/>
        <v>0</v>
      </c>
      <c r="K252" s="230">
        <f t="shared" si="118"/>
        <v>0</v>
      </c>
      <c r="L252" s="230">
        <f t="shared" si="119"/>
        <v>0</v>
      </c>
      <c r="M252" s="230">
        <f t="shared" si="120"/>
        <v>0</v>
      </c>
      <c r="N252" s="230">
        <f t="shared" si="121"/>
        <v>0</v>
      </c>
      <c r="O252" s="230">
        <f t="shared" si="122"/>
        <v>0</v>
      </c>
      <c r="P252" s="230">
        <f t="shared" si="123"/>
        <v>0</v>
      </c>
      <c r="Q252" s="230">
        <f t="shared" si="124"/>
        <v>0</v>
      </c>
      <c r="R252" s="230">
        <f t="shared" si="125"/>
        <v>0</v>
      </c>
      <c r="S252" s="230">
        <f t="shared" si="126"/>
        <v>0</v>
      </c>
      <c r="T252" s="230">
        <f t="shared" si="127"/>
        <v>0</v>
      </c>
      <c r="U252" s="230">
        <f t="shared" si="128"/>
        <v>0</v>
      </c>
      <c r="V252" s="230">
        <f t="shared" si="129"/>
        <v>0</v>
      </c>
      <c r="W252" s="230">
        <f t="shared" si="130"/>
        <v>0</v>
      </c>
      <c r="X252" s="230">
        <f t="shared" si="131"/>
        <v>0</v>
      </c>
      <c r="Y252" s="230">
        <f t="shared" si="132"/>
        <v>0</v>
      </c>
      <c r="Z252" s="292">
        <f t="shared" si="133"/>
        <v>0</v>
      </c>
      <c r="AA252" s="300"/>
      <c r="AB252" s="191">
        <f t="shared" si="134"/>
        <v>0</v>
      </c>
      <c r="AC252" s="139">
        <f t="shared" si="135"/>
        <v>0</v>
      </c>
      <c r="AD252" s="132">
        <f t="shared" si="136"/>
        <v>1.1342132481022313</v>
      </c>
      <c r="AE252" s="168">
        <f t="shared" si="137"/>
        <v>1.5385718891864826E-2</v>
      </c>
      <c r="AF252" s="192">
        <f t="shared" si="138"/>
        <v>0</v>
      </c>
      <c r="AG252" s="192">
        <f t="shared" si="148"/>
        <v>6.6200492566585237E-2</v>
      </c>
      <c r="AH252" s="192">
        <f t="shared" si="139"/>
        <v>0</v>
      </c>
      <c r="AI252" s="168">
        <f t="shared" si="140"/>
        <v>2.8653711917549852E-14</v>
      </c>
      <c r="AJ252" s="192">
        <f t="shared" si="141"/>
        <v>9.4465848027537664E-15</v>
      </c>
      <c r="AK252" s="132">
        <f t="shared" si="142"/>
        <v>20.54062162054808</v>
      </c>
      <c r="AL252" s="192">
        <f t="shared" si="143"/>
        <v>0.29663823160702429</v>
      </c>
      <c r="AM252" s="192">
        <f t="shared" si="149"/>
        <v>0</v>
      </c>
      <c r="AN252" s="192">
        <f t="shared" si="144"/>
        <v>0</v>
      </c>
      <c r="AO252" s="192">
        <f t="shared" si="150"/>
        <v>0</v>
      </c>
      <c r="AS252" s="132"/>
      <c r="AT252" s="132"/>
      <c r="AU252" s="200"/>
      <c r="AV252" s="132"/>
      <c r="AW252" s="132"/>
      <c r="AX252" s="132"/>
      <c r="AY252" s="132"/>
      <c r="AZ252" s="132"/>
      <c r="BA252" s="167"/>
      <c r="BB252" s="167"/>
      <c r="BD252" s="211">
        <f t="shared" si="145"/>
        <v>42657</v>
      </c>
      <c r="BE252" s="210">
        <v>1</v>
      </c>
      <c r="BF252" s="209">
        <v>0.5</v>
      </c>
      <c r="BG252" s="209">
        <v>2</v>
      </c>
      <c r="BH252" s="210"/>
      <c r="BI252" s="209"/>
      <c r="BJ252" s="209"/>
      <c r="BK252" s="168">
        <f t="shared" si="146"/>
        <v>0</v>
      </c>
      <c r="BL252" s="168">
        <f t="shared" si="147"/>
        <v>0</v>
      </c>
    </row>
    <row r="253" spans="1:64" ht="13.5" thickBot="1" x14ac:dyDescent="0.25">
      <c r="A253" s="215">
        <f t="shared" si="151"/>
        <v>42658</v>
      </c>
      <c r="B253" s="190"/>
      <c r="C253" s="168"/>
      <c r="D253" s="198"/>
      <c r="E253" s="132">
        <f t="shared" si="115"/>
        <v>188.60110218969069</v>
      </c>
      <c r="F253" s="168">
        <f t="shared" si="116"/>
        <v>188.60110218968612</v>
      </c>
      <c r="G253" s="300"/>
      <c r="H253" s="127">
        <f>VLOOKUP(MONTH(A253),ETP_Parametros!$A$6:$D$17,4,FALSE)</f>
        <v>4.903225806451613</v>
      </c>
      <c r="I253" s="230">
        <f>VLOOKUP(A253,P_Q_obs!$A$4:$F$308,6,FALSE)*1</f>
        <v>0</v>
      </c>
      <c r="J253" s="230">
        <f t="shared" si="117"/>
        <v>0</v>
      </c>
      <c r="K253" s="230">
        <f t="shared" si="118"/>
        <v>0</v>
      </c>
      <c r="L253" s="230">
        <f t="shared" si="119"/>
        <v>0</v>
      </c>
      <c r="M253" s="230">
        <f t="shared" si="120"/>
        <v>0</v>
      </c>
      <c r="N253" s="230">
        <f t="shared" si="121"/>
        <v>0</v>
      </c>
      <c r="O253" s="230">
        <f t="shared" si="122"/>
        <v>0</v>
      </c>
      <c r="P253" s="230">
        <f t="shared" si="123"/>
        <v>0</v>
      </c>
      <c r="Q253" s="230">
        <f t="shared" si="124"/>
        <v>0</v>
      </c>
      <c r="R253" s="230">
        <f t="shared" si="125"/>
        <v>0</v>
      </c>
      <c r="S253" s="230">
        <f t="shared" si="126"/>
        <v>0</v>
      </c>
      <c r="T253" s="230">
        <f t="shared" si="127"/>
        <v>0</v>
      </c>
      <c r="U253" s="230">
        <f t="shared" si="128"/>
        <v>0</v>
      </c>
      <c r="V253" s="230">
        <f t="shared" si="129"/>
        <v>0</v>
      </c>
      <c r="W253" s="230">
        <f t="shared" si="130"/>
        <v>0</v>
      </c>
      <c r="X253" s="230">
        <f t="shared" si="131"/>
        <v>0</v>
      </c>
      <c r="Y253" s="230">
        <f t="shared" si="132"/>
        <v>0</v>
      </c>
      <c r="Z253" s="292">
        <f t="shared" si="133"/>
        <v>0</v>
      </c>
      <c r="AA253" s="300"/>
      <c r="AB253" s="191">
        <f t="shared" si="134"/>
        <v>0</v>
      </c>
      <c r="AC253" s="139">
        <f t="shared" si="135"/>
        <v>0</v>
      </c>
      <c r="AD253" s="132">
        <f t="shared" si="136"/>
        <v>1.071663584468691</v>
      </c>
      <c r="AE253" s="168">
        <f t="shared" si="137"/>
        <v>1.4537226297499001E-2</v>
      </c>
      <c r="AF253" s="192">
        <f t="shared" si="138"/>
        <v>0</v>
      </c>
      <c r="AG253" s="192">
        <f t="shared" si="148"/>
        <v>6.2549663633540226E-2</v>
      </c>
      <c r="AH253" s="192">
        <f t="shared" si="139"/>
        <v>0</v>
      </c>
      <c r="AI253" s="168">
        <f t="shared" si="140"/>
        <v>2.1549312664969598E-14</v>
      </c>
      <c r="AJ253" s="192">
        <f t="shared" si="141"/>
        <v>7.1043992525802537E-15</v>
      </c>
      <c r="AK253" s="132">
        <f t="shared" si="142"/>
        <v>20.248206316575271</v>
      </c>
      <c r="AL253" s="192">
        <f t="shared" si="143"/>
        <v>0.29241530397281129</v>
      </c>
      <c r="AM253" s="192">
        <f t="shared" si="149"/>
        <v>0</v>
      </c>
      <c r="AN253" s="192">
        <f t="shared" si="144"/>
        <v>0</v>
      </c>
      <c r="AO253" s="192">
        <f t="shared" si="150"/>
        <v>0</v>
      </c>
      <c r="AS253" s="132"/>
      <c r="AT253" s="132"/>
      <c r="AU253" s="200"/>
      <c r="AV253" s="132"/>
      <c r="AW253" s="132"/>
      <c r="AX253" s="132"/>
      <c r="AY253" s="132"/>
      <c r="AZ253" s="132"/>
      <c r="BA253" s="167"/>
      <c r="BB253" s="167"/>
      <c r="BD253" s="211">
        <f t="shared" si="145"/>
        <v>42658</v>
      </c>
      <c r="BE253" s="210">
        <v>1</v>
      </c>
      <c r="BF253" s="209">
        <v>0.5</v>
      </c>
      <c r="BG253" s="209">
        <v>2</v>
      </c>
      <c r="BH253" s="210"/>
      <c r="BI253" s="209"/>
      <c r="BJ253" s="209"/>
      <c r="BK253" s="168">
        <f t="shared" si="146"/>
        <v>0</v>
      </c>
      <c r="BL253" s="168">
        <f t="shared" si="147"/>
        <v>0</v>
      </c>
    </row>
    <row r="254" spans="1:64" ht="13.5" thickBot="1" x14ac:dyDescent="0.25">
      <c r="A254" s="215">
        <f t="shared" si="151"/>
        <v>42659</v>
      </c>
      <c r="B254" s="190"/>
      <c r="C254" s="168"/>
      <c r="D254" s="198"/>
      <c r="E254" s="132">
        <f t="shared" si="115"/>
        <v>185.91618594688052</v>
      </c>
      <c r="F254" s="168">
        <f t="shared" si="116"/>
        <v>185.91618594687711</v>
      </c>
      <c r="G254" s="300"/>
      <c r="H254" s="127">
        <f>VLOOKUP(MONTH(A254),ETP_Parametros!$A$6:$D$17,4,FALSE)</f>
        <v>4.903225806451613</v>
      </c>
      <c r="I254" s="230">
        <f>VLOOKUP(A254,P_Q_obs!$A$4:$F$308,6,FALSE)*1</f>
        <v>0</v>
      </c>
      <c r="J254" s="230">
        <f t="shared" si="117"/>
        <v>0</v>
      </c>
      <c r="K254" s="230">
        <f t="shared" si="118"/>
        <v>0</v>
      </c>
      <c r="L254" s="230">
        <f t="shared" si="119"/>
        <v>0</v>
      </c>
      <c r="M254" s="230">
        <f t="shared" si="120"/>
        <v>0</v>
      </c>
      <c r="N254" s="230">
        <f t="shared" si="121"/>
        <v>0</v>
      </c>
      <c r="O254" s="230">
        <f t="shared" si="122"/>
        <v>0</v>
      </c>
      <c r="P254" s="230">
        <f t="shared" si="123"/>
        <v>0</v>
      </c>
      <c r="Q254" s="230">
        <f t="shared" si="124"/>
        <v>0</v>
      </c>
      <c r="R254" s="230">
        <f t="shared" si="125"/>
        <v>0</v>
      </c>
      <c r="S254" s="230">
        <f t="shared" si="126"/>
        <v>0</v>
      </c>
      <c r="T254" s="230">
        <f t="shared" si="127"/>
        <v>0</v>
      </c>
      <c r="U254" s="230">
        <f t="shared" si="128"/>
        <v>0</v>
      </c>
      <c r="V254" s="230">
        <f t="shared" si="129"/>
        <v>0</v>
      </c>
      <c r="W254" s="230">
        <f t="shared" si="130"/>
        <v>0</v>
      </c>
      <c r="X254" s="230">
        <f t="shared" si="131"/>
        <v>0</v>
      </c>
      <c r="Y254" s="230">
        <f t="shared" si="132"/>
        <v>0</v>
      </c>
      <c r="Z254" s="292">
        <f t="shared" si="133"/>
        <v>0</v>
      </c>
      <c r="AA254" s="300"/>
      <c r="AB254" s="191">
        <f t="shared" si="134"/>
        <v>0</v>
      </c>
      <c r="AC254" s="139">
        <f t="shared" si="135"/>
        <v>0</v>
      </c>
      <c r="AD254" s="132">
        <f t="shared" si="136"/>
        <v>1.0125634136242849</v>
      </c>
      <c r="AE254" s="168">
        <f t="shared" si="137"/>
        <v>1.3735526426161174E-2</v>
      </c>
      <c r="AF254" s="192">
        <f t="shared" si="138"/>
        <v>0</v>
      </c>
      <c r="AG254" s="192">
        <f t="shared" si="148"/>
        <v>5.9100170844406108E-2</v>
      </c>
      <c r="AH254" s="192">
        <f t="shared" si="139"/>
        <v>0</v>
      </c>
      <c r="AI254" s="168">
        <f t="shared" si="140"/>
        <v>1.6206377647295307E-14</v>
      </c>
      <c r="AJ254" s="192">
        <f t="shared" si="141"/>
        <v>5.3429350176742891E-15</v>
      </c>
      <c r="AK254" s="132">
        <f t="shared" si="142"/>
        <v>19.959953822841463</v>
      </c>
      <c r="AL254" s="192">
        <f t="shared" si="143"/>
        <v>0.28825249373380796</v>
      </c>
      <c r="AM254" s="192">
        <f t="shared" si="149"/>
        <v>0</v>
      </c>
      <c r="AN254" s="192">
        <f t="shared" si="144"/>
        <v>0</v>
      </c>
      <c r="AO254" s="192">
        <f t="shared" si="150"/>
        <v>0</v>
      </c>
      <c r="AS254" s="132"/>
      <c r="AT254" s="132"/>
      <c r="AU254" s="200"/>
      <c r="AV254" s="132"/>
      <c r="AW254" s="132"/>
      <c r="AX254" s="132"/>
      <c r="AY254" s="132"/>
      <c r="AZ254" s="132"/>
      <c r="BA254" s="167"/>
      <c r="BB254" s="167"/>
      <c r="BD254" s="211">
        <f t="shared" si="145"/>
        <v>42659</v>
      </c>
      <c r="BE254" s="210">
        <v>1</v>
      </c>
      <c r="BF254" s="209">
        <v>0.5</v>
      </c>
      <c r="BG254" s="209">
        <v>2</v>
      </c>
      <c r="BH254" s="210"/>
      <c r="BI254" s="209"/>
      <c r="BJ254" s="209"/>
      <c r="BK254" s="168">
        <f t="shared" si="146"/>
        <v>0</v>
      </c>
      <c r="BL254" s="168">
        <f t="shared" si="147"/>
        <v>0</v>
      </c>
    </row>
    <row r="255" spans="1:64" ht="13.5" thickBot="1" x14ac:dyDescent="0.25">
      <c r="A255" s="215">
        <f t="shared" si="151"/>
        <v>42660</v>
      </c>
      <c r="B255" s="190"/>
      <c r="C255" s="168"/>
      <c r="D255" s="198"/>
      <c r="E255" s="132">
        <f t="shared" si="115"/>
        <v>183.26949204289687</v>
      </c>
      <c r="F255" s="168">
        <f t="shared" si="116"/>
        <v>183.26949204289429</v>
      </c>
      <c r="G255" s="300"/>
      <c r="H255" s="127">
        <f>VLOOKUP(MONTH(A255),ETP_Parametros!$A$6:$D$17,4,FALSE)</f>
        <v>4.903225806451613</v>
      </c>
      <c r="I255" s="230">
        <f>VLOOKUP(A255,P_Q_obs!$A$4:$F$308,6,FALSE)*1</f>
        <v>0</v>
      </c>
      <c r="J255" s="230">
        <f t="shared" si="117"/>
        <v>0</v>
      </c>
      <c r="K255" s="230">
        <f t="shared" si="118"/>
        <v>0</v>
      </c>
      <c r="L255" s="230">
        <f t="shared" si="119"/>
        <v>0</v>
      </c>
      <c r="M255" s="230">
        <f t="shared" si="120"/>
        <v>0</v>
      </c>
      <c r="N255" s="230">
        <f t="shared" si="121"/>
        <v>0</v>
      </c>
      <c r="O255" s="230">
        <f t="shared" si="122"/>
        <v>0</v>
      </c>
      <c r="P255" s="230">
        <f t="shared" si="123"/>
        <v>0</v>
      </c>
      <c r="Q255" s="230">
        <f t="shared" si="124"/>
        <v>0</v>
      </c>
      <c r="R255" s="230">
        <f t="shared" si="125"/>
        <v>0</v>
      </c>
      <c r="S255" s="230">
        <f t="shared" si="126"/>
        <v>0</v>
      </c>
      <c r="T255" s="230">
        <f t="shared" si="127"/>
        <v>0</v>
      </c>
      <c r="U255" s="230">
        <f t="shared" si="128"/>
        <v>0</v>
      </c>
      <c r="V255" s="230">
        <f t="shared" si="129"/>
        <v>0</v>
      </c>
      <c r="W255" s="230">
        <f t="shared" si="130"/>
        <v>0</v>
      </c>
      <c r="X255" s="230">
        <f t="shared" si="131"/>
        <v>0</v>
      </c>
      <c r="Y255" s="230">
        <f t="shared" si="132"/>
        <v>0</v>
      </c>
      <c r="Z255" s="292">
        <f t="shared" si="133"/>
        <v>0</v>
      </c>
      <c r="AA255" s="300"/>
      <c r="AB255" s="191">
        <f t="shared" si="134"/>
        <v>0</v>
      </c>
      <c r="AC255" s="139">
        <f t="shared" si="135"/>
        <v>0</v>
      </c>
      <c r="AD255" s="132">
        <f t="shared" si="136"/>
        <v>0.95672250272344561</v>
      </c>
      <c r="AE255" s="168">
        <f t="shared" si="137"/>
        <v>1.2978038749815018E-2</v>
      </c>
      <c r="AF255" s="192">
        <f t="shared" si="138"/>
        <v>0</v>
      </c>
      <c r="AG255" s="192">
        <f t="shared" si="148"/>
        <v>5.5840910900839334E-2</v>
      </c>
      <c r="AH255" s="192">
        <f t="shared" si="139"/>
        <v>0</v>
      </c>
      <c r="AI255" s="168">
        <f t="shared" si="140"/>
        <v>1.2188169550006553E-14</v>
      </c>
      <c r="AJ255" s="192">
        <f t="shared" si="141"/>
        <v>4.0182080972887543E-15</v>
      </c>
      <c r="AK255" s="132">
        <f t="shared" si="142"/>
        <v>19.675804877779804</v>
      </c>
      <c r="AL255" s="192">
        <f t="shared" si="143"/>
        <v>0.28414894506166005</v>
      </c>
      <c r="AM255" s="192">
        <f t="shared" si="149"/>
        <v>0</v>
      </c>
      <c r="AN255" s="192">
        <f t="shared" si="144"/>
        <v>0</v>
      </c>
      <c r="AO255" s="192">
        <f t="shared" si="150"/>
        <v>0</v>
      </c>
      <c r="AS255" s="132"/>
      <c r="AT255" s="132"/>
      <c r="AU255" s="200"/>
      <c r="AV255" s="132"/>
      <c r="AW255" s="132"/>
      <c r="AX255" s="132"/>
      <c r="AY255" s="132"/>
      <c r="AZ255" s="132"/>
      <c r="BA255" s="167"/>
      <c r="BB255" s="167"/>
      <c r="BD255" s="211">
        <f t="shared" si="145"/>
        <v>42660</v>
      </c>
      <c r="BE255" s="210">
        <v>1</v>
      </c>
      <c r="BF255" s="209">
        <v>0.5</v>
      </c>
      <c r="BG255" s="209">
        <v>2</v>
      </c>
      <c r="BH255" s="210"/>
      <c r="BI255" s="209"/>
      <c r="BJ255" s="209"/>
      <c r="BK255" s="168">
        <f t="shared" si="146"/>
        <v>0</v>
      </c>
      <c r="BL255" s="168">
        <f t="shared" si="147"/>
        <v>0</v>
      </c>
    </row>
    <row r="256" spans="1:64" ht="13.5" thickBot="1" x14ac:dyDescent="0.25">
      <c r="A256" s="215">
        <f t="shared" si="151"/>
        <v>42661</v>
      </c>
      <c r="B256" s="190"/>
      <c r="C256" s="168"/>
      <c r="D256" s="198"/>
      <c r="E256" s="132">
        <f t="shared" ref="E256:E319" si="152">(AJ256+AL256+AO256)*Y$9/86.4</f>
        <v>180.66047634635783</v>
      </c>
      <c r="F256" s="168">
        <f t="shared" ref="F256:F319" si="153">(AL256*$Y$9)/86.4</f>
        <v>180.66047634635592</v>
      </c>
      <c r="G256" s="300"/>
      <c r="H256" s="127">
        <f>VLOOKUP(MONTH(A256),ETP_Parametros!$A$6:$D$17,4,FALSE)</f>
        <v>4.903225806451613</v>
      </c>
      <c r="I256" s="230">
        <f>VLOOKUP(A256,P_Q_obs!$A$4:$F$308,6,FALSE)*1</f>
        <v>0</v>
      </c>
      <c r="J256" s="230">
        <f t="shared" ref="J256:J319" si="154">I256</f>
        <v>0</v>
      </c>
      <c r="K256" s="230">
        <f t="shared" ref="K256:K319" si="155">J256</f>
        <v>0</v>
      </c>
      <c r="L256" s="230">
        <f t="shared" ref="L256:L319" si="156">K256</f>
        <v>0</v>
      </c>
      <c r="M256" s="230">
        <f t="shared" ref="M256:M319" si="157">L256</f>
        <v>0</v>
      </c>
      <c r="N256" s="230">
        <f t="shared" ref="N256:N319" si="158">M256</f>
        <v>0</v>
      </c>
      <c r="O256" s="230">
        <f t="shared" ref="O256:O319" si="159">N256</f>
        <v>0</v>
      </c>
      <c r="P256" s="230">
        <f t="shared" ref="P256:P319" si="160">O256</f>
        <v>0</v>
      </c>
      <c r="Q256" s="230">
        <f t="shared" ref="Q256:Q319" si="161">P256</f>
        <v>0</v>
      </c>
      <c r="R256" s="230">
        <f t="shared" ref="R256:R319" si="162">Q256</f>
        <v>0</v>
      </c>
      <c r="S256" s="230">
        <f t="shared" ref="S256:S319" si="163">R256</f>
        <v>0</v>
      </c>
      <c r="T256" s="230">
        <f t="shared" ref="T256:T319" si="164">S256</f>
        <v>0</v>
      </c>
      <c r="U256" s="230">
        <f t="shared" ref="U256:U319" si="165">T256</f>
        <v>0</v>
      </c>
      <c r="V256" s="230">
        <f t="shared" ref="V256:V319" si="166">U256</f>
        <v>0</v>
      </c>
      <c r="W256" s="230">
        <f t="shared" ref="W256:W319" si="167">V256</f>
        <v>0</v>
      </c>
      <c r="X256" s="230">
        <f t="shared" ref="X256:X319" si="168">W256</f>
        <v>0</v>
      </c>
      <c r="Y256" s="230">
        <f t="shared" ref="Y256:Y319" si="169">X256</f>
        <v>0</v>
      </c>
      <c r="Z256" s="292">
        <f t="shared" ref="Z256:Z319" si="170">Y256</f>
        <v>0</v>
      </c>
      <c r="AA256" s="300"/>
      <c r="AB256" s="191">
        <f t="shared" ref="AB256:AB319" si="171">SUMPRODUCT($I$17:$Z$17,I256:Z256)</f>
        <v>0</v>
      </c>
      <c r="AC256" s="139">
        <f t="shared" ref="AC256:AC319" si="172">(AB253*$J$5+AB254*$J$6+AB255*$J$7+AB256*$J$8+AB257*$J$9)*BE256</f>
        <v>0</v>
      </c>
      <c r="AD256" s="132">
        <f t="shared" ref="AD256:AD319" si="173">AD255+AC256-AF256-AG256-AH256</f>
        <v>0.90396110989355294</v>
      </c>
      <c r="AE256" s="168">
        <f t="shared" ref="AE256:AE319" si="174">AD255/$O$5</f>
        <v>1.2262325051546868E-2</v>
      </c>
      <c r="AF256" s="192">
        <f t="shared" ref="AF256:AF319" si="175">IF(AC256&gt;O$8,(AC256-O$8)^2/(AC256-O$8+O$5-AD255),0)</f>
        <v>0</v>
      </c>
      <c r="AG256" s="192">
        <f t="shared" si="148"/>
        <v>5.2761392829892631E-2</v>
      </c>
      <c r="AH256" s="192">
        <f t="shared" ref="AH256:AH319" si="176">IF(AD255&gt;(P$9*O$5),(P$7*AE256*(AD255-(P$9*O$5))),0)</f>
        <v>0</v>
      </c>
      <c r="AI256" s="168">
        <f t="shared" ref="AI256:AI319" si="177">AI255+AF256-AJ256</f>
        <v>9.1662356766380054E-15</v>
      </c>
      <c r="AJ256" s="192">
        <f t="shared" ref="AJ256:AJ319" si="178">(AI255+AF256)*(1-P$6)</f>
        <v>3.0219338733685484E-15</v>
      </c>
      <c r="AK256" s="132">
        <f t="shared" ref="AK256:AK319" si="179">AK255-AL256+AH256</f>
        <v>19.395701063468259</v>
      </c>
      <c r="AL256" s="192">
        <f t="shared" ref="AL256:AL319" si="180">AK255*(1-P$10)</f>
        <v>0.28010381431154491</v>
      </c>
      <c r="AM256" s="192">
        <f t="shared" si="149"/>
        <v>0</v>
      </c>
      <c r="AN256" s="192">
        <f t="shared" ref="AN256:AN319" si="181">AN255+AM256-AO256</f>
        <v>0</v>
      </c>
      <c r="AO256" s="192">
        <f t="shared" si="150"/>
        <v>0</v>
      </c>
      <c r="AS256" s="132"/>
      <c r="AT256" s="132"/>
      <c r="AU256" s="200"/>
      <c r="AV256" s="132"/>
      <c r="AW256" s="132"/>
      <c r="AX256" s="132"/>
      <c r="AY256" s="132"/>
      <c r="AZ256" s="132"/>
      <c r="BA256" s="167"/>
      <c r="BB256" s="167"/>
      <c r="BD256" s="211">
        <f t="shared" ref="BD256:BD319" si="182">A256</f>
        <v>42661</v>
      </c>
      <c r="BE256" s="210">
        <v>1</v>
      </c>
      <c r="BF256" s="209">
        <v>0.5</v>
      </c>
      <c r="BG256" s="209">
        <v>2</v>
      </c>
      <c r="BH256" s="210"/>
      <c r="BI256" s="209"/>
      <c r="BJ256" s="209"/>
      <c r="BK256" s="168">
        <f t="shared" ref="BK256:BK319" si="183">I256</f>
        <v>0</v>
      </c>
      <c r="BL256" s="168">
        <f t="shared" ref="BL256:BL319" si="184">AC256</f>
        <v>0</v>
      </c>
    </row>
    <row r="257" spans="1:64" ht="13.5" thickBot="1" x14ac:dyDescent="0.25">
      <c r="A257" s="215">
        <f t="shared" si="151"/>
        <v>42662</v>
      </c>
      <c r="B257" s="190"/>
      <c r="C257" s="168"/>
      <c r="D257" s="198"/>
      <c r="E257" s="132">
        <f t="shared" si="152"/>
        <v>178.08860247210978</v>
      </c>
      <c r="F257" s="168">
        <f t="shared" si="153"/>
        <v>178.08860247210833</v>
      </c>
      <c r="G257" s="300"/>
      <c r="H257" s="127">
        <f>VLOOKUP(MONTH(A257),ETP_Parametros!$A$6:$D$17,4,FALSE)</f>
        <v>4.903225806451613</v>
      </c>
      <c r="I257" s="230">
        <f>VLOOKUP(A257,P_Q_obs!$A$4:$F$308,6,FALSE)*1</f>
        <v>0</v>
      </c>
      <c r="J257" s="230">
        <f t="shared" si="154"/>
        <v>0</v>
      </c>
      <c r="K257" s="230">
        <f t="shared" si="155"/>
        <v>0</v>
      </c>
      <c r="L257" s="230">
        <f t="shared" si="156"/>
        <v>0</v>
      </c>
      <c r="M257" s="230">
        <f t="shared" si="157"/>
        <v>0</v>
      </c>
      <c r="N257" s="230">
        <f t="shared" si="158"/>
        <v>0</v>
      </c>
      <c r="O257" s="230">
        <f t="shared" si="159"/>
        <v>0</v>
      </c>
      <c r="P257" s="230">
        <f t="shared" si="160"/>
        <v>0</v>
      </c>
      <c r="Q257" s="230">
        <f t="shared" si="161"/>
        <v>0</v>
      </c>
      <c r="R257" s="230">
        <f t="shared" si="162"/>
        <v>0</v>
      </c>
      <c r="S257" s="230">
        <f t="shared" si="163"/>
        <v>0</v>
      </c>
      <c r="T257" s="230">
        <f t="shared" si="164"/>
        <v>0</v>
      </c>
      <c r="U257" s="230">
        <f t="shared" si="165"/>
        <v>0</v>
      </c>
      <c r="V257" s="230">
        <f t="shared" si="166"/>
        <v>0</v>
      </c>
      <c r="W257" s="230">
        <f t="shared" si="167"/>
        <v>0</v>
      </c>
      <c r="X257" s="230">
        <f t="shared" si="168"/>
        <v>0</v>
      </c>
      <c r="Y257" s="230">
        <f t="shared" si="169"/>
        <v>0</v>
      </c>
      <c r="Z257" s="292">
        <f t="shared" si="170"/>
        <v>0</v>
      </c>
      <c r="AA257" s="300"/>
      <c r="AB257" s="191">
        <f t="shared" si="171"/>
        <v>0</v>
      </c>
      <c r="AC257" s="139">
        <f t="shared" si="172"/>
        <v>0</v>
      </c>
      <c r="AD257" s="132">
        <f t="shared" si="173"/>
        <v>0.85410940567809746</v>
      </c>
      <c r="AE257" s="168">
        <f t="shared" si="174"/>
        <v>1.1586081577382954E-2</v>
      </c>
      <c r="AF257" s="192">
        <f t="shared" si="175"/>
        <v>0</v>
      </c>
      <c r="AG257" s="192">
        <f t="shared" si="148"/>
        <v>4.9851704215455456E-2</v>
      </c>
      <c r="AH257" s="192">
        <f t="shared" si="176"/>
        <v>0</v>
      </c>
      <c r="AI257" s="168">
        <f t="shared" si="177"/>
        <v>6.8935598684403115E-15</v>
      </c>
      <c r="AJ257" s="192">
        <f t="shared" si="178"/>
        <v>2.2726758081976939E-15</v>
      </c>
      <c r="AK257" s="132">
        <f t="shared" si="179"/>
        <v>19.119584793619531</v>
      </c>
      <c r="AL257" s="192">
        <f t="shared" si="180"/>
        <v>0.276116269848727</v>
      </c>
      <c r="AM257" s="192">
        <f t="shared" si="149"/>
        <v>0</v>
      </c>
      <c r="AN257" s="192">
        <f t="shared" si="181"/>
        <v>0</v>
      </c>
      <c r="AO257" s="192">
        <f t="shared" si="150"/>
        <v>0</v>
      </c>
      <c r="AS257" s="132"/>
      <c r="AT257" s="132"/>
      <c r="AU257" s="200"/>
      <c r="AV257" s="132"/>
      <c r="AW257" s="132"/>
      <c r="AX257" s="132"/>
      <c r="AY257" s="132"/>
      <c r="AZ257" s="132"/>
      <c r="BA257" s="167"/>
      <c r="BB257" s="167"/>
      <c r="BD257" s="211">
        <f t="shared" si="182"/>
        <v>42662</v>
      </c>
      <c r="BE257" s="210">
        <v>1</v>
      </c>
      <c r="BF257" s="209">
        <v>0.5</v>
      </c>
      <c r="BG257" s="209">
        <v>2</v>
      </c>
      <c r="BH257" s="210"/>
      <c r="BI257" s="209"/>
      <c r="BJ257" s="209"/>
      <c r="BK257" s="168">
        <f t="shared" si="183"/>
        <v>0</v>
      </c>
      <c r="BL257" s="168">
        <f t="shared" si="184"/>
        <v>0</v>
      </c>
    </row>
    <row r="258" spans="1:64" ht="13.5" thickBot="1" x14ac:dyDescent="0.25">
      <c r="A258" s="215">
        <f t="shared" si="151"/>
        <v>42663</v>
      </c>
      <c r="B258" s="190"/>
      <c r="C258" s="168"/>
      <c r="D258" s="198"/>
      <c r="E258" s="132">
        <f t="shared" si="152"/>
        <v>175.55334167095239</v>
      </c>
      <c r="F258" s="168">
        <f t="shared" si="153"/>
        <v>175.55334167095128</v>
      </c>
      <c r="G258" s="300"/>
      <c r="H258" s="127">
        <f>VLOOKUP(MONTH(A258),ETP_Parametros!$A$6:$D$17,4,FALSE)</f>
        <v>4.903225806451613</v>
      </c>
      <c r="I258" s="230">
        <f>VLOOKUP(A258,P_Q_obs!$A$4:$F$308,6,FALSE)*1</f>
        <v>0</v>
      </c>
      <c r="J258" s="230">
        <f t="shared" si="154"/>
        <v>0</v>
      </c>
      <c r="K258" s="230">
        <f t="shared" si="155"/>
        <v>0</v>
      </c>
      <c r="L258" s="230">
        <f t="shared" si="156"/>
        <v>0</v>
      </c>
      <c r="M258" s="230">
        <f t="shared" si="157"/>
        <v>0</v>
      </c>
      <c r="N258" s="230">
        <f t="shared" si="158"/>
        <v>0</v>
      </c>
      <c r="O258" s="230">
        <f t="shared" si="159"/>
        <v>0</v>
      </c>
      <c r="P258" s="230">
        <f t="shared" si="160"/>
        <v>0</v>
      </c>
      <c r="Q258" s="230">
        <f t="shared" si="161"/>
        <v>0</v>
      </c>
      <c r="R258" s="230">
        <f t="shared" si="162"/>
        <v>0</v>
      </c>
      <c r="S258" s="230">
        <f t="shared" si="163"/>
        <v>0</v>
      </c>
      <c r="T258" s="230">
        <f t="shared" si="164"/>
        <v>0</v>
      </c>
      <c r="U258" s="230">
        <f t="shared" si="165"/>
        <v>0</v>
      </c>
      <c r="V258" s="230">
        <f t="shared" si="166"/>
        <v>0</v>
      </c>
      <c r="W258" s="230">
        <f t="shared" si="167"/>
        <v>0</v>
      </c>
      <c r="X258" s="230">
        <f t="shared" si="168"/>
        <v>0</v>
      </c>
      <c r="Y258" s="230">
        <f t="shared" si="169"/>
        <v>0</v>
      </c>
      <c r="Z258" s="292">
        <f t="shared" si="170"/>
        <v>0</v>
      </c>
      <c r="AA258" s="300"/>
      <c r="AB258" s="191">
        <f t="shared" si="171"/>
        <v>0</v>
      </c>
      <c r="AC258" s="139">
        <f t="shared" si="172"/>
        <v>0</v>
      </c>
      <c r="AD258" s="132">
        <f t="shared" si="173"/>
        <v>0.80700692638613225</v>
      </c>
      <c r="AE258" s="168">
        <f t="shared" si="174"/>
        <v>1.0947131620918734E-2</v>
      </c>
      <c r="AF258" s="192">
        <f t="shared" si="175"/>
        <v>0</v>
      </c>
      <c r="AG258" s="192">
        <f t="shared" si="148"/>
        <v>4.7102479291965205E-2</v>
      </c>
      <c r="AH258" s="192">
        <f t="shared" si="176"/>
        <v>0</v>
      </c>
      <c r="AI258" s="168">
        <f t="shared" si="177"/>
        <v>5.1843711351310827E-15</v>
      </c>
      <c r="AJ258" s="192">
        <f t="shared" si="178"/>
        <v>1.7091887333092286E-15</v>
      </c>
      <c r="AK258" s="132">
        <f t="shared" si="179"/>
        <v>18.847399301741948</v>
      </c>
      <c r="AL258" s="192">
        <f t="shared" si="180"/>
        <v>0.27218549187758301</v>
      </c>
      <c r="AM258" s="192">
        <f t="shared" si="149"/>
        <v>0</v>
      </c>
      <c r="AN258" s="192">
        <f t="shared" si="181"/>
        <v>0</v>
      </c>
      <c r="AO258" s="192">
        <f t="shared" si="150"/>
        <v>0</v>
      </c>
      <c r="AS258" s="132"/>
      <c r="AT258" s="132"/>
      <c r="AU258" s="200"/>
      <c r="AV258" s="132"/>
      <c r="AW258" s="132"/>
      <c r="AX258" s="132"/>
      <c r="AY258" s="132"/>
      <c r="AZ258" s="132"/>
      <c r="BA258" s="167"/>
      <c r="BB258" s="167"/>
      <c r="BD258" s="211">
        <f t="shared" si="182"/>
        <v>42663</v>
      </c>
      <c r="BE258" s="210">
        <v>1</v>
      </c>
      <c r="BF258" s="209">
        <v>0.5</v>
      </c>
      <c r="BG258" s="209">
        <v>2</v>
      </c>
      <c r="BH258" s="210"/>
      <c r="BI258" s="209"/>
      <c r="BJ258" s="209"/>
      <c r="BK258" s="168">
        <f t="shared" si="183"/>
        <v>0</v>
      </c>
      <c r="BL258" s="168">
        <f t="shared" si="184"/>
        <v>0</v>
      </c>
    </row>
    <row r="259" spans="1:64" ht="13.5" thickBot="1" x14ac:dyDescent="0.25">
      <c r="A259" s="215">
        <f t="shared" si="151"/>
        <v>42664</v>
      </c>
      <c r="B259" s="190"/>
      <c r="C259" s="168"/>
      <c r="D259" s="198"/>
      <c r="E259" s="132">
        <f t="shared" si="152"/>
        <v>173.05417272093354</v>
      </c>
      <c r="F259" s="168">
        <f t="shared" si="153"/>
        <v>173.05417272093271</v>
      </c>
      <c r="G259" s="300"/>
      <c r="H259" s="127">
        <f>VLOOKUP(MONTH(A259),ETP_Parametros!$A$6:$D$17,4,FALSE)</f>
        <v>4.903225806451613</v>
      </c>
      <c r="I259" s="230">
        <f>VLOOKUP(A259,P_Q_obs!$A$4:$F$308,6,FALSE)*1</f>
        <v>0</v>
      </c>
      <c r="J259" s="230">
        <f t="shared" si="154"/>
        <v>0</v>
      </c>
      <c r="K259" s="230">
        <f t="shared" si="155"/>
        <v>0</v>
      </c>
      <c r="L259" s="230">
        <f t="shared" si="156"/>
        <v>0</v>
      </c>
      <c r="M259" s="230">
        <f t="shared" si="157"/>
        <v>0</v>
      </c>
      <c r="N259" s="230">
        <f t="shared" si="158"/>
        <v>0</v>
      </c>
      <c r="O259" s="230">
        <f t="shared" si="159"/>
        <v>0</v>
      </c>
      <c r="P259" s="230">
        <f t="shared" si="160"/>
        <v>0</v>
      </c>
      <c r="Q259" s="230">
        <f t="shared" si="161"/>
        <v>0</v>
      </c>
      <c r="R259" s="230">
        <f t="shared" si="162"/>
        <v>0</v>
      </c>
      <c r="S259" s="230">
        <f t="shared" si="163"/>
        <v>0</v>
      </c>
      <c r="T259" s="230">
        <f t="shared" si="164"/>
        <v>0</v>
      </c>
      <c r="U259" s="230">
        <f t="shared" si="165"/>
        <v>0</v>
      </c>
      <c r="V259" s="230">
        <f t="shared" si="166"/>
        <v>0</v>
      </c>
      <c r="W259" s="230">
        <f t="shared" si="167"/>
        <v>0</v>
      </c>
      <c r="X259" s="230">
        <f t="shared" si="168"/>
        <v>0</v>
      </c>
      <c r="Y259" s="230">
        <f t="shared" si="169"/>
        <v>0</v>
      </c>
      <c r="Z259" s="292">
        <f t="shared" si="170"/>
        <v>0</v>
      </c>
      <c r="AA259" s="300"/>
      <c r="AB259" s="191">
        <f t="shared" si="171"/>
        <v>0</v>
      </c>
      <c r="AC259" s="139">
        <f t="shared" si="172"/>
        <v>0</v>
      </c>
      <c r="AD259" s="132">
        <f t="shared" si="173"/>
        <v>0.76250205758844392</v>
      </c>
      <c r="AE259" s="168">
        <f t="shared" si="174"/>
        <v>1.0343418516891545E-2</v>
      </c>
      <c r="AF259" s="192">
        <f t="shared" si="175"/>
        <v>0</v>
      </c>
      <c r="AG259" s="192">
        <f t="shared" si="148"/>
        <v>4.4504868797688335E-2</v>
      </c>
      <c r="AH259" s="192">
        <f t="shared" si="176"/>
        <v>0</v>
      </c>
      <c r="AI259" s="168">
        <f t="shared" si="177"/>
        <v>3.8989585322715873E-15</v>
      </c>
      <c r="AJ259" s="192">
        <f t="shared" si="178"/>
        <v>1.2854126028594956E-15</v>
      </c>
      <c r="AK259" s="132">
        <f t="shared" si="179"/>
        <v>18.579088629468888</v>
      </c>
      <c r="AL259" s="192">
        <f t="shared" si="180"/>
        <v>0.26831067227306082</v>
      </c>
      <c r="AM259" s="192">
        <f t="shared" si="149"/>
        <v>0</v>
      </c>
      <c r="AN259" s="192">
        <f t="shared" si="181"/>
        <v>0</v>
      </c>
      <c r="AO259" s="192">
        <f t="shared" si="150"/>
        <v>0</v>
      </c>
      <c r="AS259" s="132"/>
      <c r="AT259" s="132"/>
      <c r="AU259" s="200"/>
      <c r="AV259" s="132"/>
      <c r="AW259" s="132"/>
      <c r="AX259" s="132"/>
      <c r="AY259" s="132"/>
      <c r="AZ259" s="132"/>
      <c r="BA259" s="167"/>
      <c r="BB259" s="167"/>
      <c r="BD259" s="211">
        <f t="shared" si="182"/>
        <v>42664</v>
      </c>
      <c r="BE259" s="210">
        <v>1</v>
      </c>
      <c r="BF259" s="209">
        <v>0.5</v>
      </c>
      <c r="BG259" s="209">
        <v>2</v>
      </c>
      <c r="BH259" s="210"/>
      <c r="BI259" s="209"/>
      <c r="BJ259" s="209"/>
      <c r="BK259" s="168">
        <f t="shared" si="183"/>
        <v>0</v>
      </c>
      <c r="BL259" s="168">
        <f t="shared" si="184"/>
        <v>0</v>
      </c>
    </row>
    <row r="260" spans="1:64" ht="13.5" thickBot="1" x14ac:dyDescent="0.25">
      <c r="A260" s="215">
        <f t="shared" si="151"/>
        <v>42665</v>
      </c>
      <c r="B260" s="190"/>
      <c r="C260" s="168"/>
      <c r="D260" s="198"/>
      <c r="E260" s="132">
        <f t="shared" si="152"/>
        <v>170.59058182019189</v>
      </c>
      <c r="F260" s="168">
        <f t="shared" si="153"/>
        <v>170.59058182019129</v>
      </c>
      <c r="G260" s="300"/>
      <c r="H260" s="127">
        <f>VLOOKUP(MONTH(A260),ETP_Parametros!$A$6:$D$17,4,FALSE)</f>
        <v>4.903225806451613</v>
      </c>
      <c r="I260" s="230">
        <f>VLOOKUP(A260,P_Q_obs!$A$4:$F$308,6,FALSE)*1</f>
        <v>0</v>
      </c>
      <c r="J260" s="230">
        <f t="shared" si="154"/>
        <v>0</v>
      </c>
      <c r="K260" s="230">
        <f t="shared" si="155"/>
        <v>0</v>
      </c>
      <c r="L260" s="230">
        <f t="shared" si="156"/>
        <v>0</v>
      </c>
      <c r="M260" s="230">
        <f t="shared" si="157"/>
        <v>0</v>
      </c>
      <c r="N260" s="230">
        <f t="shared" si="158"/>
        <v>0</v>
      </c>
      <c r="O260" s="230">
        <f t="shared" si="159"/>
        <v>0</v>
      </c>
      <c r="P260" s="230">
        <f t="shared" si="160"/>
        <v>0</v>
      </c>
      <c r="Q260" s="230">
        <f t="shared" si="161"/>
        <v>0</v>
      </c>
      <c r="R260" s="230">
        <f t="shared" si="162"/>
        <v>0</v>
      </c>
      <c r="S260" s="230">
        <f t="shared" si="163"/>
        <v>0</v>
      </c>
      <c r="T260" s="230">
        <f t="shared" si="164"/>
        <v>0</v>
      </c>
      <c r="U260" s="230">
        <f t="shared" si="165"/>
        <v>0</v>
      </c>
      <c r="V260" s="230">
        <f t="shared" si="166"/>
        <v>0</v>
      </c>
      <c r="W260" s="230">
        <f t="shared" si="167"/>
        <v>0</v>
      </c>
      <c r="X260" s="230">
        <f t="shared" si="168"/>
        <v>0</v>
      </c>
      <c r="Y260" s="230">
        <f t="shared" si="169"/>
        <v>0</v>
      </c>
      <c r="Z260" s="292">
        <f t="shared" si="170"/>
        <v>0</v>
      </c>
      <c r="AA260" s="300"/>
      <c r="AB260" s="191">
        <f t="shared" si="171"/>
        <v>0</v>
      </c>
      <c r="AC260" s="139">
        <f t="shared" si="172"/>
        <v>0</v>
      </c>
      <c r="AD260" s="132">
        <f t="shared" si="173"/>
        <v>0.72045154609790929</v>
      </c>
      <c r="AE260" s="168">
        <f t="shared" si="174"/>
        <v>9.772999021144143E-3</v>
      </c>
      <c r="AF260" s="192">
        <f t="shared" si="175"/>
        <v>0</v>
      </c>
      <c r="AG260" s="192">
        <f t="shared" si="148"/>
        <v>4.2050511490534632E-2</v>
      </c>
      <c r="AH260" s="192">
        <f t="shared" si="176"/>
        <v>0</v>
      </c>
      <c r="AI260" s="168">
        <f t="shared" si="177"/>
        <v>2.9322510368442291E-15</v>
      </c>
      <c r="AJ260" s="192">
        <f t="shared" si="178"/>
        <v>9.6670749542735844E-16</v>
      </c>
      <c r="AK260" s="132">
        <f t="shared" si="179"/>
        <v>18.31459761505435</v>
      </c>
      <c r="AL260" s="192">
        <f t="shared" si="180"/>
        <v>0.26449101441453771</v>
      </c>
      <c r="AM260" s="192">
        <f t="shared" si="149"/>
        <v>0</v>
      </c>
      <c r="AN260" s="192">
        <f t="shared" si="181"/>
        <v>0</v>
      </c>
      <c r="AO260" s="192">
        <f t="shared" si="150"/>
        <v>0</v>
      </c>
      <c r="AS260" s="132"/>
      <c r="AT260" s="132"/>
      <c r="AU260" s="200"/>
      <c r="AV260" s="132"/>
      <c r="AW260" s="132"/>
      <c r="AX260" s="132"/>
      <c r="AY260" s="132"/>
      <c r="AZ260" s="132"/>
      <c r="BA260" s="167"/>
      <c r="BB260" s="167"/>
      <c r="BD260" s="211">
        <f t="shared" si="182"/>
        <v>42665</v>
      </c>
      <c r="BE260" s="210">
        <v>1</v>
      </c>
      <c r="BF260" s="209">
        <v>0.5</v>
      </c>
      <c r="BG260" s="209">
        <v>2</v>
      </c>
      <c r="BH260" s="210"/>
      <c r="BI260" s="209"/>
      <c r="BJ260" s="209"/>
      <c r="BK260" s="168">
        <f t="shared" si="183"/>
        <v>0</v>
      </c>
      <c r="BL260" s="168">
        <f t="shared" si="184"/>
        <v>0</v>
      </c>
    </row>
    <row r="261" spans="1:64" ht="13.5" thickBot="1" x14ac:dyDescent="0.25">
      <c r="A261" s="215">
        <f t="shared" si="151"/>
        <v>42666</v>
      </c>
      <c r="B261" s="190"/>
      <c r="C261" s="168"/>
      <c r="D261" s="198"/>
      <c r="E261" s="132">
        <f t="shared" si="152"/>
        <v>168.16206248132477</v>
      </c>
      <c r="F261" s="168">
        <f t="shared" si="153"/>
        <v>168.16206248132428</v>
      </c>
      <c r="G261" s="300"/>
      <c r="H261" s="127">
        <f>VLOOKUP(MONTH(A261),ETP_Parametros!$A$6:$D$17,4,FALSE)</f>
        <v>4.903225806451613</v>
      </c>
      <c r="I261" s="230">
        <f>VLOOKUP(A261,P_Q_obs!$A$4:$F$308,6,FALSE)*1</f>
        <v>0</v>
      </c>
      <c r="J261" s="230">
        <f t="shared" si="154"/>
        <v>0</v>
      </c>
      <c r="K261" s="230">
        <f t="shared" si="155"/>
        <v>0</v>
      </c>
      <c r="L261" s="230">
        <f t="shared" si="156"/>
        <v>0</v>
      </c>
      <c r="M261" s="230">
        <f t="shared" si="157"/>
        <v>0</v>
      </c>
      <c r="N261" s="230">
        <f t="shared" si="158"/>
        <v>0</v>
      </c>
      <c r="O261" s="230">
        <f t="shared" si="159"/>
        <v>0</v>
      </c>
      <c r="P261" s="230">
        <f t="shared" si="160"/>
        <v>0</v>
      </c>
      <c r="Q261" s="230">
        <f t="shared" si="161"/>
        <v>0</v>
      </c>
      <c r="R261" s="230">
        <f t="shared" si="162"/>
        <v>0</v>
      </c>
      <c r="S261" s="230">
        <f t="shared" si="163"/>
        <v>0</v>
      </c>
      <c r="T261" s="230">
        <f t="shared" si="164"/>
        <v>0</v>
      </c>
      <c r="U261" s="230">
        <f t="shared" si="165"/>
        <v>0</v>
      </c>
      <c r="V261" s="230">
        <f t="shared" si="166"/>
        <v>0</v>
      </c>
      <c r="W261" s="230">
        <f t="shared" si="167"/>
        <v>0</v>
      </c>
      <c r="X261" s="230">
        <f t="shared" si="168"/>
        <v>0</v>
      </c>
      <c r="Y261" s="230">
        <f t="shared" si="169"/>
        <v>0</v>
      </c>
      <c r="Z261" s="292">
        <f t="shared" si="170"/>
        <v>0</v>
      </c>
      <c r="AA261" s="300"/>
      <c r="AB261" s="191">
        <f t="shared" si="171"/>
        <v>0</v>
      </c>
      <c r="AC261" s="139">
        <f t="shared" si="172"/>
        <v>0</v>
      </c>
      <c r="AD261" s="132">
        <f t="shared" si="173"/>
        <v>0.68072003886318999</v>
      </c>
      <c r="AE261" s="168">
        <f t="shared" si="174"/>
        <v>9.2340370556704462E-3</v>
      </c>
      <c r="AF261" s="192">
        <f t="shared" si="175"/>
        <v>0</v>
      </c>
      <c r="AG261" s="192">
        <f t="shared" si="148"/>
        <v>3.973150723471925E-2</v>
      </c>
      <c r="AH261" s="192">
        <f t="shared" si="176"/>
        <v>0</v>
      </c>
      <c r="AI261" s="168">
        <f t="shared" si="177"/>
        <v>2.2052289276502476E-15</v>
      </c>
      <c r="AJ261" s="192">
        <f t="shared" si="178"/>
        <v>7.2702210919398141E-16</v>
      </c>
      <c r="AK261" s="132">
        <f t="shared" si="179"/>
        <v>18.053871882032304</v>
      </c>
      <c r="AL261" s="192">
        <f t="shared" si="180"/>
        <v>0.26072573302204394</v>
      </c>
      <c r="AM261" s="192">
        <f t="shared" si="149"/>
        <v>0</v>
      </c>
      <c r="AN261" s="192">
        <f t="shared" si="181"/>
        <v>0</v>
      </c>
      <c r="AO261" s="192">
        <f t="shared" si="150"/>
        <v>0</v>
      </c>
      <c r="AS261" s="132"/>
      <c r="AT261" s="132"/>
      <c r="AU261" s="200"/>
      <c r="AV261" s="132"/>
      <c r="AW261" s="132"/>
      <c r="AX261" s="132"/>
      <c r="AY261" s="132"/>
      <c r="AZ261" s="132"/>
      <c r="BA261" s="167"/>
      <c r="BB261" s="167"/>
      <c r="BD261" s="211">
        <f t="shared" si="182"/>
        <v>42666</v>
      </c>
      <c r="BE261" s="210">
        <v>1</v>
      </c>
      <c r="BF261" s="209">
        <v>0.5</v>
      </c>
      <c r="BG261" s="209">
        <v>2</v>
      </c>
      <c r="BH261" s="210"/>
      <c r="BI261" s="209"/>
      <c r="BJ261" s="209"/>
      <c r="BK261" s="168">
        <f t="shared" si="183"/>
        <v>0</v>
      </c>
      <c r="BL261" s="168">
        <f t="shared" si="184"/>
        <v>0</v>
      </c>
    </row>
    <row r="262" spans="1:64" ht="13.5" thickBot="1" x14ac:dyDescent="0.25">
      <c r="A262" s="215">
        <f t="shared" si="151"/>
        <v>42667</v>
      </c>
      <c r="B262" s="190"/>
      <c r="C262" s="168"/>
      <c r="D262" s="198"/>
      <c r="E262" s="132">
        <f t="shared" si="152"/>
        <v>165.76811542725986</v>
      </c>
      <c r="F262" s="168">
        <f t="shared" si="153"/>
        <v>165.76811542725949</v>
      </c>
      <c r="G262" s="300"/>
      <c r="H262" s="127">
        <f>VLOOKUP(MONTH(A262),ETP_Parametros!$A$6:$D$17,4,FALSE)</f>
        <v>4.903225806451613</v>
      </c>
      <c r="I262" s="230">
        <f>VLOOKUP(A262,P_Q_obs!$A$4:$F$308,6,FALSE)*1</f>
        <v>0</v>
      </c>
      <c r="J262" s="230">
        <f t="shared" si="154"/>
        <v>0</v>
      </c>
      <c r="K262" s="230">
        <f t="shared" si="155"/>
        <v>0</v>
      </c>
      <c r="L262" s="230">
        <f t="shared" si="156"/>
        <v>0</v>
      </c>
      <c r="M262" s="230">
        <f t="shared" si="157"/>
        <v>0</v>
      </c>
      <c r="N262" s="230">
        <f t="shared" si="158"/>
        <v>0</v>
      </c>
      <c r="O262" s="230">
        <f t="shared" si="159"/>
        <v>0</v>
      </c>
      <c r="P262" s="230">
        <f t="shared" si="160"/>
        <v>0</v>
      </c>
      <c r="Q262" s="230">
        <f t="shared" si="161"/>
        <v>0</v>
      </c>
      <c r="R262" s="230">
        <f t="shared" si="162"/>
        <v>0</v>
      </c>
      <c r="S262" s="230">
        <f t="shared" si="163"/>
        <v>0</v>
      </c>
      <c r="T262" s="230">
        <f t="shared" si="164"/>
        <v>0</v>
      </c>
      <c r="U262" s="230">
        <f t="shared" si="165"/>
        <v>0</v>
      </c>
      <c r="V262" s="230">
        <f t="shared" si="166"/>
        <v>0</v>
      </c>
      <c r="W262" s="230">
        <f t="shared" si="167"/>
        <v>0</v>
      </c>
      <c r="X262" s="230">
        <f t="shared" si="168"/>
        <v>0</v>
      </c>
      <c r="Y262" s="230">
        <f t="shared" si="169"/>
        <v>0</v>
      </c>
      <c r="Z262" s="292">
        <f t="shared" si="170"/>
        <v>0</v>
      </c>
      <c r="AA262" s="300"/>
      <c r="AB262" s="191">
        <f t="shared" si="171"/>
        <v>0</v>
      </c>
      <c r="AC262" s="139">
        <f t="shared" si="172"/>
        <v>0</v>
      </c>
      <c r="AD262" s="132">
        <f t="shared" si="173"/>
        <v>0.64317964729154686</v>
      </c>
      <c r="AE262" s="168">
        <f t="shared" si="174"/>
        <v>8.724797798609879E-3</v>
      </c>
      <c r="AF262" s="192">
        <f t="shared" si="175"/>
        <v>0</v>
      </c>
      <c r="AG262" s="192">
        <f t="shared" si="148"/>
        <v>3.7540391571643114E-2</v>
      </c>
      <c r="AH262" s="192">
        <f t="shared" si="176"/>
        <v>0</v>
      </c>
      <c r="AI262" s="168">
        <f t="shared" si="177"/>
        <v>1.6584646274280785E-15</v>
      </c>
      <c r="AJ262" s="192">
        <f t="shared" si="178"/>
        <v>5.4676430022216911E-16</v>
      </c>
      <c r="AK262" s="132">
        <f t="shared" si="179"/>
        <v>17.796857828037485</v>
      </c>
      <c r="AL262" s="192">
        <f t="shared" si="180"/>
        <v>0.25701405399481786</v>
      </c>
      <c r="AM262" s="192">
        <f t="shared" si="149"/>
        <v>0</v>
      </c>
      <c r="AN262" s="192">
        <f t="shared" si="181"/>
        <v>0</v>
      </c>
      <c r="AO262" s="192">
        <f t="shared" si="150"/>
        <v>0</v>
      </c>
      <c r="AS262" s="132"/>
      <c r="AT262" s="132"/>
      <c r="AU262" s="200"/>
      <c r="AV262" s="132"/>
      <c r="AW262" s="132"/>
      <c r="AX262" s="132"/>
      <c r="AY262" s="132"/>
      <c r="AZ262" s="132"/>
      <c r="BA262" s="167"/>
      <c r="BB262" s="167"/>
      <c r="BD262" s="211">
        <f t="shared" si="182"/>
        <v>42667</v>
      </c>
      <c r="BE262" s="210">
        <v>1</v>
      </c>
      <c r="BF262" s="209">
        <v>0.5</v>
      </c>
      <c r="BG262" s="209">
        <v>2</v>
      </c>
      <c r="BH262" s="210"/>
      <c r="BI262" s="209"/>
      <c r="BJ262" s="209"/>
      <c r="BK262" s="168">
        <f t="shared" si="183"/>
        <v>0</v>
      </c>
      <c r="BL262" s="168">
        <f t="shared" si="184"/>
        <v>0</v>
      </c>
    </row>
    <row r="263" spans="1:64" ht="13.5" thickBot="1" x14ac:dyDescent="0.25">
      <c r="A263" s="215">
        <f t="shared" si="151"/>
        <v>42668</v>
      </c>
      <c r="B263" s="190"/>
      <c r="C263" s="168"/>
      <c r="D263" s="198"/>
      <c r="E263" s="132">
        <f t="shared" si="152"/>
        <v>163.40824848860913</v>
      </c>
      <c r="F263" s="168">
        <f t="shared" si="153"/>
        <v>163.4082484886089</v>
      </c>
      <c r="G263" s="300"/>
      <c r="H263" s="127">
        <f>VLOOKUP(MONTH(A263),ETP_Parametros!$A$6:$D$17,4,FALSE)</f>
        <v>4.903225806451613</v>
      </c>
      <c r="I263" s="230">
        <f>VLOOKUP(A263,P_Q_obs!$A$4:$F$308,6,FALSE)*1</f>
        <v>0</v>
      </c>
      <c r="J263" s="230">
        <f t="shared" si="154"/>
        <v>0</v>
      </c>
      <c r="K263" s="230">
        <f t="shared" si="155"/>
        <v>0</v>
      </c>
      <c r="L263" s="230">
        <f t="shared" si="156"/>
        <v>0</v>
      </c>
      <c r="M263" s="230">
        <f t="shared" si="157"/>
        <v>0</v>
      </c>
      <c r="N263" s="230">
        <f t="shared" si="158"/>
        <v>0</v>
      </c>
      <c r="O263" s="230">
        <f t="shared" si="159"/>
        <v>0</v>
      </c>
      <c r="P263" s="230">
        <f t="shared" si="160"/>
        <v>0</v>
      </c>
      <c r="Q263" s="230">
        <f t="shared" si="161"/>
        <v>0</v>
      </c>
      <c r="R263" s="230">
        <f t="shared" si="162"/>
        <v>0</v>
      </c>
      <c r="S263" s="230">
        <f t="shared" si="163"/>
        <v>0</v>
      </c>
      <c r="T263" s="230">
        <f t="shared" si="164"/>
        <v>0</v>
      </c>
      <c r="U263" s="230">
        <f t="shared" si="165"/>
        <v>0</v>
      </c>
      <c r="V263" s="230">
        <f t="shared" si="166"/>
        <v>0</v>
      </c>
      <c r="W263" s="230">
        <f t="shared" si="167"/>
        <v>0</v>
      </c>
      <c r="X263" s="230">
        <f t="shared" si="168"/>
        <v>0</v>
      </c>
      <c r="Y263" s="230">
        <f t="shared" si="169"/>
        <v>0</v>
      </c>
      <c r="Z263" s="292">
        <f t="shared" si="170"/>
        <v>0</v>
      </c>
      <c r="AA263" s="300"/>
      <c r="AB263" s="191">
        <f t="shared" si="171"/>
        <v>0</v>
      </c>
      <c r="AC263" s="139">
        <f t="shared" si="172"/>
        <v>0</v>
      </c>
      <c r="AD263" s="132">
        <f t="shared" si="173"/>
        <v>0.60770953559840679</v>
      </c>
      <c r="AE263" s="168">
        <f t="shared" si="174"/>
        <v>8.2436421001670836E-3</v>
      </c>
      <c r="AF263" s="192">
        <f t="shared" si="175"/>
        <v>0</v>
      </c>
      <c r="AG263" s="192">
        <f t="shared" si="148"/>
        <v>3.5470111693140037E-2</v>
      </c>
      <c r="AH263" s="192">
        <f t="shared" si="176"/>
        <v>0</v>
      </c>
      <c r="AI263" s="168">
        <f t="shared" si="177"/>
        <v>1.2472650281079522E-15</v>
      </c>
      <c r="AJ263" s="192">
        <f t="shared" si="178"/>
        <v>4.1119959932012637E-16</v>
      </c>
      <c r="AK263" s="132">
        <f t="shared" si="179"/>
        <v>17.543502613785325</v>
      </c>
      <c r="AL263" s="192">
        <f t="shared" si="180"/>
        <v>0.25335521425215896</v>
      </c>
      <c r="AM263" s="192">
        <f t="shared" si="149"/>
        <v>0</v>
      </c>
      <c r="AN263" s="192">
        <f t="shared" si="181"/>
        <v>0</v>
      </c>
      <c r="AO263" s="192">
        <f t="shared" si="150"/>
        <v>0</v>
      </c>
      <c r="AS263" s="132"/>
      <c r="AT263" s="132"/>
      <c r="AU263" s="200"/>
      <c r="AV263" s="132"/>
      <c r="AW263" s="132"/>
      <c r="AX263" s="132"/>
      <c r="AY263" s="132"/>
      <c r="AZ263" s="132"/>
      <c r="BA263" s="167"/>
      <c r="BB263" s="167"/>
      <c r="BD263" s="211">
        <f t="shared" si="182"/>
        <v>42668</v>
      </c>
      <c r="BE263" s="210">
        <v>1</v>
      </c>
      <c r="BF263" s="209">
        <v>0.5</v>
      </c>
      <c r="BG263" s="209">
        <v>2</v>
      </c>
      <c r="BH263" s="210"/>
      <c r="BI263" s="209"/>
      <c r="BJ263" s="209"/>
      <c r="BK263" s="168">
        <f t="shared" si="183"/>
        <v>0</v>
      </c>
      <c r="BL263" s="168">
        <f t="shared" si="184"/>
        <v>0</v>
      </c>
    </row>
    <row r="264" spans="1:64" ht="13.5" thickBot="1" x14ac:dyDescent="0.25">
      <c r="A264" s="215">
        <f t="shared" si="151"/>
        <v>42669</v>
      </c>
      <c r="B264" s="190"/>
      <c r="C264" s="168"/>
      <c r="D264" s="198"/>
      <c r="E264" s="132">
        <f t="shared" si="152"/>
        <v>161.08197650248474</v>
      </c>
      <c r="F264" s="168">
        <f t="shared" si="153"/>
        <v>161.08197650248454</v>
      </c>
      <c r="G264" s="300"/>
      <c r="H264" s="127">
        <f>VLOOKUP(MONTH(A264),ETP_Parametros!$A$6:$D$17,4,FALSE)</f>
        <v>4.903225806451613</v>
      </c>
      <c r="I264" s="230">
        <f>VLOOKUP(A264,P_Q_obs!$A$4:$F$308,6,FALSE)*1</f>
        <v>0</v>
      </c>
      <c r="J264" s="230">
        <f t="shared" si="154"/>
        <v>0</v>
      </c>
      <c r="K264" s="230">
        <f t="shared" si="155"/>
        <v>0</v>
      </c>
      <c r="L264" s="230">
        <f t="shared" si="156"/>
        <v>0</v>
      </c>
      <c r="M264" s="230">
        <f t="shared" si="157"/>
        <v>0</v>
      </c>
      <c r="N264" s="230">
        <f t="shared" si="158"/>
        <v>0</v>
      </c>
      <c r="O264" s="230">
        <f t="shared" si="159"/>
        <v>0</v>
      </c>
      <c r="P264" s="230">
        <f t="shared" si="160"/>
        <v>0</v>
      </c>
      <c r="Q264" s="230">
        <f t="shared" si="161"/>
        <v>0</v>
      </c>
      <c r="R264" s="230">
        <f t="shared" si="162"/>
        <v>0</v>
      </c>
      <c r="S264" s="230">
        <f t="shared" si="163"/>
        <v>0</v>
      </c>
      <c r="T264" s="230">
        <f t="shared" si="164"/>
        <v>0</v>
      </c>
      <c r="U264" s="230">
        <f t="shared" si="165"/>
        <v>0</v>
      </c>
      <c r="V264" s="230">
        <f t="shared" si="166"/>
        <v>0</v>
      </c>
      <c r="W264" s="230">
        <f t="shared" si="167"/>
        <v>0</v>
      </c>
      <c r="X264" s="230">
        <f t="shared" si="168"/>
        <v>0</v>
      </c>
      <c r="Y264" s="230">
        <f t="shared" si="169"/>
        <v>0</v>
      </c>
      <c r="Z264" s="292">
        <f t="shared" si="170"/>
        <v>0</v>
      </c>
      <c r="AA264" s="300"/>
      <c r="AB264" s="191">
        <f t="shared" si="171"/>
        <v>0</v>
      </c>
      <c r="AC264" s="139">
        <f t="shared" si="172"/>
        <v>0</v>
      </c>
      <c r="AD264" s="132">
        <f t="shared" si="173"/>
        <v>0.57419553185865402</v>
      </c>
      <c r="AE264" s="168">
        <f t="shared" si="174"/>
        <v>7.7890212064828422E-3</v>
      </c>
      <c r="AF264" s="192">
        <f t="shared" si="175"/>
        <v>0</v>
      </c>
      <c r="AG264" s="192">
        <f t="shared" si="148"/>
        <v>3.3514003739752739E-2</v>
      </c>
      <c r="AH264" s="192">
        <f t="shared" si="176"/>
        <v>0</v>
      </c>
      <c r="AI264" s="168">
        <f t="shared" si="177"/>
        <v>9.3801822759020184E-16</v>
      </c>
      <c r="AJ264" s="192">
        <f t="shared" si="178"/>
        <v>3.0924680051775035E-16</v>
      </c>
      <c r="AK264" s="132">
        <f t="shared" si="179"/>
        <v>17.293754152208777</v>
      </c>
      <c r="AL264" s="192">
        <f t="shared" si="180"/>
        <v>0.24974846157654712</v>
      </c>
      <c r="AM264" s="192">
        <f t="shared" si="149"/>
        <v>0</v>
      </c>
      <c r="AN264" s="192">
        <f t="shared" si="181"/>
        <v>0</v>
      </c>
      <c r="AO264" s="192">
        <f t="shared" si="150"/>
        <v>0</v>
      </c>
      <c r="AS264" s="132"/>
      <c r="AT264" s="132"/>
      <c r="AU264" s="200"/>
      <c r="AV264" s="132"/>
      <c r="AW264" s="132"/>
      <c r="AX264" s="132"/>
      <c r="AY264" s="132"/>
      <c r="AZ264" s="132"/>
      <c r="BA264" s="167"/>
      <c r="BB264" s="167"/>
      <c r="BD264" s="211">
        <f t="shared" si="182"/>
        <v>42669</v>
      </c>
      <c r="BE264" s="210">
        <v>1</v>
      </c>
      <c r="BF264" s="209">
        <v>0.5</v>
      </c>
      <c r="BG264" s="209">
        <v>2</v>
      </c>
      <c r="BH264" s="210"/>
      <c r="BI264" s="209"/>
      <c r="BJ264" s="209"/>
      <c r="BK264" s="168">
        <f t="shared" si="183"/>
        <v>0</v>
      </c>
      <c r="BL264" s="168">
        <f t="shared" si="184"/>
        <v>0</v>
      </c>
    </row>
    <row r="265" spans="1:64" ht="13.5" thickBot="1" x14ac:dyDescent="0.25">
      <c r="A265" s="215">
        <f t="shared" si="151"/>
        <v>42670</v>
      </c>
      <c r="B265" s="190"/>
      <c r="C265" s="168"/>
      <c r="D265" s="198"/>
      <c r="E265" s="132">
        <f t="shared" si="152"/>
        <v>158.78882121275402</v>
      </c>
      <c r="F265" s="168">
        <f t="shared" si="153"/>
        <v>158.78882121275387</v>
      </c>
      <c r="G265" s="300"/>
      <c r="H265" s="127">
        <f>VLOOKUP(MONTH(A265),ETP_Parametros!$A$6:$D$17,4,FALSE)</f>
        <v>4.903225806451613</v>
      </c>
      <c r="I265" s="230">
        <f>VLOOKUP(A265,P_Q_obs!$A$4:$F$308,6,FALSE)*1</f>
        <v>0</v>
      </c>
      <c r="J265" s="230">
        <f t="shared" si="154"/>
        <v>0</v>
      </c>
      <c r="K265" s="230">
        <f t="shared" si="155"/>
        <v>0</v>
      </c>
      <c r="L265" s="230">
        <f t="shared" si="156"/>
        <v>0</v>
      </c>
      <c r="M265" s="230">
        <f t="shared" si="157"/>
        <v>0</v>
      </c>
      <c r="N265" s="230">
        <f t="shared" si="158"/>
        <v>0</v>
      </c>
      <c r="O265" s="230">
        <f t="shared" si="159"/>
        <v>0</v>
      </c>
      <c r="P265" s="230">
        <f t="shared" si="160"/>
        <v>0</v>
      </c>
      <c r="Q265" s="230">
        <f t="shared" si="161"/>
        <v>0</v>
      </c>
      <c r="R265" s="230">
        <f t="shared" si="162"/>
        <v>0</v>
      </c>
      <c r="S265" s="230">
        <f t="shared" si="163"/>
        <v>0</v>
      </c>
      <c r="T265" s="230">
        <f t="shared" si="164"/>
        <v>0</v>
      </c>
      <c r="U265" s="230">
        <f t="shared" si="165"/>
        <v>0</v>
      </c>
      <c r="V265" s="230">
        <f t="shared" si="166"/>
        <v>0</v>
      </c>
      <c r="W265" s="230">
        <f t="shared" si="167"/>
        <v>0</v>
      </c>
      <c r="X265" s="230">
        <f t="shared" si="168"/>
        <v>0</v>
      </c>
      <c r="Y265" s="230">
        <f t="shared" si="169"/>
        <v>0</v>
      </c>
      <c r="Z265" s="292">
        <f t="shared" si="170"/>
        <v>0</v>
      </c>
      <c r="AA265" s="300"/>
      <c r="AB265" s="191">
        <f t="shared" si="171"/>
        <v>0</v>
      </c>
      <c r="AC265" s="139">
        <f t="shared" si="172"/>
        <v>0</v>
      </c>
      <c r="AD265" s="132">
        <f t="shared" si="173"/>
        <v>0.54252976050768909</v>
      </c>
      <c r="AE265" s="168">
        <f t="shared" si="174"/>
        <v>7.3594717744732974E-3</v>
      </c>
      <c r="AF265" s="192">
        <f t="shared" si="175"/>
        <v>0</v>
      </c>
      <c r="AG265" s="192">
        <f t="shared" si="148"/>
        <v>3.1665771350964947E-2</v>
      </c>
      <c r="AH265" s="192">
        <f t="shared" si="176"/>
        <v>0</v>
      </c>
      <c r="AI265" s="168">
        <f t="shared" si="177"/>
        <v>7.0544605634153101E-16</v>
      </c>
      <c r="AJ265" s="192">
        <f t="shared" si="178"/>
        <v>2.3257217124867082E-16</v>
      </c>
      <c r="AK265" s="132">
        <f t="shared" si="179"/>
        <v>17.047561097749782</v>
      </c>
      <c r="AL265" s="192">
        <f t="shared" si="180"/>
        <v>0.24619305445899467</v>
      </c>
      <c r="AM265" s="192">
        <f t="shared" si="149"/>
        <v>0</v>
      </c>
      <c r="AN265" s="192">
        <f t="shared" si="181"/>
        <v>0</v>
      </c>
      <c r="AO265" s="192">
        <f t="shared" si="150"/>
        <v>0</v>
      </c>
      <c r="AS265" s="132"/>
      <c r="AT265" s="132"/>
      <c r="AU265" s="200"/>
      <c r="AV265" s="132"/>
      <c r="AW265" s="132"/>
      <c r="AX265" s="132"/>
      <c r="AY265" s="132"/>
      <c r="AZ265" s="132"/>
      <c r="BA265" s="167"/>
      <c r="BB265" s="167"/>
      <c r="BD265" s="211">
        <f t="shared" si="182"/>
        <v>42670</v>
      </c>
      <c r="BE265" s="210">
        <v>1</v>
      </c>
      <c r="BF265" s="209">
        <v>0.5</v>
      </c>
      <c r="BG265" s="209">
        <v>2</v>
      </c>
      <c r="BH265" s="210"/>
      <c r="BI265" s="209"/>
      <c r="BJ265" s="209"/>
      <c r="BK265" s="168">
        <f t="shared" si="183"/>
        <v>0</v>
      </c>
      <c r="BL265" s="168">
        <f t="shared" si="184"/>
        <v>0</v>
      </c>
    </row>
    <row r="266" spans="1:64" ht="13.5" thickBot="1" x14ac:dyDescent="0.25">
      <c r="A266" s="215">
        <f t="shared" si="151"/>
        <v>42671</v>
      </c>
      <c r="B266" s="190"/>
      <c r="C266" s="168"/>
      <c r="D266" s="198"/>
      <c r="E266" s="132">
        <f t="shared" si="152"/>
        <v>156.52831117171596</v>
      </c>
      <c r="F266" s="168">
        <f t="shared" si="153"/>
        <v>156.52831117171584</v>
      </c>
      <c r="G266" s="300"/>
      <c r="H266" s="127">
        <f>VLOOKUP(MONTH(A266),ETP_Parametros!$A$6:$D$17,4,FALSE)</f>
        <v>4.903225806451613</v>
      </c>
      <c r="I266" s="230">
        <f>VLOOKUP(A266,P_Q_obs!$A$4:$F$308,6,FALSE)*1</f>
        <v>0</v>
      </c>
      <c r="J266" s="230">
        <f t="shared" si="154"/>
        <v>0</v>
      </c>
      <c r="K266" s="230">
        <f t="shared" si="155"/>
        <v>0</v>
      </c>
      <c r="L266" s="230">
        <f t="shared" si="156"/>
        <v>0</v>
      </c>
      <c r="M266" s="230">
        <f t="shared" si="157"/>
        <v>0</v>
      </c>
      <c r="N266" s="230">
        <f t="shared" si="158"/>
        <v>0</v>
      </c>
      <c r="O266" s="230">
        <f t="shared" si="159"/>
        <v>0</v>
      </c>
      <c r="P266" s="230">
        <f t="shared" si="160"/>
        <v>0</v>
      </c>
      <c r="Q266" s="230">
        <f t="shared" si="161"/>
        <v>0</v>
      </c>
      <c r="R266" s="230">
        <f t="shared" si="162"/>
        <v>0</v>
      </c>
      <c r="S266" s="230">
        <f t="shared" si="163"/>
        <v>0</v>
      </c>
      <c r="T266" s="230">
        <f t="shared" si="164"/>
        <v>0</v>
      </c>
      <c r="U266" s="230">
        <f t="shared" si="165"/>
        <v>0</v>
      </c>
      <c r="V266" s="230">
        <f t="shared" si="166"/>
        <v>0</v>
      </c>
      <c r="W266" s="230">
        <f t="shared" si="167"/>
        <v>0</v>
      </c>
      <c r="X266" s="230">
        <f t="shared" si="168"/>
        <v>0</v>
      </c>
      <c r="Y266" s="230">
        <f t="shared" si="169"/>
        <v>0</v>
      </c>
      <c r="Z266" s="292">
        <f t="shared" si="170"/>
        <v>0</v>
      </c>
      <c r="AA266" s="300"/>
      <c r="AB266" s="191">
        <f t="shared" si="171"/>
        <v>0</v>
      </c>
      <c r="AC266" s="139">
        <f t="shared" si="172"/>
        <v>0</v>
      </c>
      <c r="AD266" s="132">
        <f t="shared" si="173"/>
        <v>0.51261029510934242</v>
      </c>
      <c r="AE266" s="168">
        <f t="shared" si="174"/>
        <v>6.9536111615911373E-3</v>
      </c>
      <c r="AF266" s="192">
        <f t="shared" si="175"/>
        <v>0</v>
      </c>
      <c r="AG266" s="192">
        <f t="shared" si="148"/>
        <v>2.991946539834666E-2</v>
      </c>
      <c r="AH266" s="192">
        <f t="shared" si="176"/>
        <v>0</v>
      </c>
      <c r="AI266" s="168">
        <f t="shared" si="177"/>
        <v>5.3053781234753571E-16</v>
      </c>
      <c r="AJ266" s="192">
        <f t="shared" si="178"/>
        <v>1.7490824399399531E-16</v>
      </c>
      <c r="AK266" s="132">
        <f t="shared" si="179"/>
        <v>16.804872835803181</v>
      </c>
      <c r="AL266" s="192">
        <f t="shared" si="180"/>
        <v>0.24268826194660034</v>
      </c>
      <c r="AM266" s="192">
        <f t="shared" si="149"/>
        <v>0</v>
      </c>
      <c r="AN266" s="192">
        <f t="shared" si="181"/>
        <v>0</v>
      </c>
      <c r="AO266" s="192">
        <f t="shared" si="150"/>
        <v>0</v>
      </c>
      <c r="AS266" s="132"/>
      <c r="AT266" s="132"/>
      <c r="AU266" s="200"/>
      <c r="AV266" s="132"/>
      <c r="AW266" s="132"/>
      <c r="AX266" s="132"/>
      <c r="AY266" s="132"/>
      <c r="AZ266" s="132"/>
      <c r="BA266" s="167"/>
      <c r="BB266" s="167"/>
      <c r="BD266" s="211">
        <f t="shared" si="182"/>
        <v>42671</v>
      </c>
      <c r="BE266" s="210">
        <v>1</v>
      </c>
      <c r="BF266" s="209">
        <v>0.5</v>
      </c>
      <c r="BG266" s="209">
        <v>2</v>
      </c>
      <c r="BH266" s="210"/>
      <c r="BI266" s="209"/>
      <c r="BJ266" s="209"/>
      <c r="BK266" s="168">
        <f t="shared" si="183"/>
        <v>0</v>
      </c>
      <c r="BL266" s="168">
        <f t="shared" si="184"/>
        <v>0</v>
      </c>
    </row>
    <row r="267" spans="1:64" ht="13.5" thickBot="1" x14ac:dyDescent="0.25">
      <c r="A267" s="215">
        <f t="shared" si="151"/>
        <v>42672</v>
      </c>
      <c r="B267" s="190"/>
      <c r="C267" s="168"/>
      <c r="D267" s="198"/>
      <c r="E267" s="132">
        <f t="shared" si="152"/>
        <v>154.29998164317624</v>
      </c>
      <c r="F267" s="168">
        <f t="shared" si="153"/>
        <v>154.29998164317615</v>
      </c>
      <c r="G267" s="300"/>
      <c r="H267" s="127">
        <f>VLOOKUP(MONTH(A267),ETP_Parametros!$A$6:$D$17,4,FALSE)</f>
        <v>4.903225806451613</v>
      </c>
      <c r="I267" s="230">
        <f>VLOOKUP(A267,P_Q_obs!$A$4:$F$308,6,FALSE)*1</f>
        <v>0</v>
      </c>
      <c r="J267" s="230">
        <f t="shared" si="154"/>
        <v>0</v>
      </c>
      <c r="K267" s="230">
        <f t="shared" si="155"/>
        <v>0</v>
      </c>
      <c r="L267" s="230">
        <f t="shared" si="156"/>
        <v>0</v>
      </c>
      <c r="M267" s="230">
        <f t="shared" si="157"/>
        <v>0</v>
      </c>
      <c r="N267" s="230">
        <f t="shared" si="158"/>
        <v>0</v>
      </c>
      <c r="O267" s="230">
        <f t="shared" si="159"/>
        <v>0</v>
      </c>
      <c r="P267" s="230">
        <f t="shared" si="160"/>
        <v>0</v>
      </c>
      <c r="Q267" s="230">
        <f t="shared" si="161"/>
        <v>0</v>
      </c>
      <c r="R267" s="230">
        <f t="shared" si="162"/>
        <v>0</v>
      </c>
      <c r="S267" s="230">
        <f t="shared" si="163"/>
        <v>0</v>
      </c>
      <c r="T267" s="230">
        <f t="shared" si="164"/>
        <v>0</v>
      </c>
      <c r="U267" s="230">
        <f t="shared" si="165"/>
        <v>0</v>
      </c>
      <c r="V267" s="230">
        <f t="shared" si="166"/>
        <v>0</v>
      </c>
      <c r="W267" s="230">
        <f t="shared" si="167"/>
        <v>0</v>
      </c>
      <c r="X267" s="230">
        <f t="shared" si="168"/>
        <v>0</v>
      </c>
      <c r="Y267" s="230">
        <f t="shared" si="169"/>
        <v>0</v>
      </c>
      <c r="Z267" s="292">
        <f t="shared" si="170"/>
        <v>0</v>
      </c>
      <c r="AA267" s="300"/>
      <c r="AB267" s="191">
        <f t="shared" si="171"/>
        <v>0</v>
      </c>
      <c r="AC267" s="139">
        <f t="shared" si="172"/>
        <v>0</v>
      </c>
      <c r="AD267" s="132">
        <f t="shared" si="173"/>
        <v>0.48434083027296526</v>
      </c>
      <c r="AE267" s="168">
        <f t="shared" si="174"/>
        <v>6.5701329753473162E-3</v>
      </c>
      <c r="AF267" s="192">
        <f t="shared" si="175"/>
        <v>0</v>
      </c>
      <c r="AG267" s="192">
        <f t="shared" si="148"/>
        <v>2.8269464836377167E-2</v>
      </c>
      <c r="AH267" s="192">
        <f t="shared" si="176"/>
        <v>0</v>
      </c>
      <c r="AI267" s="168">
        <f t="shared" si="177"/>
        <v>3.9899630567108792E-16</v>
      </c>
      <c r="AJ267" s="192">
        <f t="shared" si="178"/>
        <v>1.3154150667644779E-16</v>
      </c>
      <c r="AK267" s="132">
        <f t="shared" si="179"/>
        <v>16.565639472310906</v>
      </c>
      <c r="AL267" s="192">
        <f t="shared" si="180"/>
        <v>0.23923336349227328</v>
      </c>
      <c r="AM267" s="192">
        <f t="shared" si="149"/>
        <v>0</v>
      </c>
      <c r="AN267" s="192">
        <f t="shared" si="181"/>
        <v>0</v>
      </c>
      <c r="AO267" s="192">
        <f t="shared" si="150"/>
        <v>0</v>
      </c>
      <c r="AS267" s="132"/>
      <c r="AT267" s="132"/>
      <c r="AU267" s="200"/>
      <c r="AV267" s="132"/>
      <c r="AW267" s="132"/>
      <c r="AX267" s="132"/>
      <c r="AY267" s="132"/>
      <c r="AZ267" s="132"/>
      <c r="BA267" s="167"/>
      <c r="BB267" s="167"/>
      <c r="BD267" s="211">
        <f t="shared" si="182"/>
        <v>42672</v>
      </c>
      <c r="BE267" s="210">
        <v>1</v>
      </c>
      <c r="BF267" s="209">
        <v>0.5</v>
      </c>
      <c r="BG267" s="209">
        <v>2</v>
      </c>
      <c r="BH267" s="210"/>
      <c r="BI267" s="209"/>
      <c r="BJ267" s="209"/>
      <c r="BK267" s="168">
        <f t="shared" si="183"/>
        <v>0</v>
      </c>
      <c r="BL267" s="168">
        <f t="shared" si="184"/>
        <v>0</v>
      </c>
    </row>
    <row r="268" spans="1:64" ht="13.5" thickBot="1" x14ac:dyDescent="0.25">
      <c r="A268" s="215">
        <f t="shared" si="151"/>
        <v>42673</v>
      </c>
      <c r="B268" s="190"/>
      <c r="C268" s="168"/>
      <c r="D268" s="198"/>
      <c r="E268" s="132">
        <f t="shared" si="152"/>
        <v>152.10337450690278</v>
      </c>
      <c r="F268" s="168">
        <f t="shared" si="153"/>
        <v>152.1033745069027</v>
      </c>
      <c r="G268" s="300"/>
      <c r="H268" s="127">
        <f>VLOOKUP(MONTH(A268),ETP_Parametros!$A$6:$D$17,4,FALSE)</f>
        <v>4.903225806451613</v>
      </c>
      <c r="I268" s="230">
        <f>VLOOKUP(A268,P_Q_obs!$A$4:$F$308,6,FALSE)*1</f>
        <v>0</v>
      </c>
      <c r="J268" s="230">
        <f t="shared" si="154"/>
        <v>0</v>
      </c>
      <c r="K268" s="230">
        <f t="shared" si="155"/>
        <v>0</v>
      </c>
      <c r="L268" s="230">
        <f t="shared" si="156"/>
        <v>0</v>
      </c>
      <c r="M268" s="230">
        <f t="shared" si="157"/>
        <v>0</v>
      </c>
      <c r="N268" s="230">
        <f t="shared" si="158"/>
        <v>0</v>
      </c>
      <c r="O268" s="230">
        <f t="shared" si="159"/>
        <v>0</v>
      </c>
      <c r="P268" s="230">
        <f t="shared" si="160"/>
        <v>0</v>
      </c>
      <c r="Q268" s="230">
        <f t="shared" si="161"/>
        <v>0</v>
      </c>
      <c r="R268" s="230">
        <f t="shared" si="162"/>
        <v>0</v>
      </c>
      <c r="S268" s="230">
        <f t="shared" si="163"/>
        <v>0</v>
      </c>
      <c r="T268" s="230">
        <f t="shared" si="164"/>
        <v>0</v>
      </c>
      <c r="U268" s="230">
        <f t="shared" si="165"/>
        <v>0</v>
      </c>
      <c r="V268" s="230">
        <f t="shared" si="166"/>
        <v>0</v>
      </c>
      <c r="W268" s="230">
        <f t="shared" si="167"/>
        <v>0</v>
      </c>
      <c r="X268" s="230">
        <f t="shared" si="168"/>
        <v>0</v>
      </c>
      <c r="Y268" s="230">
        <f t="shared" si="169"/>
        <v>0</v>
      </c>
      <c r="Z268" s="292">
        <f t="shared" si="170"/>
        <v>0</v>
      </c>
      <c r="AA268" s="300"/>
      <c r="AB268" s="191">
        <f t="shared" si="171"/>
        <v>0</v>
      </c>
      <c r="AC268" s="139">
        <f t="shared" si="172"/>
        <v>0</v>
      </c>
      <c r="AD268" s="132">
        <f t="shared" si="173"/>
        <v>0.45763037166365717</v>
      </c>
      <c r="AE268" s="168">
        <f t="shared" si="174"/>
        <v>6.2078028682680487E-3</v>
      </c>
      <c r="AF268" s="192">
        <f t="shared" si="175"/>
        <v>0</v>
      </c>
      <c r="AG268" s="192">
        <f t="shared" si="148"/>
        <v>2.6710458609308121E-2</v>
      </c>
      <c r="AH268" s="192">
        <f t="shared" si="176"/>
        <v>0</v>
      </c>
      <c r="AI268" s="168">
        <f t="shared" si="177"/>
        <v>3.0006919061009636E-16</v>
      </c>
      <c r="AJ268" s="192">
        <f t="shared" si="178"/>
        <v>9.8927115060991559E-17</v>
      </c>
      <c r="AK268" s="132">
        <f t="shared" si="179"/>
        <v>16.329811823504308</v>
      </c>
      <c r="AL268" s="192">
        <f t="shared" si="180"/>
        <v>0.23582764880659646</v>
      </c>
      <c r="AM268" s="192">
        <f t="shared" si="149"/>
        <v>0</v>
      </c>
      <c r="AN268" s="192">
        <f t="shared" si="181"/>
        <v>0</v>
      </c>
      <c r="AO268" s="192">
        <f t="shared" si="150"/>
        <v>0</v>
      </c>
      <c r="AS268" s="132"/>
      <c r="AT268" s="132"/>
      <c r="AU268" s="200"/>
      <c r="AV268" s="132"/>
      <c r="AW268" s="132"/>
      <c r="AX268" s="132"/>
      <c r="AY268" s="132"/>
      <c r="AZ268" s="132"/>
      <c r="BA268" s="167"/>
      <c r="BB268" s="167"/>
      <c r="BD268" s="211">
        <f t="shared" si="182"/>
        <v>42673</v>
      </c>
      <c r="BE268" s="210">
        <v>1</v>
      </c>
      <c r="BF268" s="209">
        <v>0.5</v>
      </c>
      <c r="BG268" s="209">
        <v>2</v>
      </c>
      <c r="BH268" s="210"/>
      <c r="BI268" s="209"/>
      <c r="BJ268" s="209"/>
      <c r="BK268" s="168">
        <f t="shared" si="183"/>
        <v>0</v>
      </c>
      <c r="BL268" s="168">
        <f t="shared" si="184"/>
        <v>0</v>
      </c>
    </row>
    <row r="269" spans="1:64" ht="13.5" thickBot="1" x14ac:dyDescent="0.25">
      <c r="A269" s="215">
        <f t="shared" si="151"/>
        <v>42674</v>
      </c>
      <c r="B269" s="190"/>
      <c r="C269" s="168"/>
      <c r="D269" s="198"/>
      <c r="E269" s="132">
        <f t="shared" si="152"/>
        <v>149.93803816444108</v>
      </c>
      <c r="F269" s="168">
        <f t="shared" si="153"/>
        <v>149.93803816444102</v>
      </c>
      <c r="G269" s="300"/>
      <c r="H269" s="127">
        <f>VLOOKUP(MONTH(A269),ETP_Parametros!$A$6:$D$17,4,FALSE)</f>
        <v>4.903225806451613</v>
      </c>
      <c r="I269" s="230">
        <f>VLOOKUP(A269,P_Q_obs!$A$4:$F$308,6,FALSE)*1</f>
        <v>0</v>
      </c>
      <c r="J269" s="230">
        <f t="shared" si="154"/>
        <v>0</v>
      </c>
      <c r="K269" s="230">
        <f t="shared" si="155"/>
        <v>0</v>
      </c>
      <c r="L269" s="230">
        <f t="shared" si="156"/>
        <v>0</v>
      </c>
      <c r="M269" s="230">
        <f t="shared" si="157"/>
        <v>0</v>
      </c>
      <c r="N269" s="230">
        <f t="shared" si="158"/>
        <v>0</v>
      </c>
      <c r="O269" s="230">
        <f t="shared" si="159"/>
        <v>0</v>
      </c>
      <c r="P269" s="230">
        <f t="shared" si="160"/>
        <v>0</v>
      </c>
      <c r="Q269" s="230">
        <f t="shared" si="161"/>
        <v>0</v>
      </c>
      <c r="R269" s="230">
        <f t="shared" si="162"/>
        <v>0</v>
      </c>
      <c r="S269" s="230">
        <f t="shared" si="163"/>
        <v>0</v>
      </c>
      <c r="T269" s="230">
        <f t="shared" si="164"/>
        <v>0</v>
      </c>
      <c r="U269" s="230">
        <f t="shared" si="165"/>
        <v>0</v>
      </c>
      <c r="V269" s="230">
        <f t="shared" si="166"/>
        <v>0</v>
      </c>
      <c r="W269" s="230">
        <f t="shared" si="167"/>
        <v>0</v>
      </c>
      <c r="X269" s="230">
        <f t="shared" si="168"/>
        <v>0</v>
      </c>
      <c r="Y269" s="230">
        <f t="shared" si="169"/>
        <v>0</v>
      </c>
      <c r="Z269" s="292">
        <f t="shared" si="170"/>
        <v>0</v>
      </c>
      <c r="AA269" s="300"/>
      <c r="AB269" s="191">
        <f t="shared" si="171"/>
        <v>0</v>
      </c>
      <c r="AC269" s="139">
        <f t="shared" si="172"/>
        <v>0</v>
      </c>
      <c r="AD269" s="132">
        <f t="shared" si="173"/>
        <v>0.43239294310782911</v>
      </c>
      <c r="AE269" s="168">
        <f t="shared" si="174"/>
        <v>5.8654545647517653E-3</v>
      </c>
      <c r="AF269" s="192">
        <f t="shared" si="175"/>
        <v>0</v>
      </c>
      <c r="AG269" s="192">
        <f t="shared" si="148"/>
        <v>2.5237428555828063E-2</v>
      </c>
      <c r="AH269" s="192">
        <f t="shared" si="176"/>
        <v>0</v>
      </c>
      <c r="AI269" s="168">
        <f t="shared" si="177"/>
        <v>2.2567005727522687E-16</v>
      </c>
      <c r="AJ269" s="192">
        <f t="shared" si="178"/>
        <v>7.4399133334869486E-17</v>
      </c>
      <c r="AK269" s="132">
        <f t="shared" si="179"/>
        <v>16.097341405792509</v>
      </c>
      <c r="AL269" s="192">
        <f t="shared" si="180"/>
        <v>0.23247041771179891</v>
      </c>
      <c r="AM269" s="192">
        <f t="shared" si="149"/>
        <v>0</v>
      </c>
      <c r="AN269" s="192">
        <f t="shared" si="181"/>
        <v>0</v>
      </c>
      <c r="AO269" s="192">
        <f t="shared" si="150"/>
        <v>0</v>
      </c>
      <c r="AS269" s="132"/>
      <c r="AT269" s="132"/>
      <c r="AU269" s="200"/>
      <c r="AV269" s="132"/>
      <c r="AW269" s="132"/>
      <c r="AX269" s="132"/>
      <c r="AY269" s="132"/>
      <c r="AZ269" s="132"/>
      <c r="BA269" s="167"/>
      <c r="BB269" s="167"/>
      <c r="BD269" s="211">
        <f t="shared" si="182"/>
        <v>42674</v>
      </c>
      <c r="BE269" s="210">
        <v>1</v>
      </c>
      <c r="BF269" s="209">
        <v>0.5</v>
      </c>
      <c r="BG269" s="209">
        <v>2</v>
      </c>
      <c r="BH269" s="210"/>
      <c r="BI269" s="209"/>
      <c r="BJ269" s="209"/>
      <c r="BK269" s="168">
        <f t="shared" si="183"/>
        <v>0</v>
      </c>
      <c r="BL269" s="168">
        <f t="shared" si="184"/>
        <v>0</v>
      </c>
    </row>
    <row r="270" spans="1:64" ht="13.5" thickBot="1" x14ac:dyDescent="0.25">
      <c r="A270" s="215">
        <f t="shared" si="151"/>
        <v>42675</v>
      </c>
      <c r="B270" s="190"/>
      <c r="C270" s="168"/>
      <c r="D270" s="198"/>
      <c r="E270" s="132">
        <f t="shared" si="152"/>
        <v>147.80352744627069</v>
      </c>
      <c r="F270" s="168">
        <f t="shared" si="153"/>
        <v>147.80352744627066</v>
      </c>
      <c r="G270" s="300"/>
      <c r="H270" s="127">
        <f>VLOOKUP(MONTH(A270),ETP_Parametros!$A$6:$D$17,4,FALSE)</f>
        <v>6.0666666666666664</v>
      </c>
      <c r="I270" s="230">
        <f>VLOOKUP(A270,P_Q_obs!$A$4:$F$308,6,FALSE)*1</f>
        <v>0</v>
      </c>
      <c r="J270" s="230">
        <f t="shared" si="154"/>
        <v>0</v>
      </c>
      <c r="K270" s="230">
        <f t="shared" si="155"/>
        <v>0</v>
      </c>
      <c r="L270" s="230">
        <f t="shared" si="156"/>
        <v>0</v>
      </c>
      <c r="M270" s="230">
        <f t="shared" si="157"/>
        <v>0</v>
      </c>
      <c r="N270" s="230">
        <f t="shared" si="158"/>
        <v>0</v>
      </c>
      <c r="O270" s="230">
        <f t="shared" si="159"/>
        <v>0</v>
      </c>
      <c r="P270" s="230">
        <f t="shared" si="160"/>
        <v>0</v>
      </c>
      <c r="Q270" s="230">
        <f t="shared" si="161"/>
        <v>0</v>
      </c>
      <c r="R270" s="230">
        <f t="shared" si="162"/>
        <v>0</v>
      </c>
      <c r="S270" s="230">
        <f t="shared" si="163"/>
        <v>0</v>
      </c>
      <c r="T270" s="230">
        <f t="shared" si="164"/>
        <v>0</v>
      </c>
      <c r="U270" s="230">
        <f t="shared" si="165"/>
        <v>0</v>
      </c>
      <c r="V270" s="230">
        <f t="shared" si="166"/>
        <v>0</v>
      </c>
      <c r="W270" s="230">
        <f t="shared" si="167"/>
        <v>0</v>
      </c>
      <c r="X270" s="230">
        <f t="shared" si="168"/>
        <v>0</v>
      </c>
      <c r="Y270" s="230">
        <f t="shared" si="169"/>
        <v>0</v>
      </c>
      <c r="Z270" s="292">
        <f t="shared" si="170"/>
        <v>0</v>
      </c>
      <c r="AA270" s="300"/>
      <c r="AB270" s="191">
        <f t="shared" si="171"/>
        <v>0</v>
      </c>
      <c r="AC270" s="139">
        <f t="shared" si="172"/>
        <v>0</v>
      </c>
      <c r="AD270" s="132">
        <f t="shared" si="173"/>
        <v>0.40288920125844713</v>
      </c>
      <c r="AE270" s="168">
        <f t="shared" si="174"/>
        <v>5.5419861070372181E-3</v>
      </c>
      <c r="AF270" s="192">
        <f t="shared" si="175"/>
        <v>0</v>
      </c>
      <c r="AG270" s="192">
        <f t="shared" si="148"/>
        <v>2.9503741849381957E-2</v>
      </c>
      <c r="AH270" s="192">
        <f t="shared" si="176"/>
        <v>0</v>
      </c>
      <c r="AI270" s="168">
        <f t="shared" si="177"/>
        <v>1.6971743965803416E-16</v>
      </c>
      <c r="AJ270" s="192">
        <f t="shared" si="178"/>
        <v>5.5952617617192719E-17</v>
      </c>
      <c r="AK270" s="132">
        <f t="shared" si="179"/>
        <v>15.868180425794701</v>
      </c>
      <c r="AL270" s="192">
        <f t="shared" si="180"/>
        <v>0.22916097999780688</v>
      </c>
      <c r="AM270" s="192">
        <f t="shared" si="149"/>
        <v>0</v>
      </c>
      <c r="AN270" s="192">
        <f t="shared" si="181"/>
        <v>0</v>
      </c>
      <c r="AO270" s="192">
        <f t="shared" si="150"/>
        <v>0</v>
      </c>
      <c r="AS270" s="132"/>
      <c r="AT270" s="132"/>
      <c r="AU270" s="200"/>
      <c r="AV270" s="132"/>
      <c r="AW270" s="132"/>
      <c r="AX270" s="132"/>
      <c r="AY270" s="132"/>
      <c r="AZ270" s="132"/>
      <c r="BA270" s="167"/>
      <c r="BB270" s="167"/>
      <c r="BD270" s="211">
        <f t="shared" si="182"/>
        <v>42675</v>
      </c>
      <c r="BE270" s="210">
        <v>1</v>
      </c>
      <c r="BF270" s="209">
        <v>0.5</v>
      </c>
      <c r="BG270" s="209">
        <v>2</v>
      </c>
      <c r="BH270" s="210"/>
      <c r="BI270" s="209"/>
      <c r="BJ270" s="209"/>
      <c r="BK270" s="168">
        <f t="shared" si="183"/>
        <v>0</v>
      </c>
      <c r="BL270" s="168">
        <f t="shared" si="184"/>
        <v>0</v>
      </c>
    </row>
    <row r="271" spans="1:64" ht="13.5" thickBot="1" x14ac:dyDescent="0.25">
      <c r="A271" s="215">
        <f t="shared" si="151"/>
        <v>42676</v>
      </c>
      <c r="B271" s="190"/>
      <c r="C271" s="168"/>
      <c r="D271" s="198"/>
      <c r="E271" s="132">
        <f t="shared" si="152"/>
        <v>145.69940352028303</v>
      </c>
      <c r="F271" s="168">
        <f t="shared" si="153"/>
        <v>145.69940352028297</v>
      </c>
      <c r="G271" s="300"/>
      <c r="H271" s="127">
        <f>VLOOKUP(MONTH(A271),ETP_Parametros!$A$6:$D$17,4,FALSE)</f>
        <v>6.0666666666666664</v>
      </c>
      <c r="I271" s="230">
        <f>VLOOKUP(A271,P_Q_obs!$A$4:$F$308,6,FALSE)*1</f>
        <v>0</v>
      </c>
      <c r="J271" s="230">
        <f t="shared" si="154"/>
        <v>0</v>
      </c>
      <c r="K271" s="230">
        <f t="shared" si="155"/>
        <v>0</v>
      </c>
      <c r="L271" s="230">
        <f t="shared" si="156"/>
        <v>0</v>
      </c>
      <c r="M271" s="230">
        <f t="shared" si="157"/>
        <v>0</v>
      </c>
      <c r="N271" s="230">
        <f t="shared" si="158"/>
        <v>0</v>
      </c>
      <c r="O271" s="230">
        <f t="shared" si="159"/>
        <v>0</v>
      </c>
      <c r="P271" s="230">
        <f t="shared" si="160"/>
        <v>0</v>
      </c>
      <c r="Q271" s="230">
        <f t="shared" si="161"/>
        <v>0</v>
      </c>
      <c r="R271" s="230">
        <f t="shared" si="162"/>
        <v>0</v>
      </c>
      <c r="S271" s="230">
        <f t="shared" si="163"/>
        <v>0</v>
      </c>
      <c r="T271" s="230">
        <f t="shared" si="164"/>
        <v>0</v>
      </c>
      <c r="U271" s="230">
        <f t="shared" si="165"/>
        <v>0</v>
      </c>
      <c r="V271" s="230">
        <f t="shared" si="166"/>
        <v>0</v>
      </c>
      <c r="W271" s="230">
        <f t="shared" si="167"/>
        <v>0</v>
      </c>
      <c r="X271" s="230">
        <f t="shared" si="168"/>
        <v>0</v>
      </c>
      <c r="Y271" s="230">
        <f t="shared" si="169"/>
        <v>0</v>
      </c>
      <c r="Z271" s="292">
        <f t="shared" si="170"/>
        <v>0</v>
      </c>
      <c r="AA271" s="300"/>
      <c r="AB271" s="191">
        <f t="shared" si="171"/>
        <v>0</v>
      </c>
      <c r="AC271" s="139">
        <f t="shared" si="172"/>
        <v>0</v>
      </c>
      <c r="AD271" s="132">
        <f t="shared" si="173"/>
        <v>0.37539860693376448</v>
      </c>
      <c r="AE271" s="168">
        <f t="shared" si="174"/>
        <v>5.1638362550538285E-3</v>
      </c>
      <c r="AF271" s="192">
        <f t="shared" si="175"/>
        <v>0</v>
      </c>
      <c r="AG271" s="192">
        <f t="shared" si="148"/>
        <v>2.7490594324682649E-2</v>
      </c>
      <c r="AH271" s="192">
        <f t="shared" si="176"/>
        <v>0</v>
      </c>
      <c r="AI271" s="168">
        <f t="shared" si="177"/>
        <v>1.276377099906929E-16</v>
      </c>
      <c r="AJ271" s="192">
        <f t="shared" si="178"/>
        <v>4.2079729667341255E-17</v>
      </c>
      <c r="AK271" s="132">
        <f t="shared" si="179"/>
        <v>15.642281770514357</v>
      </c>
      <c r="AL271" s="192">
        <f t="shared" si="180"/>
        <v>0.225898655280344</v>
      </c>
      <c r="AM271" s="192">
        <f t="shared" si="149"/>
        <v>0</v>
      </c>
      <c r="AN271" s="192">
        <f t="shared" si="181"/>
        <v>0</v>
      </c>
      <c r="AO271" s="192">
        <f t="shared" si="150"/>
        <v>0</v>
      </c>
      <c r="AS271" s="132"/>
      <c r="AT271" s="132"/>
      <c r="AU271" s="200"/>
      <c r="AV271" s="132"/>
      <c r="AW271" s="132"/>
      <c r="AX271" s="132"/>
      <c r="AY271" s="132"/>
      <c r="AZ271" s="132"/>
      <c r="BA271" s="167"/>
      <c r="BB271" s="167"/>
      <c r="BD271" s="211">
        <f t="shared" si="182"/>
        <v>42676</v>
      </c>
      <c r="BE271" s="210">
        <v>1</v>
      </c>
      <c r="BF271" s="209">
        <v>0.5</v>
      </c>
      <c r="BG271" s="209">
        <v>2</v>
      </c>
      <c r="BH271" s="210"/>
      <c r="BI271" s="209"/>
      <c r="BJ271" s="209"/>
      <c r="BK271" s="168">
        <f t="shared" si="183"/>
        <v>0</v>
      </c>
      <c r="BL271" s="168">
        <f t="shared" si="184"/>
        <v>0</v>
      </c>
    </row>
    <row r="272" spans="1:64" ht="13.5" thickBot="1" x14ac:dyDescent="0.25">
      <c r="A272" s="215">
        <f t="shared" si="151"/>
        <v>42677</v>
      </c>
      <c r="B272" s="190"/>
      <c r="C272" s="168"/>
      <c r="D272" s="198"/>
      <c r="E272" s="132">
        <f t="shared" si="152"/>
        <v>143.62523380156227</v>
      </c>
      <c r="F272" s="168">
        <f t="shared" si="153"/>
        <v>143.62523380156225</v>
      </c>
      <c r="G272" s="300"/>
      <c r="H272" s="127">
        <f>VLOOKUP(MONTH(A272),ETP_Parametros!$A$6:$D$17,4,FALSE)</f>
        <v>6.0666666666666664</v>
      </c>
      <c r="I272" s="230">
        <f>VLOOKUP(A272,P_Q_obs!$A$4:$F$308,6,FALSE)*1</f>
        <v>0</v>
      </c>
      <c r="J272" s="230">
        <f t="shared" si="154"/>
        <v>0</v>
      </c>
      <c r="K272" s="230">
        <f t="shared" si="155"/>
        <v>0</v>
      </c>
      <c r="L272" s="230">
        <f t="shared" si="156"/>
        <v>0</v>
      </c>
      <c r="M272" s="230">
        <f t="shared" si="157"/>
        <v>0</v>
      </c>
      <c r="N272" s="230">
        <f t="shared" si="158"/>
        <v>0</v>
      </c>
      <c r="O272" s="230">
        <f t="shared" si="159"/>
        <v>0</v>
      </c>
      <c r="P272" s="230">
        <f t="shared" si="160"/>
        <v>0</v>
      </c>
      <c r="Q272" s="230">
        <f t="shared" si="161"/>
        <v>0</v>
      </c>
      <c r="R272" s="230">
        <f t="shared" si="162"/>
        <v>0</v>
      </c>
      <c r="S272" s="230">
        <f t="shared" si="163"/>
        <v>0</v>
      </c>
      <c r="T272" s="230">
        <f t="shared" si="164"/>
        <v>0</v>
      </c>
      <c r="U272" s="230">
        <f t="shared" si="165"/>
        <v>0</v>
      </c>
      <c r="V272" s="230">
        <f t="shared" si="166"/>
        <v>0</v>
      </c>
      <c r="W272" s="230">
        <f t="shared" si="167"/>
        <v>0</v>
      </c>
      <c r="X272" s="230">
        <f t="shared" si="168"/>
        <v>0</v>
      </c>
      <c r="Y272" s="230">
        <f t="shared" si="169"/>
        <v>0</v>
      </c>
      <c r="Z272" s="292">
        <f t="shared" si="170"/>
        <v>0</v>
      </c>
      <c r="AA272" s="300"/>
      <c r="AB272" s="191">
        <f t="shared" si="171"/>
        <v>0</v>
      </c>
      <c r="AC272" s="139">
        <f t="shared" si="172"/>
        <v>0</v>
      </c>
      <c r="AD272" s="132">
        <f t="shared" si="173"/>
        <v>0.34978379576227558</v>
      </c>
      <c r="AE272" s="168">
        <f t="shared" si="174"/>
        <v>4.8114889416898494E-3</v>
      </c>
      <c r="AF272" s="192">
        <f t="shared" si="175"/>
        <v>0</v>
      </c>
      <c r="AG272" s="192">
        <f t="shared" si="148"/>
        <v>2.5614811171488918E-2</v>
      </c>
      <c r="AH272" s="192">
        <f t="shared" si="176"/>
        <v>0</v>
      </c>
      <c r="AI272" s="168">
        <f t="shared" si="177"/>
        <v>9.5991225442087435E-17</v>
      </c>
      <c r="AJ272" s="192">
        <f t="shared" si="178"/>
        <v>3.1646484548605468E-17</v>
      </c>
      <c r="AK272" s="132">
        <f t="shared" si="179"/>
        <v>15.419598997653305</v>
      </c>
      <c r="AL272" s="192">
        <f t="shared" si="180"/>
        <v>0.22268277286105193</v>
      </c>
      <c r="AM272" s="192">
        <f t="shared" si="149"/>
        <v>0</v>
      </c>
      <c r="AN272" s="192">
        <f t="shared" si="181"/>
        <v>0</v>
      </c>
      <c r="AO272" s="192">
        <f t="shared" si="150"/>
        <v>0</v>
      </c>
      <c r="AS272" s="132"/>
      <c r="AT272" s="132"/>
      <c r="AU272" s="200"/>
      <c r="AV272" s="132"/>
      <c r="AW272" s="132"/>
      <c r="AX272" s="132"/>
      <c r="AY272" s="132"/>
      <c r="AZ272" s="132"/>
      <c r="BA272" s="167"/>
      <c r="BB272" s="167"/>
      <c r="BD272" s="211">
        <f t="shared" si="182"/>
        <v>42677</v>
      </c>
      <c r="BE272" s="210">
        <v>1</v>
      </c>
      <c r="BF272" s="209">
        <v>0.5</v>
      </c>
      <c r="BG272" s="209">
        <v>2</v>
      </c>
      <c r="BH272" s="210"/>
      <c r="BI272" s="209"/>
      <c r="BJ272" s="209"/>
      <c r="BK272" s="168">
        <f t="shared" si="183"/>
        <v>0</v>
      </c>
      <c r="BL272" s="168">
        <f t="shared" si="184"/>
        <v>0</v>
      </c>
    </row>
    <row r="273" spans="1:64" ht="13.5" thickBot="1" x14ac:dyDescent="0.25">
      <c r="A273" s="215">
        <f t="shared" si="151"/>
        <v>42678</v>
      </c>
      <c r="B273" s="190"/>
      <c r="C273" s="168"/>
      <c r="D273" s="198"/>
      <c r="E273" s="132">
        <f t="shared" si="152"/>
        <v>141.58059186345091</v>
      </c>
      <c r="F273" s="168">
        <f t="shared" si="153"/>
        <v>141.58059186345088</v>
      </c>
      <c r="G273" s="300"/>
      <c r="H273" s="127">
        <f>VLOOKUP(MONTH(A273),ETP_Parametros!$A$6:$D$17,4,FALSE)</f>
        <v>6.0666666666666664</v>
      </c>
      <c r="I273" s="230">
        <f>VLOOKUP(A273,P_Q_obs!$A$4:$F$308,6,FALSE)*1</f>
        <v>0</v>
      </c>
      <c r="J273" s="230">
        <f t="shared" si="154"/>
        <v>0</v>
      </c>
      <c r="K273" s="230">
        <f t="shared" si="155"/>
        <v>0</v>
      </c>
      <c r="L273" s="230">
        <f t="shared" si="156"/>
        <v>0</v>
      </c>
      <c r="M273" s="230">
        <f t="shared" si="157"/>
        <v>0</v>
      </c>
      <c r="N273" s="230">
        <f t="shared" si="158"/>
        <v>0</v>
      </c>
      <c r="O273" s="230">
        <f t="shared" si="159"/>
        <v>0</v>
      </c>
      <c r="P273" s="230">
        <f t="shared" si="160"/>
        <v>0</v>
      </c>
      <c r="Q273" s="230">
        <f t="shared" si="161"/>
        <v>0</v>
      </c>
      <c r="R273" s="230">
        <f t="shared" si="162"/>
        <v>0</v>
      </c>
      <c r="S273" s="230">
        <f t="shared" si="163"/>
        <v>0</v>
      </c>
      <c r="T273" s="230">
        <f t="shared" si="164"/>
        <v>0</v>
      </c>
      <c r="U273" s="230">
        <f t="shared" si="165"/>
        <v>0</v>
      </c>
      <c r="V273" s="230">
        <f t="shared" si="166"/>
        <v>0</v>
      </c>
      <c r="W273" s="230">
        <f t="shared" si="167"/>
        <v>0</v>
      </c>
      <c r="X273" s="230">
        <f t="shared" si="168"/>
        <v>0</v>
      </c>
      <c r="Y273" s="230">
        <f t="shared" si="169"/>
        <v>0</v>
      </c>
      <c r="Z273" s="292">
        <f t="shared" si="170"/>
        <v>0</v>
      </c>
      <c r="AA273" s="300"/>
      <c r="AB273" s="191">
        <f t="shared" si="171"/>
        <v>0</v>
      </c>
      <c r="AC273" s="139">
        <f t="shared" si="172"/>
        <v>0</v>
      </c>
      <c r="AD273" s="132">
        <f t="shared" si="173"/>
        <v>0.3259167762427328</v>
      </c>
      <c r="AE273" s="168">
        <f t="shared" si="174"/>
        <v>4.4831835659673502E-3</v>
      </c>
      <c r="AF273" s="192">
        <f t="shared" si="175"/>
        <v>0</v>
      </c>
      <c r="AG273" s="192">
        <f t="shared" si="148"/>
        <v>2.3867019519542808E-2</v>
      </c>
      <c r="AH273" s="192">
        <f t="shared" si="176"/>
        <v>0</v>
      </c>
      <c r="AI273" s="168">
        <f t="shared" si="177"/>
        <v>7.2191167974931102E-17</v>
      </c>
      <c r="AJ273" s="192">
        <f t="shared" si="178"/>
        <v>2.3800057467156326E-17</v>
      </c>
      <c r="AK273" s="132">
        <f t="shared" si="179"/>
        <v>15.200086326063703</v>
      </c>
      <c r="AL273" s="192">
        <f t="shared" si="180"/>
        <v>0.21951267158960192</v>
      </c>
      <c r="AM273" s="192">
        <f t="shared" si="149"/>
        <v>0</v>
      </c>
      <c r="AN273" s="192">
        <f t="shared" si="181"/>
        <v>0</v>
      </c>
      <c r="AO273" s="192">
        <f t="shared" si="150"/>
        <v>0</v>
      </c>
      <c r="AS273" s="132"/>
      <c r="AT273" s="132"/>
      <c r="AU273" s="200"/>
      <c r="AV273" s="132"/>
      <c r="AW273" s="132"/>
      <c r="AX273" s="132"/>
      <c r="AY273" s="132"/>
      <c r="AZ273" s="132"/>
      <c r="BA273" s="167"/>
      <c r="BB273" s="167"/>
      <c r="BD273" s="211">
        <f t="shared" si="182"/>
        <v>42678</v>
      </c>
      <c r="BE273" s="210">
        <v>1</v>
      </c>
      <c r="BF273" s="209">
        <v>0.5</v>
      </c>
      <c r="BG273" s="209">
        <v>2</v>
      </c>
      <c r="BH273" s="210"/>
      <c r="BI273" s="209"/>
      <c r="BJ273" s="209"/>
      <c r="BK273" s="168">
        <f t="shared" si="183"/>
        <v>0</v>
      </c>
      <c r="BL273" s="168">
        <f t="shared" si="184"/>
        <v>0</v>
      </c>
    </row>
    <row r="274" spans="1:64" ht="13.5" thickBot="1" x14ac:dyDescent="0.25">
      <c r="A274" s="215">
        <f t="shared" si="151"/>
        <v>42679</v>
      </c>
      <c r="B274" s="190"/>
      <c r="C274" s="168"/>
      <c r="D274" s="198"/>
      <c r="E274" s="132">
        <f t="shared" si="152"/>
        <v>139.56505734988068</v>
      </c>
      <c r="F274" s="168">
        <f t="shared" si="153"/>
        <v>139.56505734988065</v>
      </c>
      <c r="G274" s="300"/>
      <c r="H274" s="127">
        <f>VLOOKUP(MONTH(A274),ETP_Parametros!$A$6:$D$17,4,FALSE)</f>
        <v>6.0666666666666664</v>
      </c>
      <c r="I274" s="230">
        <f>VLOOKUP(A274,P_Q_obs!$A$4:$F$308,6,FALSE)*1</f>
        <v>0</v>
      </c>
      <c r="J274" s="230">
        <f t="shared" si="154"/>
        <v>0</v>
      </c>
      <c r="K274" s="230">
        <f t="shared" si="155"/>
        <v>0</v>
      </c>
      <c r="L274" s="230">
        <f t="shared" si="156"/>
        <v>0</v>
      </c>
      <c r="M274" s="230">
        <f t="shared" si="157"/>
        <v>0</v>
      </c>
      <c r="N274" s="230">
        <f t="shared" si="158"/>
        <v>0</v>
      </c>
      <c r="O274" s="230">
        <f t="shared" si="159"/>
        <v>0</v>
      </c>
      <c r="P274" s="230">
        <f t="shared" si="160"/>
        <v>0</v>
      </c>
      <c r="Q274" s="230">
        <f t="shared" si="161"/>
        <v>0</v>
      </c>
      <c r="R274" s="230">
        <f t="shared" si="162"/>
        <v>0</v>
      </c>
      <c r="S274" s="230">
        <f t="shared" si="163"/>
        <v>0</v>
      </c>
      <c r="T274" s="230">
        <f t="shared" si="164"/>
        <v>0</v>
      </c>
      <c r="U274" s="230">
        <f t="shared" si="165"/>
        <v>0</v>
      </c>
      <c r="V274" s="230">
        <f t="shared" si="166"/>
        <v>0</v>
      </c>
      <c r="W274" s="230">
        <f t="shared" si="167"/>
        <v>0</v>
      </c>
      <c r="X274" s="230">
        <f t="shared" si="168"/>
        <v>0</v>
      </c>
      <c r="Y274" s="230">
        <f t="shared" si="169"/>
        <v>0</v>
      </c>
      <c r="Z274" s="292">
        <f t="shared" si="170"/>
        <v>0</v>
      </c>
      <c r="AA274" s="300"/>
      <c r="AB274" s="191">
        <f t="shared" si="171"/>
        <v>0</v>
      </c>
      <c r="AC274" s="139">
        <f t="shared" si="172"/>
        <v>0</v>
      </c>
      <c r="AD274" s="132">
        <f t="shared" si="173"/>
        <v>0.30367829019914716</v>
      </c>
      <c r="AE274" s="168">
        <f t="shared" si="174"/>
        <v>4.1772796591112507E-3</v>
      </c>
      <c r="AF274" s="192">
        <f t="shared" si="175"/>
        <v>0</v>
      </c>
      <c r="AG274" s="192">
        <f t="shared" si="148"/>
        <v>2.2238486043585626E-2</v>
      </c>
      <c r="AH274" s="192">
        <f t="shared" si="176"/>
        <v>0</v>
      </c>
      <c r="AI274" s="168">
        <f t="shared" si="177"/>
        <v>5.4292095028299358E-17</v>
      </c>
      <c r="AJ274" s="192">
        <f t="shared" si="178"/>
        <v>1.7899072946631742E-17</v>
      </c>
      <c r="AK274" s="132">
        <f t="shared" si="179"/>
        <v>14.983698626335933</v>
      </c>
      <c r="AL274" s="192">
        <f t="shared" si="180"/>
        <v>0.21638769972776961</v>
      </c>
      <c r="AM274" s="192">
        <f t="shared" si="149"/>
        <v>0</v>
      </c>
      <c r="AN274" s="192">
        <f t="shared" si="181"/>
        <v>0</v>
      </c>
      <c r="AO274" s="192">
        <f t="shared" si="150"/>
        <v>0</v>
      </c>
      <c r="AS274" s="132"/>
      <c r="AT274" s="132"/>
      <c r="AU274" s="200"/>
      <c r="AV274" s="132"/>
      <c r="AW274" s="132"/>
      <c r="AX274" s="132"/>
      <c r="AY274" s="132"/>
      <c r="AZ274" s="132"/>
      <c r="BA274" s="167"/>
      <c r="BB274" s="167"/>
      <c r="BD274" s="211">
        <f t="shared" si="182"/>
        <v>42679</v>
      </c>
      <c r="BE274" s="210">
        <v>1</v>
      </c>
      <c r="BF274" s="209">
        <v>0.5</v>
      </c>
      <c r="BG274" s="209">
        <v>2</v>
      </c>
      <c r="BH274" s="210"/>
      <c r="BI274" s="209"/>
      <c r="BJ274" s="209"/>
      <c r="BK274" s="168">
        <f t="shared" si="183"/>
        <v>0</v>
      </c>
      <c r="BL274" s="168">
        <f t="shared" si="184"/>
        <v>0</v>
      </c>
    </row>
    <row r="275" spans="1:64" ht="13.5" thickBot="1" x14ac:dyDescent="0.25">
      <c r="A275" s="215">
        <f t="shared" si="151"/>
        <v>42680</v>
      </c>
      <c r="B275" s="190"/>
      <c r="C275" s="168"/>
      <c r="D275" s="198"/>
      <c r="E275" s="132">
        <f t="shared" si="152"/>
        <v>137.5782158889522</v>
      </c>
      <c r="F275" s="168">
        <f t="shared" si="153"/>
        <v>137.5782158889522</v>
      </c>
      <c r="G275" s="300"/>
      <c r="H275" s="127">
        <f>VLOOKUP(MONTH(A275),ETP_Parametros!$A$6:$D$17,4,FALSE)</f>
        <v>6.0666666666666664</v>
      </c>
      <c r="I275" s="230">
        <f>VLOOKUP(A275,P_Q_obs!$A$4:$F$308,6,FALSE)*1</f>
        <v>0</v>
      </c>
      <c r="J275" s="230">
        <f t="shared" si="154"/>
        <v>0</v>
      </c>
      <c r="K275" s="230">
        <f t="shared" si="155"/>
        <v>0</v>
      </c>
      <c r="L275" s="230">
        <f t="shared" si="156"/>
        <v>0</v>
      </c>
      <c r="M275" s="230">
        <f t="shared" si="157"/>
        <v>0</v>
      </c>
      <c r="N275" s="230">
        <f t="shared" si="158"/>
        <v>0</v>
      </c>
      <c r="O275" s="230">
        <f t="shared" si="159"/>
        <v>0</v>
      </c>
      <c r="P275" s="230">
        <f t="shared" si="160"/>
        <v>0</v>
      </c>
      <c r="Q275" s="230">
        <f t="shared" si="161"/>
        <v>0</v>
      </c>
      <c r="R275" s="230">
        <f t="shared" si="162"/>
        <v>0</v>
      </c>
      <c r="S275" s="230">
        <f t="shared" si="163"/>
        <v>0</v>
      </c>
      <c r="T275" s="230">
        <f t="shared" si="164"/>
        <v>0</v>
      </c>
      <c r="U275" s="230">
        <f t="shared" si="165"/>
        <v>0</v>
      </c>
      <c r="V275" s="230">
        <f t="shared" si="166"/>
        <v>0</v>
      </c>
      <c r="W275" s="230">
        <f t="shared" si="167"/>
        <v>0</v>
      </c>
      <c r="X275" s="230">
        <f t="shared" si="168"/>
        <v>0</v>
      </c>
      <c r="Y275" s="230">
        <f t="shared" si="169"/>
        <v>0</v>
      </c>
      <c r="Z275" s="292">
        <f t="shared" si="170"/>
        <v>0</v>
      </c>
      <c r="AA275" s="300"/>
      <c r="AB275" s="191">
        <f t="shared" si="171"/>
        <v>0</v>
      </c>
      <c r="AC275" s="139">
        <f t="shared" si="172"/>
        <v>0</v>
      </c>
      <c r="AD275" s="132">
        <f t="shared" si="173"/>
        <v>0.28295721687426867</v>
      </c>
      <c r="AE275" s="168">
        <f t="shared" si="174"/>
        <v>3.8922486874925534E-3</v>
      </c>
      <c r="AF275" s="192">
        <f t="shared" si="175"/>
        <v>0</v>
      </c>
      <c r="AG275" s="192">
        <f t="shared" si="148"/>
        <v>2.0721073324878481E-2</v>
      </c>
      <c r="AH275" s="192">
        <f t="shared" si="176"/>
        <v>0</v>
      </c>
      <c r="AI275" s="168">
        <f t="shared" si="177"/>
        <v>4.0830916928584311E-17</v>
      </c>
      <c r="AJ275" s="192">
        <f t="shared" si="178"/>
        <v>1.3461178099715045E-17</v>
      </c>
      <c r="AK275" s="132">
        <f t="shared" si="179"/>
        <v>14.770391411520489</v>
      </c>
      <c r="AL275" s="192">
        <f t="shared" si="180"/>
        <v>0.21330721481544468</v>
      </c>
      <c r="AM275" s="192">
        <f t="shared" si="149"/>
        <v>0</v>
      </c>
      <c r="AN275" s="192">
        <f t="shared" si="181"/>
        <v>0</v>
      </c>
      <c r="AO275" s="192">
        <f t="shared" si="150"/>
        <v>0</v>
      </c>
      <c r="AS275" s="132"/>
      <c r="AT275" s="132"/>
      <c r="AU275" s="200"/>
      <c r="AV275" s="132"/>
      <c r="AW275" s="132"/>
      <c r="AX275" s="132"/>
      <c r="AY275" s="132"/>
      <c r="AZ275" s="132"/>
      <c r="BA275" s="167"/>
      <c r="BB275" s="167"/>
      <c r="BD275" s="211">
        <f t="shared" si="182"/>
        <v>42680</v>
      </c>
      <c r="BE275" s="210">
        <v>1</v>
      </c>
      <c r="BF275" s="209">
        <v>0.5</v>
      </c>
      <c r="BG275" s="209">
        <v>2</v>
      </c>
      <c r="BH275" s="210"/>
      <c r="BI275" s="209"/>
      <c r="BJ275" s="209"/>
      <c r="BK275" s="168">
        <f t="shared" si="183"/>
        <v>0</v>
      </c>
      <c r="BL275" s="168">
        <f t="shared" si="184"/>
        <v>0</v>
      </c>
    </row>
    <row r="276" spans="1:64" ht="13.5" thickBot="1" x14ac:dyDescent="0.25">
      <c r="A276" s="215">
        <f t="shared" si="151"/>
        <v>42681</v>
      </c>
      <c r="B276" s="190"/>
      <c r="C276" s="168"/>
      <c r="D276" s="198"/>
      <c r="E276" s="132">
        <f t="shared" si="152"/>
        <v>135.61965900774467</v>
      </c>
      <c r="F276" s="168">
        <f t="shared" si="153"/>
        <v>135.61965900774467</v>
      </c>
      <c r="G276" s="300"/>
      <c r="H276" s="127">
        <f>VLOOKUP(MONTH(A276),ETP_Parametros!$A$6:$D$17,4,FALSE)</f>
        <v>6.0666666666666664</v>
      </c>
      <c r="I276" s="230">
        <f>VLOOKUP(A276,P_Q_obs!$A$4:$F$308,6,FALSE)*1</f>
        <v>0</v>
      </c>
      <c r="J276" s="230">
        <f t="shared" si="154"/>
        <v>0</v>
      </c>
      <c r="K276" s="230">
        <f t="shared" si="155"/>
        <v>0</v>
      </c>
      <c r="L276" s="230">
        <f t="shared" si="156"/>
        <v>0</v>
      </c>
      <c r="M276" s="230">
        <f t="shared" si="157"/>
        <v>0</v>
      </c>
      <c r="N276" s="230">
        <f t="shared" si="158"/>
        <v>0</v>
      </c>
      <c r="O276" s="230">
        <f t="shared" si="159"/>
        <v>0</v>
      </c>
      <c r="P276" s="230">
        <f t="shared" si="160"/>
        <v>0</v>
      </c>
      <c r="Q276" s="230">
        <f t="shared" si="161"/>
        <v>0</v>
      </c>
      <c r="R276" s="230">
        <f t="shared" si="162"/>
        <v>0</v>
      </c>
      <c r="S276" s="230">
        <f t="shared" si="163"/>
        <v>0</v>
      </c>
      <c r="T276" s="230">
        <f t="shared" si="164"/>
        <v>0</v>
      </c>
      <c r="U276" s="230">
        <f t="shared" si="165"/>
        <v>0</v>
      </c>
      <c r="V276" s="230">
        <f t="shared" si="166"/>
        <v>0</v>
      </c>
      <c r="W276" s="230">
        <f t="shared" si="167"/>
        <v>0</v>
      </c>
      <c r="X276" s="230">
        <f t="shared" si="168"/>
        <v>0</v>
      </c>
      <c r="Y276" s="230">
        <f t="shared" si="169"/>
        <v>0</v>
      </c>
      <c r="Z276" s="292">
        <f t="shared" si="170"/>
        <v>0</v>
      </c>
      <c r="AA276" s="300"/>
      <c r="AB276" s="191">
        <f t="shared" si="171"/>
        <v>0</v>
      </c>
      <c r="AC276" s="139">
        <f t="shared" si="172"/>
        <v>0</v>
      </c>
      <c r="AD276" s="132">
        <f t="shared" si="173"/>
        <v>0.26365001768393376</v>
      </c>
      <c r="AE276" s="168">
        <f t="shared" si="174"/>
        <v>3.6266664148865485E-3</v>
      </c>
      <c r="AF276" s="192">
        <f t="shared" si="175"/>
        <v>0</v>
      </c>
      <c r="AG276" s="192">
        <f t="shared" si="148"/>
        <v>1.9307199190334908E-2</v>
      </c>
      <c r="AH276" s="192">
        <f t="shared" si="176"/>
        <v>0</v>
      </c>
      <c r="AI276" s="168">
        <f t="shared" si="177"/>
        <v>3.0707302349632224E-17</v>
      </c>
      <c r="AJ276" s="192">
        <f t="shared" si="178"/>
        <v>1.0123614578952086E-17</v>
      </c>
      <c r="AK276" s="132">
        <f t="shared" si="179"/>
        <v>14.56012082798194</v>
      </c>
      <c r="AL276" s="192">
        <f t="shared" si="180"/>
        <v>0.21027058353854824</v>
      </c>
      <c r="AM276" s="192">
        <f t="shared" si="149"/>
        <v>0</v>
      </c>
      <c r="AN276" s="192">
        <f t="shared" si="181"/>
        <v>0</v>
      </c>
      <c r="AO276" s="192">
        <f t="shared" si="150"/>
        <v>0</v>
      </c>
      <c r="AS276" s="132"/>
      <c r="AT276" s="132"/>
      <c r="AU276" s="200"/>
      <c r="AV276" s="132"/>
      <c r="AW276" s="132"/>
      <c r="AX276" s="132"/>
      <c r="AY276" s="132"/>
      <c r="AZ276" s="132"/>
      <c r="BA276" s="167"/>
      <c r="BB276" s="167"/>
      <c r="BD276" s="211">
        <f t="shared" si="182"/>
        <v>42681</v>
      </c>
      <c r="BE276" s="210">
        <v>1</v>
      </c>
      <c r="BF276" s="209">
        <v>0.5</v>
      </c>
      <c r="BG276" s="209">
        <v>2</v>
      </c>
      <c r="BH276" s="210"/>
      <c r="BI276" s="209"/>
      <c r="BJ276" s="209"/>
      <c r="BK276" s="168">
        <f t="shared" si="183"/>
        <v>0</v>
      </c>
      <c r="BL276" s="168">
        <f t="shared" si="184"/>
        <v>0</v>
      </c>
    </row>
    <row r="277" spans="1:64" ht="13.5" thickBot="1" x14ac:dyDescent="0.25">
      <c r="A277" s="215">
        <f t="shared" si="151"/>
        <v>42682</v>
      </c>
      <c r="B277" s="190"/>
      <c r="C277" s="168"/>
      <c r="D277" s="198"/>
      <c r="E277" s="132">
        <f t="shared" si="152"/>
        <v>133.68898404833803</v>
      </c>
      <c r="F277" s="168">
        <f t="shared" si="153"/>
        <v>133.68898404833803</v>
      </c>
      <c r="G277" s="300"/>
      <c r="H277" s="127">
        <f>VLOOKUP(MONTH(A277),ETP_Parametros!$A$6:$D$17,4,FALSE)</f>
        <v>6.0666666666666664</v>
      </c>
      <c r="I277" s="230">
        <f>VLOOKUP(A277,P_Q_obs!$A$4:$F$308,6,FALSE)*1</f>
        <v>0</v>
      </c>
      <c r="J277" s="230">
        <f t="shared" si="154"/>
        <v>0</v>
      </c>
      <c r="K277" s="230">
        <f t="shared" si="155"/>
        <v>0</v>
      </c>
      <c r="L277" s="230">
        <f t="shared" si="156"/>
        <v>0</v>
      </c>
      <c r="M277" s="230">
        <f t="shared" si="157"/>
        <v>0</v>
      </c>
      <c r="N277" s="230">
        <f t="shared" si="158"/>
        <v>0</v>
      </c>
      <c r="O277" s="230">
        <f t="shared" si="159"/>
        <v>0</v>
      </c>
      <c r="P277" s="230">
        <f t="shared" si="160"/>
        <v>0</v>
      </c>
      <c r="Q277" s="230">
        <f t="shared" si="161"/>
        <v>0</v>
      </c>
      <c r="R277" s="230">
        <f t="shared" si="162"/>
        <v>0</v>
      </c>
      <c r="S277" s="230">
        <f t="shared" si="163"/>
        <v>0</v>
      </c>
      <c r="T277" s="230">
        <f t="shared" si="164"/>
        <v>0</v>
      </c>
      <c r="U277" s="230">
        <f t="shared" si="165"/>
        <v>0</v>
      </c>
      <c r="V277" s="230">
        <f t="shared" si="166"/>
        <v>0</v>
      </c>
      <c r="W277" s="230">
        <f t="shared" si="167"/>
        <v>0</v>
      </c>
      <c r="X277" s="230">
        <f t="shared" si="168"/>
        <v>0</v>
      </c>
      <c r="Y277" s="230">
        <f t="shared" si="169"/>
        <v>0</v>
      </c>
      <c r="Z277" s="292">
        <f t="shared" si="170"/>
        <v>0</v>
      </c>
      <c r="AA277" s="300"/>
      <c r="AB277" s="191">
        <f t="shared" si="171"/>
        <v>0</v>
      </c>
      <c r="AC277" s="139">
        <f t="shared" si="172"/>
        <v>0</v>
      </c>
      <c r="AD277" s="132">
        <f t="shared" si="173"/>
        <v>0.24566021885784156</v>
      </c>
      <c r="AE277" s="168">
        <f t="shared" si="174"/>
        <v>3.3792057858818962E-3</v>
      </c>
      <c r="AF277" s="192">
        <f t="shared" si="175"/>
        <v>0</v>
      </c>
      <c r="AG277" s="192">
        <f t="shared" si="148"/>
        <v>1.7989798826092186E-2</v>
      </c>
      <c r="AH277" s="192">
        <f t="shared" si="176"/>
        <v>0</v>
      </c>
      <c r="AI277" s="168">
        <f t="shared" si="177"/>
        <v>2.3093736034411958E-17</v>
      </c>
      <c r="AJ277" s="192">
        <f t="shared" si="178"/>
        <v>7.6135663152202655E-18</v>
      </c>
      <c r="AK277" s="132">
        <f t="shared" si="179"/>
        <v>14.352843646383111</v>
      </c>
      <c r="AL277" s="192">
        <f t="shared" si="180"/>
        <v>0.2072771815988301</v>
      </c>
      <c r="AM277" s="192">
        <f t="shared" si="149"/>
        <v>0</v>
      </c>
      <c r="AN277" s="192">
        <f t="shared" si="181"/>
        <v>0</v>
      </c>
      <c r="AO277" s="192">
        <f t="shared" si="150"/>
        <v>0</v>
      </c>
      <c r="AS277" s="132"/>
      <c r="AT277" s="132"/>
      <c r="AU277" s="200"/>
      <c r="AV277" s="132"/>
      <c r="AW277" s="132"/>
      <c r="AX277" s="132"/>
      <c r="AY277" s="132"/>
      <c r="AZ277" s="132"/>
      <c r="BA277" s="167"/>
      <c r="BB277" s="167"/>
      <c r="BD277" s="211">
        <f t="shared" si="182"/>
        <v>42682</v>
      </c>
      <c r="BE277" s="210">
        <v>1</v>
      </c>
      <c r="BF277" s="209">
        <v>0.5</v>
      </c>
      <c r="BG277" s="209">
        <v>2</v>
      </c>
      <c r="BH277" s="210"/>
      <c r="BI277" s="209"/>
      <c r="BJ277" s="209"/>
      <c r="BK277" s="168">
        <f t="shared" si="183"/>
        <v>0</v>
      </c>
      <c r="BL277" s="168">
        <f t="shared" si="184"/>
        <v>0</v>
      </c>
    </row>
    <row r="278" spans="1:64" ht="13.5" thickBot="1" x14ac:dyDescent="0.25">
      <c r="A278" s="215">
        <f t="shared" si="151"/>
        <v>42683</v>
      </c>
      <c r="B278" s="190"/>
      <c r="C278" s="168"/>
      <c r="D278" s="198"/>
      <c r="E278" s="132">
        <f t="shared" si="152"/>
        <v>131.78579408503117</v>
      </c>
      <c r="F278" s="168">
        <f t="shared" si="153"/>
        <v>131.78579408503117</v>
      </c>
      <c r="G278" s="300"/>
      <c r="H278" s="127">
        <f>VLOOKUP(MONTH(A278),ETP_Parametros!$A$6:$D$17,4,FALSE)</f>
        <v>6.0666666666666664</v>
      </c>
      <c r="I278" s="230">
        <f>VLOOKUP(A278,P_Q_obs!$A$4:$F$308,6,FALSE)*1</f>
        <v>0</v>
      </c>
      <c r="J278" s="230">
        <f t="shared" si="154"/>
        <v>0</v>
      </c>
      <c r="K278" s="230">
        <f t="shared" si="155"/>
        <v>0</v>
      </c>
      <c r="L278" s="230">
        <f t="shared" si="156"/>
        <v>0</v>
      </c>
      <c r="M278" s="230">
        <f t="shared" si="157"/>
        <v>0</v>
      </c>
      <c r="N278" s="230">
        <f t="shared" si="158"/>
        <v>0</v>
      </c>
      <c r="O278" s="230">
        <f t="shared" si="159"/>
        <v>0</v>
      </c>
      <c r="P278" s="230">
        <f t="shared" si="160"/>
        <v>0</v>
      </c>
      <c r="Q278" s="230">
        <f t="shared" si="161"/>
        <v>0</v>
      </c>
      <c r="R278" s="230">
        <f t="shared" si="162"/>
        <v>0</v>
      </c>
      <c r="S278" s="230">
        <f t="shared" si="163"/>
        <v>0</v>
      </c>
      <c r="T278" s="230">
        <f t="shared" si="164"/>
        <v>0</v>
      </c>
      <c r="U278" s="230">
        <f t="shared" si="165"/>
        <v>0</v>
      </c>
      <c r="V278" s="230">
        <f t="shared" si="166"/>
        <v>0</v>
      </c>
      <c r="W278" s="230">
        <f t="shared" si="167"/>
        <v>0</v>
      </c>
      <c r="X278" s="230">
        <f t="shared" si="168"/>
        <v>0</v>
      </c>
      <c r="Y278" s="230">
        <f t="shared" si="169"/>
        <v>0</v>
      </c>
      <c r="Z278" s="292">
        <f t="shared" si="170"/>
        <v>0</v>
      </c>
      <c r="AA278" s="300"/>
      <c r="AB278" s="191">
        <f t="shared" si="171"/>
        <v>0</v>
      </c>
      <c r="AC278" s="139">
        <f t="shared" si="172"/>
        <v>0</v>
      </c>
      <c r="AD278" s="132">
        <f t="shared" si="173"/>
        <v>0.22889792938163017</v>
      </c>
      <c r="AE278" s="168">
        <f t="shared" si="174"/>
        <v>3.1486302948805674E-3</v>
      </c>
      <c r="AF278" s="192">
        <f t="shared" si="175"/>
        <v>0</v>
      </c>
      <c r="AG278" s="192">
        <f t="shared" si="148"/>
        <v>1.6762289476211382E-2</v>
      </c>
      <c r="AH278" s="192">
        <f t="shared" si="176"/>
        <v>0</v>
      </c>
      <c r="AI278" s="168">
        <f t="shared" si="177"/>
        <v>1.7367876798643136E-17</v>
      </c>
      <c r="AJ278" s="192">
        <f t="shared" si="178"/>
        <v>5.7258592357688221E-18</v>
      </c>
      <c r="AK278" s="132">
        <f t="shared" si="179"/>
        <v>14.148517252797591</v>
      </c>
      <c r="AL278" s="192">
        <f t="shared" si="180"/>
        <v>0.2043263935855201</v>
      </c>
      <c r="AM278" s="192">
        <f t="shared" si="149"/>
        <v>0</v>
      </c>
      <c r="AN278" s="192">
        <f t="shared" si="181"/>
        <v>0</v>
      </c>
      <c r="AO278" s="192">
        <f t="shared" si="150"/>
        <v>0</v>
      </c>
      <c r="AS278" s="132"/>
      <c r="AT278" s="132"/>
      <c r="AU278" s="200"/>
      <c r="AV278" s="132"/>
      <c r="AW278" s="132"/>
      <c r="AX278" s="132"/>
      <c r="AY278" s="132"/>
      <c r="AZ278" s="132"/>
      <c r="BA278" s="167"/>
      <c r="BB278" s="167"/>
      <c r="BD278" s="211">
        <f t="shared" si="182"/>
        <v>42683</v>
      </c>
      <c r="BE278" s="210">
        <v>1</v>
      </c>
      <c r="BF278" s="209">
        <v>0.5</v>
      </c>
      <c r="BG278" s="209">
        <v>2</v>
      </c>
      <c r="BH278" s="210"/>
      <c r="BI278" s="209"/>
      <c r="BJ278" s="209"/>
      <c r="BK278" s="168">
        <f t="shared" si="183"/>
        <v>0</v>
      </c>
      <c r="BL278" s="168">
        <f t="shared" si="184"/>
        <v>0</v>
      </c>
    </row>
    <row r="279" spans="1:64" ht="13.5" thickBot="1" x14ac:dyDescent="0.25">
      <c r="A279" s="215">
        <f t="shared" si="151"/>
        <v>42684</v>
      </c>
      <c r="B279" s="190"/>
      <c r="C279" s="168"/>
      <c r="D279" s="198"/>
      <c r="E279" s="132">
        <f t="shared" si="152"/>
        <v>129.90969784273815</v>
      </c>
      <c r="F279" s="168">
        <f t="shared" si="153"/>
        <v>129.90969784273815</v>
      </c>
      <c r="G279" s="300"/>
      <c r="H279" s="127">
        <f>VLOOKUP(MONTH(A279),ETP_Parametros!$A$6:$D$17,4,FALSE)</f>
        <v>6.0666666666666664</v>
      </c>
      <c r="I279" s="230">
        <f>VLOOKUP(A279,P_Q_obs!$A$4:$F$308,6,FALSE)*1</f>
        <v>0</v>
      </c>
      <c r="J279" s="230">
        <f t="shared" si="154"/>
        <v>0</v>
      </c>
      <c r="K279" s="230">
        <f t="shared" si="155"/>
        <v>0</v>
      </c>
      <c r="L279" s="230">
        <f t="shared" si="156"/>
        <v>0</v>
      </c>
      <c r="M279" s="230">
        <f t="shared" si="157"/>
        <v>0</v>
      </c>
      <c r="N279" s="230">
        <f t="shared" si="158"/>
        <v>0</v>
      </c>
      <c r="O279" s="230">
        <f t="shared" si="159"/>
        <v>0</v>
      </c>
      <c r="P279" s="230">
        <f t="shared" si="160"/>
        <v>0</v>
      </c>
      <c r="Q279" s="230">
        <f t="shared" si="161"/>
        <v>0</v>
      </c>
      <c r="R279" s="230">
        <f t="shared" si="162"/>
        <v>0</v>
      </c>
      <c r="S279" s="230">
        <f t="shared" si="163"/>
        <v>0</v>
      </c>
      <c r="T279" s="230">
        <f t="shared" si="164"/>
        <v>0</v>
      </c>
      <c r="U279" s="230">
        <f t="shared" si="165"/>
        <v>0</v>
      </c>
      <c r="V279" s="230">
        <f t="shared" si="166"/>
        <v>0</v>
      </c>
      <c r="W279" s="230">
        <f t="shared" si="167"/>
        <v>0</v>
      </c>
      <c r="X279" s="230">
        <f t="shared" si="168"/>
        <v>0</v>
      </c>
      <c r="Y279" s="230">
        <f t="shared" si="169"/>
        <v>0</v>
      </c>
      <c r="Z279" s="292">
        <f t="shared" si="170"/>
        <v>0</v>
      </c>
      <c r="AA279" s="300"/>
      <c r="AB279" s="191">
        <f t="shared" si="171"/>
        <v>0</v>
      </c>
      <c r="AC279" s="139">
        <f t="shared" si="172"/>
        <v>0</v>
      </c>
      <c r="AD279" s="132">
        <f t="shared" si="173"/>
        <v>0.21327939183151676</v>
      </c>
      <c r="AE279" s="168">
        <f t="shared" si="174"/>
        <v>2.9337878075550205E-3</v>
      </c>
      <c r="AF279" s="192">
        <f t="shared" si="175"/>
        <v>0</v>
      </c>
      <c r="AG279" s="192">
        <f t="shared" si="148"/>
        <v>1.5618537550113405E-2</v>
      </c>
      <c r="AH279" s="192">
        <f t="shared" si="176"/>
        <v>0</v>
      </c>
      <c r="AI279" s="168">
        <f t="shared" si="177"/>
        <v>1.3061686686093939E-17</v>
      </c>
      <c r="AJ279" s="192">
        <f t="shared" si="178"/>
        <v>4.3061901125491956E-18</v>
      </c>
      <c r="AK279" s="132">
        <f t="shared" si="179"/>
        <v>13.947099639948785</v>
      </c>
      <c r="AL279" s="192">
        <f t="shared" si="180"/>
        <v>0.20141761284880627</v>
      </c>
      <c r="AM279" s="192">
        <f t="shared" si="149"/>
        <v>0</v>
      </c>
      <c r="AN279" s="192">
        <f t="shared" si="181"/>
        <v>0</v>
      </c>
      <c r="AO279" s="192">
        <f t="shared" si="150"/>
        <v>0</v>
      </c>
      <c r="AS279" s="132"/>
      <c r="AT279" s="132"/>
      <c r="AU279" s="200"/>
      <c r="AV279" s="132"/>
      <c r="AW279" s="132"/>
      <c r="AX279" s="132"/>
      <c r="AY279" s="132"/>
      <c r="AZ279" s="132"/>
      <c r="BA279" s="167"/>
      <c r="BB279" s="167"/>
      <c r="BD279" s="211">
        <f t="shared" si="182"/>
        <v>42684</v>
      </c>
      <c r="BE279" s="210">
        <v>1</v>
      </c>
      <c r="BF279" s="209">
        <v>0.5</v>
      </c>
      <c r="BG279" s="209">
        <v>2</v>
      </c>
      <c r="BH279" s="210"/>
      <c r="BI279" s="209"/>
      <c r="BJ279" s="209"/>
      <c r="BK279" s="168">
        <f t="shared" si="183"/>
        <v>0</v>
      </c>
      <c r="BL279" s="168">
        <f t="shared" si="184"/>
        <v>0</v>
      </c>
    </row>
    <row r="280" spans="1:64" ht="13.5" thickBot="1" x14ac:dyDescent="0.25">
      <c r="A280" s="215">
        <f t="shared" si="151"/>
        <v>42685</v>
      </c>
      <c r="B280" s="190"/>
      <c r="C280" s="168"/>
      <c r="D280" s="198"/>
      <c r="E280" s="132">
        <f t="shared" si="152"/>
        <v>128.06030961654645</v>
      </c>
      <c r="F280" s="168">
        <f t="shared" si="153"/>
        <v>128.06030961654645</v>
      </c>
      <c r="G280" s="300"/>
      <c r="H280" s="127">
        <f>VLOOKUP(MONTH(A280),ETP_Parametros!$A$6:$D$17,4,FALSE)</f>
        <v>6.0666666666666664</v>
      </c>
      <c r="I280" s="230">
        <f>VLOOKUP(A280,P_Q_obs!$A$4:$F$308,6,FALSE)*1</f>
        <v>0</v>
      </c>
      <c r="J280" s="230">
        <f t="shared" si="154"/>
        <v>0</v>
      </c>
      <c r="K280" s="230">
        <f t="shared" si="155"/>
        <v>0</v>
      </c>
      <c r="L280" s="230">
        <f t="shared" si="156"/>
        <v>0</v>
      </c>
      <c r="M280" s="230">
        <f t="shared" si="157"/>
        <v>0</v>
      </c>
      <c r="N280" s="230">
        <f t="shared" si="158"/>
        <v>0</v>
      </c>
      <c r="O280" s="230">
        <f t="shared" si="159"/>
        <v>0</v>
      </c>
      <c r="P280" s="230">
        <f t="shared" si="160"/>
        <v>0</v>
      </c>
      <c r="Q280" s="230">
        <f t="shared" si="161"/>
        <v>0</v>
      </c>
      <c r="R280" s="230">
        <f t="shared" si="162"/>
        <v>0</v>
      </c>
      <c r="S280" s="230">
        <f t="shared" si="163"/>
        <v>0</v>
      </c>
      <c r="T280" s="230">
        <f t="shared" si="164"/>
        <v>0</v>
      </c>
      <c r="U280" s="230">
        <f t="shared" si="165"/>
        <v>0</v>
      </c>
      <c r="V280" s="230">
        <f t="shared" si="166"/>
        <v>0</v>
      </c>
      <c r="W280" s="230">
        <f t="shared" si="167"/>
        <v>0</v>
      </c>
      <c r="X280" s="230">
        <f t="shared" si="168"/>
        <v>0</v>
      </c>
      <c r="Y280" s="230">
        <f t="shared" si="169"/>
        <v>0</v>
      </c>
      <c r="Z280" s="292">
        <f t="shared" si="170"/>
        <v>0</v>
      </c>
      <c r="AA280" s="300"/>
      <c r="AB280" s="191">
        <f t="shared" si="171"/>
        <v>0</v>
      </c>
      <c r="AC280" s="139">
        <f t="shared" si="172"/>
        <v>0</v>
      </c>
      <c r="AD280" s="132">
        <f t="shared" si="173"/>
        <v>0.19872656385712256</v>
      </c>
      <c r="AE280" s="168">
        <f t="shared" si="174"/>
        <v>2.7336048038898051E-3</v>
      </c>
      <c r="AF280" s="192">
        <f t="shared" si="175"/>
        <v>0</v>
      </c>
      <c r="AG280" s="192">
        <f t="shared" si="148"/>
        <v>1.4552827974394193E-2</v>
      </c>
      <c r="AH280" s="192">
        <f t="shared" si="176"/>
        <v>0</v>
      </c>
      <c r="AI280" s="168">
        <f t="shared" si="177"/>
        <v>9.8231730374211543E-18</v>
      </c>
      <c r="AJ280" s="192">
        <f t="shared" si="178"/>
        <v>3.238513648672785E-18</v>
      </c>
      <c r="AK280" s="132">
        <f t="shared" si="179"/>
        <v>13.748549398573671</v>
      </c>
      <c r="AL280" s="192">
        <f t="shared" si="180"/>
        <v>0.19855024137511421</v>
      </c>
      <c r="AM280" s="192">
        <f t="shared" si="149"/>
        <v>0</v>
      </c>
      <c r="AN280" s="192">
        <f t="shared" si="181"/>
        <v>0</v>
      </c>
      <c r="AO280" s="192">
        <f t="shared" si="150"/>
        <v>0</v>
      </c>
      <c r="AS280" s="132"/>
      <c r="AT280" s="132"/>
      <c r="AU280" s="200"/>
      <c r="AV280" s="132"/>
      <c r="AW280" s="132"/>
      <c r="AX280" s="132"/>
      <c r="AY280" s="132"/>
      <c r="AZ280" s="132"/>
      <c r="BA280" s="167"/>
      <c r="BB280" s="167"/>
      <c r="BD280" s="211">
        <f t="shared" si="182"/>
        <v>42685</v>
      </c>
      <c r="BE280" s="210">
        <v>1</v>
      </c>
      <c r="BF280" s="209">
        <v>0.5</v>
      </c>
      <c r="BG280" s="209">
        <v>2</v>
      </c>
      <c r="BH280" s="210"/>
      <c r="BI280" s="209"/>
      <c r="BJ280" s="209"/>
      <c r="BK280" s="168">
        <f t="shared" si="183"/>
        <v>0</v>
      </c>
      <c r="BL280" s="168">
        <f t="shared" si="184"/>
        <v>0</v>
      </c>
    </row>
    <row r="281" spans="1:64" ht="13.5" thickBot="1" x14ac:dyDescent="0.25">
      <c r="A281" s="215">
        <f t="shared" si="151"/>
        <v>42686</v>
      </c>
      <c r="B281" s="190"/>
      <c r="C281" s="168"/>
      <c r="D281" s="198"/>
      <c r="E281" s="132">
        <f t="shared" si="152"/>
        <v>126.23724919242012</v>
      </c>
      <c r="F281" s="168">
        <f t="shared" si="153"/>
        <v>126.23724919242012</v>
      </c>
      <c r="G281" s="300"/>
      <c r="H281" s="127">
        <f>VLOOKUP(MONTH(A281),ETP_Parametros!$A$6:$D$17,4,FALSE)</f>
        <v>6.0666666666666664</v>
      </c>
      <c r="I281" s="230">
        <f>VLOOKUP(A281,P_Q_obs!$A$4:$F$308,6,FALSE)*1</f>
        <v>0</v>
      </c>
      <c r="J281" s="230">
        <f t="shared" si="154"/>
        <v>0</v>
      </c>
      <c r="K281" s="230">
        <f t="shared" si="155"/>
        <v>0</v>
      </c>
      <c r="L281" s="230">
        <f t="shared" si="156"/>
        <v>0</v>
      </c>
      <c r="M281" s="230">
        <f t="shared" si="157"/>
        <v>0</v>
      </c>
      <c r="N281" s="230">
        <f t="shared" si="158"/>
        <v>0</v>
      </c>
      <c r="O281" s="230">
        <f t="shared" si="159"/>
        <v>0</v>
      </c>
      <c r="P281" s="230">
        <f t="shared" si="160"/>
        <v>0</v>
      </c>
      <c r="Q281" s="230">
        <f t="shared" si="161"/>
        <v>0</v>
      </c>
      <c r="R281" s="230">
        <f t="shared" si="162"/>
        <v>0</v>
      </c>
      <c r="S281" s="230">
        <f t="shared" si="163"/>
        <v>0</v>
      </c>
      <c r="T281" s="230">
        <f t="shared" si="164"/>
        <v>0</v>
      </c>
      <c r="U281" s="230">
        <f t="shared" si="165"/>
        <v>0</v>
      </c>
      <c r="V281" s="230">
        <f t="shared" si="166"/>
        <v>0</v>
      </c>
      <c r="W281" s="230">
        <f t="shared" si="167"/>
        <v>0</v>
      </c>
      <c r="X281" s="230">
        <f t="shared" si="168"/>
        <v>0</v>
      </c>
      <c r="Y281" s="230">
        <f t="shared" si="169"/>
        <v>0</v>
      </c>
      <c r="Z281" s="292">
        <f t="shared" si="170"/>
        <v>0</v>
      </c>
      <c r="AA281" s="300"/>
      <c r="AB281" s="191">
        <f t="shared" si="171"/>
        <v>0</v>
      </c>
      <c r="AC281" s="139">
        <f t="shared" si="172"/>
        <v>0</v>
      </c>
      <c r="AD281" s="132">
        <f t="shared" si="173"/>
        <v>0.18516672822124561</v>
      </c>
      <c r="AE281" s="168">
        <f t="shared" si="174"/>
        <v>2.5470810140413606E-3</v>
      </c>
      <c r="AF281" s="192">
        <f t="shared" si="175"/>
        <v>0</v>
      </c>
      <c r="AG281" s="192">
        <f t="shared" ref="AG281:AG325" si="185">IF((AC281-AF281)&gt;H281,H281*$O$11,(AC281-AF281+(H281*$O$11-(AC281-AF281))*AE281))</f>
        <v>1.3559835635876965E-2</v>
      </c>
      <c r="AH281" s="192">
        <f t="shared" si="176"/>
        <v>0</v>
      </c>
      <c r="AI281" s="168">
        <f t="shared" si="177"/>
        <v>7.3876162276844832E-18</v>
      </c>
      <c r="AJ281" s="192">
        <f t="shared" si="178"/>
        <v>2.4355568097366711E-18</v>
      </c>
      <c r="AK281" s="132">
        <f t="shared" si="179"/>
        <v>13.552825708909509</v>
      </c>
      <c r="AL281" s="192">
        <f t="shared" si="180"/>
        <v>0.19572368966416215</v>
      </c>
      <c r="AM281" s="192">
        <f t="shared" ref="AM281:AM325" si="186">IF(AI280&lt;=$O$12,0,(AI280-$O$12)*(1-0.5^(1/$O$13)))</f>
        <v>0</v>
      </c>
      <c r="AN281" s="192">
        <f t="shared" si="181"/>
        <v>0</v>
      </c>
      <c r="AO281" s="192">
        <f t="shared" ref="AO281:AO325" si="187">AN280*(1-0.5^(1/$O$14))</f>
        <v>0</v>
      </c>
      <c r="AS281" s="132"/>
      <c r="AT281" s="132"/>
      <c r="AU281" s="200"/>
      <c r="AV281" s="132"/>
      <c r="AW281" s="132"/>
      <c r="AX281" s="132"/>
      <c r="AY281" s="132"/>
      <c r="AZ281" s="132"/>
      <c r="BA281" s="167"/>
      <c r="BB281" s="167"/>
      <c r="BD281" s="211">
        <f t="shared" si="182"/>
        <v>42686</v>
      </c>
      <c r="BE281" s="210">
        <v>1</v>
      </c>
      <c r="BF281" s="209">
        <v>0.5</v>
      </c>
      <c r="BG281" s="209">
        <v>2</v>
      </c>
      <c r="BH281" s="210"/>
      <c r="BI281" s="209"/>
      <c r="BJ281" s="209"/>
      <c r="BK281" s="168">
        <f t="shared" si="183"/>
        <v>0</v>
      </c>
      <c r="BL281" s="168">
        <f t="shared" si="184"/>
        <v>0</v>
      </c>
    </row>
    <row r="282" spans="1:64" ht="13.5" thickBot="1" x14ac:dyDescent="0.25">
      <c r="A282" s="215">
        <f t="shared" si="151"/>
        <v>42687</v>
      </c>
      <c r="B282" s="190"/>
      <c r="C282" s="168"/>
      <c r="D282" s="198"/>
      <c r="E282" s="132">
        <f t="shared" si="152"/>
        <v>124.44014176903204</v>
      </c>
      <c r="F282" s="168">
        <f t="shared" si="153"/>
        <v>124.44014176903204</v>
      </c>
      <c r="G282" s="300"/>
      <c r="H282" s="127">
        <f>VLOOKUP(MONTH(A282),ETP_Parametros!$A$6:$D$17,4,FALSE)</f>
        <v>6.0666666666666664</v>
      </c>
      <c r="I282" s="230">
        <f>VLOOKUP(A282,P_Q_obs!$A$4:$F$308,6,FALSE)*1</f>
        <v>0</v>
      </c>
      <c r="J282" s="230">
        <f t="shared" si="154"/>
        <v>0</v>
      </c>
      <c r="K282" s="230">
        <f t="shared" si="155"/>
        <v>0</v>
      </c>
      <c r="L282" s="230">
        <f t="shared" si="156"/>
        <v>0</v>
      </c>
      <c r="M282" s="230">
        <f t="shared" si="157"/>
        <v>0</v>
      </c>
      <c r="N282" s="230">
        <f t="shared" si="158"/>
        <v>0</v>
      </c>
      <c r="O282" s="230">
        <f t="shared" si="159"/>
        <v>0</v>
      </c>
      <c r="P282" s="230">
        <f t="shared" si="160"/>
        <v>0</v>
      </c>
      <c r="Q282" s="230">
        <f t="shared" si="161"/>
        <v>0</v>
      </c>
      <c r="R282" s="230">
        <f t="shared" si="162"/>
        <v>0</v>
      </c>
      <c r="S282" s="230">
        <f t="shared" si="163"/>
        <v>0</v>
      </c>
      <c r="T282" s="230">
        <f t="shared" si="164"/>
        <v>0</v>
      </c>
      <c r="U282" s="230">
        <f t="shared" si="165"/>
        <v>0</v>
      </c>
      <c r="V282" s="230">
        <f t="shared" si="166"/>
        <v>0</v>
      </c>
      <c r="W282" s="230">
        <f t="shared" si="167"/>
        <v>0</v>
      </c>
      <c r="X282" s="230">
        <f t="shared" si="168"/>
        <v>0</v>
      </c>
      <c r="Y282" s="230">
        <f t="shared" si="169"/>
        <v>0</v>
      </c>
      <c r="Z282" s="292">
        <f t="shared" si="170"/>
        <v>0</v>
      </c>
      <c r="AA282" s="300"/>
      <c r="AB282" s="191">
        <f t="shared" si="171"/>
        <v>0</v>
      </c>
      <c r="AC282" s="139">
        <f t="shared" si="172"/>
        <v>0</v>
      </c>
      <c r="AD282" s="132">
        <f t="shared" si="173"/>
        <v>0.17253212944803686</v>
      </c>
      <c r="AE282" s="168">
        <f t="shared" si="174"/>
        <v>2.3732844202125898E-3</v>
      </c>
      <c r="AF282" s="192">
        <f t="shared" si="175"/>
        <v>0</v>
      </c>
      <c r="AG282" s="192">
        <f t="shared" si="185"/>
        <v>1.2634598773208751E-2</v>
      </c>
      <c r="AH282" s="192">
        <f t="shared" si="176"/>
        <v>0</v>
      </c>
      <c r="AI282" s="168">
        <f t="shared" si="177"/>
        <v>5.5559311965327046E-18</v>
      </c>
      <c r="AJ282" s="192">
        <f t="shared" si="178"/>
        <v>1.8316850311517786E-18</v>
      </c>
      <c r="AK282" s="132">
        <f t="shared" si="179"/>
        <v>13.359888332301743</v>
      </c>
      <c r="AL282" s="192">
        <f t="shared" si="180"/>
        <v>0.192937376607766</v>
      </c>
      <c r="AM282" s="192">
        <f t="shared" si="186"/>
        <v>0</v>
      </c>
      <c r="AN282" s="192">
        <f t="shared" si="181"/>
        <v>0</v>
      </c>
      <c r="AO282" s="192">
        <f t="shared" si="187"/>
        <v>0</v>
      </c>
      <c r="AS282" s="132"/>
      <c r="AT282" s="132"/>
      <c r="AU282" s="200"/>
      <c r="AV282" s="132"/>
      <c r="AW282" s="132"/>
      <c r="AX282" s="132"/>
      <c r="AY282" s="132"/>
      <c r="AZ282" s="132"/>
      <c r="BA282" s="167"/>
      <c r="BB282" s="167"/>
      <c r="BD282" s="211">
        <f t="shared" si="182"/>
        <v>42687</v>
      </c>
      <c r="BE282" s="210">
        <v>1</v>
      </c>
      <c r="BF282" s="209">
        <v>0.5</v>
      </c>
      <c r="BG282" s="209">
        <v>2</v>
      </c>
      <c r="BH282" s="210"/>
      <c r="BI282" s="209"/>
      <c r="BJ282" s="209"/>
      <c r="BK282" s="168">
        <f t="shared" si="183"/>
        <v>0</v>
      </c>
      <c r="BL282" s="168">
        <f t="shared" si="184"/>
        <v>0</v>
      </c>
    </row>
    <row r="283" spans="1:64" ht="13.5" thickBot="1" x14ac:dyDescent="0.25">
      <c r="A283" s="215">
        <f t="shared" si="151"/>
        <v>42688</v>
      </c>
      <c r="B283" s="190"/>
      <c r="C283" s="168"/>
      <c r="D283" s="198"/>
      <c r="E283" s="132">
        <f t="shared" si="152"/>
        <v>122.66861788070874</v>
      </c>
      <c r="F283" s="168">
        <f t="shared" si="153"/>
        <v>122.66861788070874</v>
      </c>
      <c r="G283" s="300"/>
      <c r="H283" s="127">
        <f>VLOOKUP(MONTH(A283),ETP_Parametros!$A$6:$D$17,4,FALSE)</f>
        <v>6.0666666666666664</v>
      </c>
      <c r="I283" s="230">
        <f>VLOOKUP(A283,P_Q_obs!$A$4:$F$308,6,FALSE)*1</f>
        <v>0</v>
      </c>
      <c r="J283" s="230">
        <f t="shared" si="154"/>
        <v>0</v>
      </c>
      <c r="K283" s="230">
        <f t="shared" si="155"/>
        <v>0</v>
      </c>
      <c r="L283" s="230">
        <f t="shared" si="156"/>
        <v>0</v>
      </c>
      <c r="M283" s="230">
        <f t="shared" si="157"/>
        <v>0</v>
      </c>
      <c r="N283" s="230">
        <f t="shared" si="158"/>
        <v>0</v>
      </c>
      <c r="O283" s="230">
        <f t="shared" si="159"/>
        <v>0</v>
      </c>
      <c r="P283" s="230">
        <f t="shared" si="160"/>
        <v>0</v>
      </c>
      <c r="Q283" s="230">
        <f t="shared" si="161"/>
        <v>0</v>
      </c>
      <c r="R283" s="230">
        <f t="shared" si="162"/>
        <v>0</v>
      </c>
      <c r="S283" s="230">
        <f t="shared" si="163"/>
        <v>0</v>
      </c>
      <c r="T283" s="230">
        <f t="shared" si="164"/>
        <v>0</v>
      </c>
      <c r="U283" s="230">
        <f t="shared" si="165"/>
        <v>0</v>
      </c>
      <c r="V283" s="230">
        <f t="shared" si="166"/>
        <v>0</v>
      </c>
      <c r="W283" s="230">
        <f t="shared" si="167"/>
        <v>0</v>
      </c>
      <c r="X283" s="230">
        <f t="shared" si="168"/>
        <v>0</v>
      </c>
      <c r="Y283" s="230">
        <f t="shared" si="169"/>
        <v>0</v>
      </c>
      <c r="Z283" s="292">
        <f t="shared" si="170"/>
        <v>0</v>
      </c>
      <c r="AA283" s="300"/>
      <c r="AB283" s="191">
        <f t="shared" si="171"/>
        <v>0</v>
      </c>
      <c r="AC283" s="139">
        <f t="shared" si="172"/>
        <v>0</v>
      </c>
      <c r="AD283" s="132">
        <f t="shared" si="173"/>
        <v>0.16075963526399184</v>
      </c>
      <c r="AE283" s="168">
        <f t="shared" si="174"/>
        <v>2.2113465995676983E-3</v>
      </c>
      <c r="AF283" s="192">
        <f t="shared" si="175"/>
        <v>0</v>
      </c>
      <c r="AG283" s="192">
        <f t="shared" si="185"/>
        <v>1.1772494184045025E-2</v>
      </c>
      <c r="AH283" s="192">
        <f t="shared" si="176"/>
        <v>0</v>
      </c>
      <c r="AI283" s="168">
        <f t="shared" si="177"/>
        <v>4.17839401902452E-18</v>
      </c>
      <c r="AJ283" s="192">
        <f t="shared" si="178"/>
        <v>1.3775371775081848E-18</v>
      </c>
      <c r="AK283" s="132">
        <f t="shared" si="179"/>
        <v>13.169697602931373</v>
      </c>
      <c r="AL283" s="192">
        <f t="shared" si="180"/>
        <v>0.19019072937036993</v>
      </c>
      <c r="AM283" s="192">
        <f t="shared" si="186"/>
        <v>0</v>
      </c>
      <c r="AN283" s="192">
        <f t="shared" si="181"/>
        <v>0</v>
      </c>
      <c r="AO283" s="192">
        <f t="shared" si="187"/>
        <v>0</v>
      </c>
      <c r="AS283" s="132"/>
      <c r="AT283" s="132"/>
      <c r="AU283" s="200"/>
      <c r="AV283" s="132"/>
      <c r="AW283" s="132"/>
      <c r="AX283" s="132"/>
      <c r="AY283" s="132"/>
      <c r="AZ283" s="132"/>
      <c r="BA283" s="167"/>
      <c r="BB283" s="167"/>
      <c r="BD283" s="211">
        <f t="shared" si="182"/>
        <v>42688</v>
      </c>
      <c r="BE283" s="210">
        <v>1</v>
      </c>
      <c r="BF283" s="209">
        <v>0.5</v>
      </c>
      <c r="BG283" s="209">
        <v>2</v>
      </c>
      <c r="BH283" s="210"/>
      <c r="BI283" s="209"/>
      <c r="BJ283" s="209"/>
      <c r="BK283" s="168">
        <f t="shared" si="183"/>
        <v>0</v>
      </c>
      <c r="BL283" s="168">
        <f t="shared" si="184"/>
        <v>0</v>
      </c>
    </row>
    <row r="284" spans="1:64" ht="13.5" thickBot="1" x14ac:dyDescent="0.25">
      <c r="A284" s="215">
        <f t="shared" si="151"/>
        <v>42689</v>
      </c>
      <c r="B284" s="190"/>
      <c r="C284" s="168"/>
      <c r="D284" s="198"/>
      <c r="E284" s="132">
        <f t="shared" si="152"/>
        <v>120.92231332147236</v>
      </c>
      <c r="F284" s="168">
        <f t="shared" si="153"/>
        <v>120.92231332147236</v>
      </c>
      <c r="G284" s="300"/>
      <c r="H284" s="127">
        <f>VLOOKUP(MONTH(A284),ETP_Parametros!$A$6:$D$17,4,FALSE)</f>
        <v>6.0666666666666664</v>
      </c>
      <c r="I284" s="230">
        <f>VLOOKUP(A284,P_Q_obs!$A$4:$F$308,6,FALSE)*1</f>
        <v>0</v>
      </c>
      <c r="J284" s="230">
        <f t="shared" si="154"/>
        <v>0</v>
      </c>
      <c r="K284" s="230">
        <f t="shared" si="155"/>
        <v>0</v>
      </c>
      <c r="L284" s="230">
        <f t="shared" si="156"/>
        <v>0</v>
      </c>
      <c r="M284" s="230">
        <f t="shared" si="157"/>
        <v>0</v>
      </c>
      <c r="N284" s="230">
        <f t="shared" si="158"/>
        <v>0</v>
      </c>
      <c r="O284" s="230">
        <f t="shared" si="159"/>
        <v>0</v>
      </c>
      <c r="P284" s="230">
        <f t="shared" si="160"/>
        <v>0</v>
      </c>
      <c r="Q284" s="230">
        <f t="shared" si="161"/>
        <v>0</v>
      </c>
      <c r="R284" s="230">
        <f t="shared" si="162"/>
        <v>0</v>
      </c>
      <c r="S284" s="230">
        <f t="shared" si="163"/>
        <v>0</v>
      </c>
      <c r="T284" s="230">
        <f t="shared" si="164"/>
        <v>0</v>
      </c>
      <c r="U284" s="230">
        <f t="shared" si="165"/>
        <v>0</v>
      </c>
      <c r="V284" s="230">
        <f t="shared" si="166"/>
        <v>0</v>
      </c>
      <c r="W284" s="230">
        <f t="shared" si="167"/>
        <v>0</v>
      </c>
      <c r="X284" s="230">
        <f t="shared" si="168"/>
        <v>0</v>
      </c>
      <c r="Y284" s="230">
        <f t="shared" si="169"/>
        <v>0</v>
      </c>
      <c r="Z284" s="292">
        <f t="shared" si="170"/>
        <v>0</v>
      </c>
      <c r="AA284" s="300"/>
      <c r="AB284" s="191">
        <f t="shared" si="171"/>
        <v>0</v>
      </c>
      <c r="AC284" s="139">
        <f t="shared" si="172"/>
        <v>0</v>
      </c>
      <c r="AD284" s="132">
        <f t="shared" si="173"/>
        <v>0.14979042114005361</v>
      </c>
      <c r="AE284" s="168">
        <f t="shared" si="174"/>
        <v>2.0604583849168781E-3</v>
      </c>
      <c r="AF284" s="192">
        <f t="shared" si="175"/>
        <v>0</v>
      </c>
      <c r="AG284" s="192">
        <f t="shared" si="185"/>
        <v>1.0969214123938222E-2</v>
      </c>
      <c r="AH284" s="192">
        <f t="shared" si="176"/>
        <v>0</v>
      </c>
      <c r="AI284" s="168">
        <f t="shared" si="177"/>
        <v>3.1424033092986321E-18</v>
      </c>
      <c r="AJ284" s="192">
        <f t="shared" si="178"/>
        <v>1.0359907097258879E-18</v>
      </c>
      <c r="AK284" s="132">
        <f t="shared" si="179"/>
        <v>12.982214419660096</v>
      </c>
      <c r="AL284" s="192">
        <f t="shared" si="180"/>
        <v>0.18748318327127755</v>
      </c>
      <c r="AM284" s="192">
        <f t="shared" si="186"/>
        <v>0</v>
      </c>
      <c r="AN284" s="192">
        <f t="shared" si="181"/>
        <v>0</v>
      </c>
      <c r="AO284" s="192">
        <f t="shared" si="187"/>
        <v>0</v>
      </c>
      <c r="AS284" s="132"/>
      <c r="AT284" s="132"/>
      <c r="AU284" s="200"/>
      <c r="AV284" s="132"/>
      <c r="AW284" s="132"/>
      <c r="AX284" s="132"/>
      <c r="AY284" s="132"/>
      <c r="AZ284" s="132"/>
      <c r="BA284" s="167"/>
      <c r="BB284" s="167"/>
      <c r="BD284" s="211">
        <f t="shared" si="182"/>
        <v>42689</v>
      </c>
      <c r="BE284" s="210">
        <v>1</v>
      </c>
      <c r="BF284" s="209">
        <v>0.5</v>
      </c>
      <c r="BG284" s="209">
        <v>2</v>
      </c>
      <c r="BH284" s="210"/>
      <c r="BI284" s="209"/>
      <c r="BJ284" s="209"/>
      <c r="BK284" s="168">
        <f t="shared" si="183"/>
        <v>0</v>
      </c>
      <c r="BL284" s="168">
        <f t="shared" si="184"/>
        <v>0</v>
      </c>
    </row>
    <row r="285" spans="1:64" ht="13.5" thickBot="1" x14ac:dyDescent="0.25">
      <c r="A285" s="215">
        <f t="shared" si="151"/>
        <v>42690</v>
      </c>
      <c r="B285" s="190"/>
      <c r="C285" s="168"/>
      <c r="D285" s="198"/>
      <c r="E285" s="132">
        <f t="shared" si="152"/>
        <v>119.20086907016395</v>
      </c>
      <c r="F285" s="168">
        <f t="shared" si="153"/>
        <v>119.20086907016395</v>
      </c>
      <c r="G285" s="300"/>
      <c r="H285" s="127">
        <f>VLOOKUP(MONTH(A285),ETP_Parametros!$A$6:$D$17,4,FALSE)</f>
        <v>6.0666666666666664</v>
      </c>
      <c r="I285" s="230">
        <f>VLOOKUP(A285,P_Q_obs!$A$4:$F$308,6,FALSE)*1</f>
        <v>0</v>
      </c>
      <c r="J285" s="230">
        <f t="shared" si="154"/>
        <v>0</v>
      </c>
      <c r="K285" s="230">
        <f t="shared" si="155"/>
        <v>0</v>
      </c>
      <c r="L285" s="230">
        <f t="shared" si="156"/>
        <v>0</v>
      </c>
      <c r="M285" s="230">
        <f t="shared" si="157"/>
        <v>0</v>
      </c>
      <c r="N285" s="230">
        <f t="shared" si="158"/>
        <v>0</v>
      </c>
      <c r="O285" s="230">
        <f t="shared" si="159"/>
        <v>0</v>
      </c>
      <c r="P285" s="230">
        <f t="shared" si="160"/>
        <v>0</v>
      </c>
      <c r="Q285" s="230">
        <f t="shared" si="161"/>
        <v>0</v>
      </c>
      <c r="R285" s="230">
        <f t="shared" si="162"/>
        <v>0</v>
      </c>
      <c r="S285" s="230">
        <f t="shared" si="163"/>
        <v>0</v>
      </c>
      <c r="T285" s="230">
        <f t="shared" si="164"/>
        <v>0</v>
      </c>
      <c r="U285" s="230">
        <f t="shared" si="165"/>
        <v>0</v>
      </c>
      <c r="V285" s="230">
        <f t="shared" si="166"/>
        <v>0</v>
      </c>
      <c r="W285" s="230">
        <f t="shared" si="167"/>
        <v>0</v>
      </c>
      <c r="X285" s="230">
        <f t="shared" si="168"/>
        <v>0</v>
      </c>
      <c r="Y285" s="230">
        <f t="shared" si="169"/>
        <v>0</v>
      </c>
      <c r="Z285" s="292">
        <f t="shared" si="170"/>
        <v>0</v>
      </c>
      <c r="AA285" s="300"/>
      <c r="AB285" s="191">
        <f t="shared" si="171"/>
        <v>0</v>
      </c>
      <c r="AC285" s="139">
        <f t="shared" si="172"/>
        <v>0</v>
      </c>
      <c r="AD285" s="132">
        <f t="shared" si="173"/>
        <v>0.13956967635855461</v>
      </c>
      <c r="AE285" s="168">
        <f t="shared" si="174"/>
        <v>1.9198658214882422E-3</v>
      </c>
      <c r="AF285" s="192">
        <f t="shared" si="175"/>
        <v>0</v>
      </c>
      <c r="AG285" s="192">
        <f t="shared" si="185"/>
        <v>1.022074478149902E-2</v>
      </c>
      <c r="AH285" s="192">
        <f t="shared" si="176"/>
        <v>0</v>
      </c>
      <c r="AI285" s="168">
        <f t="shared" si="177"/>
        <v>2.3632760609293435E-18</v>
      </c>
      <c r="AJ285" s="192">
        <f t="shared" si="178"/>
        <v>7.7912724836928887E-19</v>
      </c>
      <c r="AK285" s="132">
        <f t="shared" si="179"/>
        <v>12.797400237991535</v>
      </c>
      <c r="AL285" s="192">
        <f t="shared" si="180"/>
        <v>0.18481418166855984</v>
      </c>
      <c r="AM285" s="192">
        <f t="shared" si="186"/>
        <v>0</v>
      </c>
      <c r="AN285" s="192">
        <f t="shared" si="181"/>
        <v>0</v>
      </c>
      <c r="AO285" s="192">
        <f t="shared" si="187"/>
        <v>0</v>
      </c>
      <c r="AS285" s="132"/>
      <c r="AT285" s="132"/>
      <c r="AU285" s="200"/>
      <c r="AV285" s="132"/>
      <c r="AW285" s="132"/>
      <c r="AX285" s="132"/>
      <c r="AY285" s="132"/>
      <c r="AZ285" s="132"/>
      <c r="BA285" s="167"/>
      <c r="BB285" s="167"/>
      <c r="BD285" s="211">
        <f t="shared" si="182"/>
        <v>42690</v>
      </c>
      <c r="BE285" s="210">
        <v>1</v>
      </c>
      <c r="BF285" s="209">
        <v>0.5</v>
      </c>
      <c r="BG285" s="209">
        <v>2</v>
      </c>
      <c r="BH285" s="210"/>
      <c r="BI285" s="209"/>
      <c r="BJ285" s="209"/>
      <c r="BK285" s="168">
        <f t="shared" si="183"/>
        <v>0</v>
      </c>
      <c r="BL285" s="168">
        <f t="shared" si="184"/>
        <v>0</v>
      </c>
    </row>
    <row r="286" spans="1:64" ht="13.5" thickBot="1" x14ac:dyDescent="0.25">
      <c r="A286" s="215">
        <f t="shared" si="151"/>
        <v>42691</v>
      </c>
      <c r="B286" s="190"/>
      <c r="C286" s="168"/>
      <c r="D286" s="198"/>
      <c r="E286" s="132">
        <f t="shared" si="152"/>
        <v>117.50393121663245</v>
      </c>
      <c r="F286" s="168">
        <f t="shared" si="153"/>
        <v>117.50393121663245</v>
      </c>
      <c r="G286" s="300"/>
      <c r="H286" s="127">
        <f>VLOOKUP(MONTH(A286),ETP_Parametros!$A$6:$D$17,4,FALSE)</f>
        <v>6.0666666666666664</v>
      </c>
      <c r="I286" s="230">
        <f>VLOOKUP(A286,P_Q_obs!$A$4:$F$308,6,FALSE)*1</f>
        <v>0</v>
      </c>
      <c r="J286" s="230">
        <f t="shared" si="154"/>
        <v>0</v>
      </c>
      <c r="K286" s="230">
        <f t="shared" si="155"/>
        <v>0</v>
      </c>
      <c r="L286" s="230">
        <f t="shared" si="156"/>
        <v>0</v>
      </c>
      <c r="M286" s="230">
        <f t="shared" si="157"/>
        <v>0</v>
      </c>
      <c r="N286" s="230">
        <f t="shared" si="158"/>
        <v>0</v>
      </c>
      <c r="O286" s="230">
        <f t="shared" si="159"/>
        <v>0</v>
      </c>
      <c r="P286" s="230">
        <f t="shared" si="160"/>
        <v>0</v>
      </c>
      <c r="Q286" s="230">
        <f t="shared" si="161"/>
        <v>0</v>
      </c>
      <c r="R286" s="230">
        <f t="shared" si="162"/>
        <v>0</v>
      </c>
      <c r="S286" s="230">
        <f t="shared" si="163"/>
        <v>0</v>
      </c>
      <c r="T286" s="230">
        <f t="shared" si="164"/>
        <v>0</v>
      </c>
      <c r="U286" s="230">
        <f t="shared" si="165"/>
        <v>0</v>
      </c>
      <c r="V286" s="230">
        <f t="shared" si="166"/>
        <v>0</v>
      </c>
      <c r="W286" s="230">
        <f t="shared" si="167"/>
        <v>0</v>
      </c>
      <c r="X286" s="230">
        <f t="shared" si="168"/>
        <v>0</v>
      </c>
      <c r="Y286" s="230">
        <f t="shared" si="169"/>
        <v>0</v>
      </c>
      <c r="Z286" s="292">
        <f t="shared" si="170"/>
        <v>0</v>
      </c>
      <c r="AA286" s="300"/>
      <c r="AB286" s="191">
        <f t="shared" si="171"/>
        <v>0</v>
      </c>
      <c r="AC286" s="139">
        <f t="shared" si="172"/>
        <v>0</v>
      </c>
      <c r="AD286" s="132">
        <f t="shared" si="173"/>
        <v>0.13004633013627898</v>
      </c>
      <c r="AE286" s="168">
        <f t="shared" si="174"/>
        <v>1.7888663995839049E-3</v>
      </c>
      <c r="AF286" s="192">
        <f t="shared" si="175"/>
        <v>0</v>
      </c>
      <c r="AG286" s="192">
        <f t="shared" si="185"/>
        <v>9.5233462222756235E-3</v>
      </c>
      <c r="AH286" s="192">
        <f t="shared" si="176"/>
        <v>0</v>
      </c>
      <c r="AI286" s="168">
        <f t="shared" si="177"/>
        <v>1.7773255659561638E-18</v>
      </c>
      <c r="AJ286" s="192">
        <f t="shared" si="178"/>
        <v>5.8595049497317965E-19</v>
      </c>
      <c r="AK286" s="132">
        <f t="shared" si="179"/>
        <v>12.61521706214692</v>
      </c>
      <c r="AL286" s="192">
        <f t="shared" si="180"/>
        <v>0.18218317584461552</v>
      </c>
      <c r="AM286" s="192">
        <f t="shared" si="186"/>
        <v>0</v>
      </c>
      <c r="AN286" s="192">
        <f t="shared" si="181"/>
        <v>0</v>
      </c>
      <c r="AO286" s="192">
        <f t="shared" si="187"/>
        <v>0</v>
      </c>
      <c r="AS286" s="132"/>
      <c r="AT286" s="132"/>
      <c r="AU286" s="200"/>
      <c r="AV286" s="132"/>
      <c r="AW286" s="132"/>
      <c r="AX286" s="132"/>
      <c r="AY286" s="132"/>
      <c r="AZ286" s="132"/>
      <c r="BA286" s="167"/>
      <c r="BB286" s="167"/>
      <c r="BD286" s="211">
        <f t="shared" si="182"/>
        <v>42691</v>
      </c>
      <c r="BE286" s="210">
        <v>1</v>
      </c>
      <c r="BF286" s="209">
        <v>0.5</v>
      </c>
      <c r="BG286" s="209">
        <v>2</v>
      </c>
      <c r="BH286" s="210"/>
      <c r="BI286" s="209"/>
      <c r="BJ286" s="209"/>
      <c r="BK286" s="168">
        <f t="shared" si="183"/>
        <v>0</v>
      </c>
      <c r="BL286" s="168">
        <f t="shared" si="184"/>
        <v>0</v>
      </c>
    </row>
    <row r="287" spans="1:64" ht="13.5" thickBot="1" x14ac:dyDescent="0.25">
      <c r="A287" s="215">
        <f t="shared" si="151"/>
        <v>42692</v>
      </c>
      <c r="B287" s="190"/>
      <c r="C287" s="168"/>
      <c r="D287" s="198"/>
      <c r="E287" s="132">
        <f t="shared" si="152"/>
        <v>115.83115088897483</v>
      </c>
      <c r="F287" s="168">
        <f t="shared" si="153"/>
        <v>115.83115088897483</v>
      </c>
      <c r="G287" s="300"/>
      <c r="H287" s="127">
        <f>VLOOKUP(MONTH(A287),ETP_Parametros!$A$6:$D$17,4,FALSE)</f>
        <v>6.0666666666666664</v>
      </c>
      <c r="I287" s="230">
        <f>VLOOKUP(A287,P_Q_obs!$A$4:$F$308,6,FALSE)*1</f>
        <v>0</v>
      </c>
      <c r="J287" s="230">
        <f t="shared" si="154"/>
        <v>0</v>
      </c>
      <c r="K287" s="230">
        <f t="shared" si="155"/>
        <v>0</v>
      </c>
      <c r="L287" s="230">
        <f t="shared" si="156"/>
        <v>0</v>
      </c>
      <c r="M287" s="230">
        <f t="shared" si="157"/>
        <v>0</v>
      </c>
      <c r="N287" s="230">
        <f t="shared" si="158"/>
        <v>0</v>
      </c>
      <c r="O287" s="230">
        <f t="shared" si="159"/>
        <v>0</v>
      </c>
      <c r="P287" s="230">
        <f t="shared" si="160"/>
        <v>0</v>
      </c>
      <c r="Q287" s="230">
        <f t="shared" si="161"/>
        <v>0</v>
      </c>
      <c r="R287" s="230">
        <f t="shared" si="162"/>
        <v>0</v>
      </c>
      <c r="S287" s="230">
        <f t="shared" si="163"/>
        <v>0</v>
      </c>
      <c r="T287" s="230">
        <f t="shared" si="164"/>
        <v>0</v>
      </c>
      <c r="U287" s="230">
        <f t="shared" si="165"/>
        <v>0</v>
      </c>
      <c r="V287" s="230">
        <f t="shared" si="166"/>
        <v>0</v>
      </c>
      <c r="W287" s="230">
        <f t="shared" si="167"/>
        <v>0</v>
      </c>
      <c r="X287" s="230">
        <f t="shared" si="168"/>
        <v>0</v>
      </c>
      <c r="Y287" s="230">
        <f t="shared" si="169"/>
        <v>0</v>
      </c>
      <c r="Z287" s="292">
        <f t="shared" si="170"/>
        <v>0</v>
      </c>
      <c r="AA287" s="300"/>
      <c r="AB287" s="191">
        <f t="shared" si="171"/>
        <v>0</v>
      </c>
      <c r="AC287" s="139">
        <f t="shared" si="172"/>
        <v>0</v>
      </c>
      <c r="AD287" s="132">
        <f t="shared" si="173"/>
        <v>0.12117279643514396</v>
      </c>
      <c r="AE287" s="168">
        <f t="shared" si="174"/>
        <v>1.6668055442956278E-3</v>
      </c>
      <c r="AF287" s="192">
        <f t="shared" si="175"/>
        <v>0</v>
      </c>
      <c r="AG287" s="192">
        <f t="shared" si="185"/>
        <v>8.8735337011350123E-3</v>
      </c>
      <c r="AH287" s="192">
        <f t="shared" si="176"/>
        <v>0</v>
      </c>
      <c r="AI287" s="168">
        <f t="shared" si="177"/>
        <v>1.3366555941666781E-18</v>
      </c>
      <c r="AJ287" s="192">
        <f t="shared" si="178"/>
        <v>4.4066997178948576E-19</v>
      </c>
      <c r="AK287" s="132">
        <f t="shared" si="179"/>
        <v>12.43562743725356</v>
      </c>
      <c r="AL287" s="192">
        <f t="shared" si="180"/>
        <v>0.17958962489336083</v>
      </c>
      <c r="AM287" s="192">
        <f t="shared" si="186"/>
        <v>0</v>
      </c>
      <c r="AN287" s="192">
        <f t="shared" si="181"/>
        <v>0</v>
      </c>
      <c r="AO287" s="192">
        <f t="shared" si="187"/>
        <v>0</v>
      </c>
      <c r="AS287" s="132"/>
      <c r="AT287" s="132"/>
      <c r="AU287" s="200"/>
      <c r="AV287" s="132"/>
      <c r="AW287" s="132"/>
      <c r="AX287" s="132"/>
      <c r="AY287" s="132"/>
      <c r="AZ287" s="132"/>
      <c r="BA287" s="167"/>
      <c r="BB287" s="167"/>
      <c r="BD287" s="211">
        <f t="shared" si="182"/>
        <v>42692</v>
      </c>
      <c r="BE287" s="210">
        <v>1</v>
      </c>
      <c r="BF287" s="209">
        <v>0.5</v>
      </c>
      <c r="BG287" s="209">
        <v>2</v>
      </c>
      <c r="BH287" s="210"/>
      <c r="BI287" s="209"/>
      <c r="BJ287" s="209"/>
      <c r="BK287" s="168">
        <f t="shared" si="183"/>
        <v>0</v>
      </c>
      <c r="BL287" s="168">
        <f t="shared" si="184"/>
        <v>0</v>
      </c>
    </row>
    <row r="288" spans="1:64" ht="13.5" thickBot="1" x14ac:dyDescent="0.25">
      <c r="A288" s="215">
        <f t="shared" si="151"/>
        <v>42693</v>
      </c>
      <c r="B288" s="190"/>
      <c r="C288" s="168"/>
      <c r="D288" s="198"/>
      <c r="E288" s="132">
        <f t="shared" si="152"/>
        <v>114.18218418181165</v>
      </c>
      <c r="F288" s="168">
        <f t="shared" si="153"/>
        <v>114.18218418181165</v>
      </c>
      <c r="G288" s="300"/>
      <c r="H288" s="127">
        <f>VLOOKUP(MONTH(A288),ETP_Parametros!$A$6:$D$17,4,FALSE)</f>
        <v>6.0666666666666664</v>
      </c>
      <c r="I288" s="230">
        <f>VLOOKUP(A288,P_Q_obs!$A$4:$F$308,6,FALSE)*1</f>
        <v>0</v>
      </c>
      <c r="J288" s="230">
        <f t="shared" si="154"/>
        <v>0</v>
      </c>
      <c r="K288" s="230">
        <f t="shared" si="155"/>
        <v>0</v>
      </c>
      <c r="L288" s="230">
        <f t="shared" si="156"/>
        <v>0</v>
      </c>
      <c r="M288" s="230">
        <f t="shared" si="157"/>
        <v>0</v>
      </c>
      <c r="N288" s="230">
        <f t="shared" si="158"/>
        <v>0</v>
      </c>
      <c r="O288" s="230">
        <f t="shared" si="159"/>
        <v>0</v>
      </c>
      <c r="P288" s="230">
        <f t="shared" si="160"/>
        <v>0</v>
      </c>
      <c r="Q288" s="230">
        <f t="shared" si="161"/>
        <v>0</v>
      </c>
      <c r="R288" s="230">
        <f t="shared" si="162"/>
        <v>0</v>
      </c>
      <c r="S288" s="230">
        <f t="shared" si="163"/>
        <v>0</v>
      </c>
      <c r="T288" s="230">
        <f t="shared" si="164"/>
        <v>0</v>
      </c>
      <c r="U288" s="230">
        <f t="shared" si="165"/>
        <v>0</v>
      </c>
      <c r="V288" s="230">
        <f t="shared" si="166"/>
        <v>0</v>
      </c>
      <c r="W288" s="230">
        <f t="shared" si="167"/>
        <v>0</v>
      </c>
      <c r="X288" s="230">
        <f t="shared" si="168"/>
        <v>0</v>
      </c>
      <c r="Y288" s="230">
        <f t="shared" si="169"/>
        <v>0</v>
      </c>
      <c r="Z288" s="292">
        <f t="shared" si="170"/>
        <v>0</v>
      </c>
      <c r="AA288" s="300"/>
      <c r="AB288" s="191">
        <f t="shared" si="171"/>
        <v>0</v>
      </c>
      <c r="AC288" s="139">
        <f t="shared" si="172"/>
        <v>0</v>
      </c>
      <c r="AD288" s="132">
        <f t="shared" si="173"/>
        <v>0.1129047361853756</v>
      </c>
      <c r="AE288" s="168">
        <f t="shared" si="174"/>
        <v>1.5530733447399261E-3</v>
      </c>
      <c r="AF288" s="192">
        <f t="shared" si="175"/>
        <v>0</v>
      </c>
      <c r="AG288" s="192">
        <f t="shared" si="185"/>
        <v>8.2680602497683681E-3</v>
      </c>
      <c r="AH288" s="192">
        <f t="shared" si="176"/>
        <v>0</v>
      </c>
      <c r="AI288" s="168">
        <f t="shared" si="177"/>
        <v>1.0052453031900749E-18</v>
      </c>
      <c r="AJ288" s="192">
        <f t="shared" si="178"/>
        <v>3.3141029097660331E-19</v>
      </c>
      <c r="AK288" s="132">
        <f t="shared" si="179"/>
        <v>12.258594441644535</v>
      </c>
      <c r="AL288" s="192">
        <f t="shared" si="180"/>
        <v>0.177032995609025</v>
      </c>
      <c r="AM288" s="192">
        <f t="shared" si="186"/>
        <v>0</v>
      </c>
      <c r="AN288" s="192">
        <f t="shared" si="181"/>
        <v>0</v>
      </c>
      <c r="AO288" s="192">
        <f t="shared" si="187"/>
        <v>0</v>
      </c>
      <c r="AS288" s="132"/>
      <c r="AT288" s="132"/>
      <c r="AU288" s="200"/>
      <c r="AV288" s="132"/>
      <c r="AW288" s="132"/>
      <c r="AX288" s="132"/>
      <c r="AY288" s="132"/>
      <c r="AZ288" s="132"/>
      <c r="BA288" s="167"/>
      <c r="BB288" s="167"/>
      <c r="BD288" s="211">
        <f t="shared" si="182"/>
        <v>42693</v>
      </c>
      <c r="BE288" s="210">
        <v>1</v>
      </c>
      <c r="BF288" s="209">
        <v>0.5</v>
      </c>
      <c r="BG288" s="209">
        <v>2</v>
      </c>
      <c r="BH288" s="210"/>
      <c r="BI288" s="209"/>
      <c r="BJ288" s="209"/>
      <c r="BK288" s="168">
        <f t="shared" si="183"/>
        <v>0</v>
      </c>
      <c r="BL288" s="168">
        <f t="shared" si="184"/>
        <v>0</v>
      </c>
    </row>
    <row r="289" spans="1:64" ht="13.5" thickBot="1" x14ac:dyDescent="0.25">
      <c r="A289" s="215">
        <f t="shared" si="151"/>
        <v>42694</v>
      </c>
      <c r="B289" s="190"/>
      <c r="C289" s="168"/>
      <c r="D289" s="198"/>
      <c r="E289" s="132">
        <f t="shared" si="152"/>
        <v>112.55669208558398</v>
      </c>
      <c r="F289" s="168">
        <f t="shared" si="153"/>
        <v>112.55669208558398</v>
      </c>
      <c r="G289" s="300"/>
      <c r="H289" s="127">
        <f>VLOOKUP(MONTH(A289),ETP_Parametros!$A$6:$D$17,4,FALSE)</f>
        <v>6.0666666666666664</v>
      </c>
      <c r="I289" s="230">
        <f>VLOOKUP(A289,P_Q_obs!$A$4:$F$308,6,FALSE)*1</f>
        <v>0</v>
      </c>
      <c r="J289" s="230">
        <f t="shared" si="154"/>
        <v>0</v>
      </c>
      <c r="K289" s="230">
        <f t="shared" si="155"/>
        <v>0</v>
      </c>
      <c r="L289" s="230">
        <f t="shared" si="156"/>
        <v>0</v>
      </c>
      <c r="M289" s="230">
        <f t="shared" si="157"/>
        <v>0</v>
      </c>
      <c r="N289" s="230">
        <f t="shared" si="158"/>
        <v>0</v>
      </c>
      <c r="O289" s="230">
        <f t="shared" si="159"/>
        <v>0</v>
      </c>
      <c r="P289" s="230">
        <f t="shared" si="160"/>
        <v>0</v>
      </c>
      <c r="Q289" s="230">
        <f t="shared" si="161"/>
        <v>0</v>
      </c>
      <c r="R289" s="230">
        <f t="shared" si="162"/>
        <v>0</v>
      </c>
      <c r="S289" s="230">
        <f t="shared" si="163"/>
        <v>0</v>
      </c>
      <c r="T289" s="230">
        <f t="shared" si="164"/>
        <v>0</v>
      </c>
      <c r="U289" s="230">
        <f t="shared" si="165"/>
        <v>0</v>
      </c>
      <c r="V289" s="230">
        <f t="shared" si="166"/>
        <v>0</v>
      </c>
      <c r="W289" s="230">
        <f t="shared" si="167"/>
        <v>0</v>
      </c>
      <c r="X289" s="230">
        <f t="shared" si="168"/>
        <v>0</v>
      </c>
      <c r="Y289" s="230">
        <f t="shared" si="169"/>
        <v>0</v>
      </c>
      <c r="Z289" s="292">
        <f t="shared" si="170"/>
        <v>0</v>
      </c>
      <c r="AA289" s="300"/>
      <c r="AB289" s="191">
        <f t="shared" si="171"/>
        <v>0</v>
      </c>
      <c r="AC289" s="139">
        <f t="shared" si="172"/>
        <v>0</v>
      </c>
      <c r="AD289" s="132">
        <f t="shared" si="173"/>
        <v>0.10520083573306134</v>
      </c>
      <c r="AE289" s="168">
        <f t="shared" si="174"/>
        <v>1.4471015064693462E-3</v>
      </c>
      <c r="AF289" s="192">
        <f t="shared" si="175"/>
        <v>0</v>
      </c>
      <c r="AG289" s="192">
        <f t="shared" si="185"/>
        <v>7.7039004523142517E-3</v>
      </c>
      <c r="AH289" s="192">
        <f t="shared" si="176"/>
        <v>0</v>
      </c>
      <c r="AI289" s="168">
        <f t="shared" si="177"/>
        <v>7.560048556978515E-19</v>
      </c>
      <c r="AJ289" s="192">
        <f t="shared" si="178"/>
        <v>2.4924044749222336E-19</v>
      </c>
      <c r="AK289" s="132">
        <f t="shared" si="179"/>
        <v>12.084081679268007</v>
      </c>
      <c r="AL289" s="192">
        <f t="shared" si="180"/>
        <v>0.17451276237652902</v>
      </c>
      <c r="AM289" s="192">
        <f t="shared" si="186"/>
        <v>0</v>
      </c>
      <c r="AN289" s="192">
        <f t="shared" si="181"/>
        <v>0</v>
      </c>
      <c r="AO289" s="192">
        <f t="shared" si="187"/>
        <v>0</v>
      </c>
      <c r="AS289" s="132"/>
      <c r="AT289" s="132"/>
      <c r="AU289" s="200"/>
      <c r="AV289" s="132"/>
      <c r="AW289" s="132"/>
      <c r="AX289" s="132"/>
      <c r="AY289" s="132"/>
      <c r="AZ289" s="132"/>
      <c r="BA289" s="167"/>
      <c r="BB289" s="167"/>
      <c r="BD289" s="211">
        <f t="shared" si="182"/>
        <v>42694</v>
      </c>
      <c r="BE289" s="210">
        <v>1</v>
      </c>
      <c r="BF289" s="209">
        <v>0.5</v>
      </c>
      <c r="BG289" s="209">
        <v>2</v>
      </c>
      <c r="BH289" s="210"/>
      <c r="BI289" s="209"/>
      <c r="BJ289" s="209"/>
      <c r="BK289" s="168">
        <f t="shared" si="183"/>
        <v>0</v>
      </c>
      <c r="BL289" s="168">
        <f t="shared" si="184"/>
        <v>0</v>
      </c>
    </row>
    <row r="290" spans="1:64" ht="13.5" thickBot="1" x14ac:dyDescent="0.25">
      <c r="A290" s="215">
        <f t="shared" si="151"/>
        <v>42695</v>
      </c>
      <c r="B290" s="190"/>
      <c r="C290" s="168"/>
      <c r="D290" s="198"/>
      <c r="E290" s="132">
        <f t="shared" si="152"/>
        <v>110.95434041685675</v>
      </c>
      <c r="F290" s="168">
        <f t="shared" si="153"/>
        <v>110.95434041685675</v>
      </c>
      <c r="G290" s="300"/>
      <c r="H290" s="127">
        <f>VLOOKUP(MONTH(A290),ETP_Parametros!$A$6:$D$17,4,FALSE)</f>
        <v>6.0666666666666664</v>
      </c>
      <c r="I290" s="230">
        <f>VLOOKUP(A290,P_Q_obs!$A$4:$F$308,6,FALSE)*1</f>
        <v>0</v>
      </c>
      <c r="J290" s="230">
        <f t="shared" si="154"/>
        <v>0</v>
      </c>
      <c r="K290" s="230">
        <f t="shared" si="155"/>
        <v>0</v>
      </c>
      <c r="L290" s="230">
        <f t="shared" si="156"/>
        <v>0</v>
      </c>
      <c r="M290" s="230">
        <f t="shared" si="157"/>
        <v>0</v>
      </c>
      <c r="N290" s="230">
        <f t="shared" si="158"/>
        <v>0</v>
      </c>
      <c r="O290" s="230">
        <f t="shared" si="159"/>
        <v>0</v>
      </c>
      <c r="P290" s="230">
        <f t="shared" si="160"/>
        <v>0</v>
      </c>
      <c r="Q290" s="230">
        <f t="shared" si="161"/>
        <v>0</v>
      </c>
      <c r="R290" s="230">
        <f t="shared" si="162"/>
        <v>0</v>
      </c>
      <c r="S290" s="230">
        <f t="shared" si="163"/>
        <v>0</v>
      </c>
      <c r="T290" s="230">
        <f t="shared" si="164"/>
        <v>0</v>
      </c>
      <c r="U290" s="230">
        <f t="shared" si="165"/>
        <v>0</v>
      </c>
      <c r="V290" s="230">
        <f t="shared" si="166"/>
        <v>0</v>
      </c>
      <c r="W290" s="230">
        <f t="shared" si="167"/>
        <v>0</v>
      </c>
      <c r="X290" s="230">
        <f t="shared" si="168"/>
        <v>0</v>
      </c>
      <c r="Y290" s="230">
        <f t="shared" si="169"/>
        <v>0</v>
      </c>
      <c r="Z290" s="292">
        <f t="shared" si="170"/>
        <v>0</v>
      </c>
      <c r="AA290" s="300"/>
      <c r="AB290" s="191">
        <f t="shared" si="171"/>
        <v>0</v>
      </c>
      <c r="AC290" s="139">
        <f t="shared" si="172"/>
        <v>0</v>
      </c>
      <c r="AD290" s="132">
        <f t="shared" si="173"/>
        <v>9.8022600405031357E-2</v>
      </c>
      <c r="AE290" s="168">
        <f t="shared" si="174"/>
        <v>1.3483605118317992E-3</v>
      </c>
      <c r="AF290" s="192">
        <f t="shared" si="175"/>
        <v>0</v>
      </c>
      <c r="AG290" s="192">
        <f t="shared" si="185"/>
        <v>7.1782353280299858E-3</v>
      </c>
      <c r="AH290" s="192">
        <f t="shared" si="176"/>
        <v>0</v>
      </c>
      <c r="AI290" s="168">
        <f t="shared" si="177"/>
        <v>5.6856106666201467E-19</v>
      </c>
      <c r="AJ290" s="192">
        <f t="shared" si="178"/>
        <v>1.8744378903583685E-19</v>
      </c>
      <c r="AK290" s="132">
        <f t="shared" si="179"/>
        <v>11.912053272204581</v>
      </c>
      <c r="AL290" s="192">
        <f t="shared" si="180"/>
        <v>0.17202840706342504</v>
      </c>
      <c r="AM290" s="192">
        <f t="shared" si="186"/>
        <v>0</v>
      </c>
      <c r="AN290" s="192">
        <f t="shared" si="181"/>
        <v>0</v>
      </c>
      <c r="AO290" s="192">
        <f t="shared" si="187"/>
        <v>0</v>
      </c>
      <c r="AS290" s="132"/>
      <c r="AT290" s="132"/>
      <c r="AU290" s="200"/>
      <c r="AV290" s="132"/>
      <c r="AW290" s="132"/>
      <c r="AX290" s="132"/>
      <c r="AY290" s="132"/>
      <c r="AZ290" s="132"/>
      <c r="BA290" s="167"/>
      <c r="BB290" s="167"/>
      <c r="BD290" s="211">
        <f t="shared" si="182"/>
        <v>42695</v>
      </c>
      <c r="BE290" s="210">
        <v>1</v>
      </c>
      <c r="BF290" s="209">
        <v>0.5</v>
      </c>
      <c r="BG290" s="209">
        <v>2</v>
      </c>
      <c r="BH290" s="210"/>
      <c r="BI290" s="209"/>
      <c r="BJ290" s="209"/>
      <c r="BK290" s="168">
        <f t="shared" si="183"/>
        <v>0</v>
      </c>
      <c r="BL290" s="168">
        <f t="shared" si="184"/>
        <v>0</v>
      </c>
    </row>
    <row r="291" spans="1:64" ht="13.5" thickBot="1" x14ac:dyDescent="0.25">
      <c r="A291" s="215">
        <f t="shared" si="151"/>
        <v>42696</v>
      </c>
      <c r="B291" s="190"/>
      <c r="C291" s="168"/>
      <c r="D291" s="198"/>
      <c r="E291" s="132">
        <f t="shared" si="152"/>
        <v>109.37479974961417</v>
      </c>
      <c r="F291" s="168">
        <f t="shared" si="153"/>
        <v>109.37479974961417</v>
      </c>
      <c r="G291" s="300"/>
      <c r="H291" s="127">
        <f>VLOOKUP(MONTH(A291),ETP_Parametros!$A$6:$D$17,4,FALSE)</f>
        <v>6.0666666666666664</v>
      </c>
      <c r="I291" s="230">
        <f>VLOOKUP(A291,P_Q_obs!$A$4:$F$308,6,FALSE)*1</f>
        <v>0</v>
      </c>
      <c r="J291" s="230">
        <f t="shared" si="154"/>
        <v>0</v>
      </c>
      <c r="K291" s="230">
        <f t="shared" si="155"/>
        <v>0</v>
      </c>
      <c r="L291" s="230">
        <f t="shared" si="156"/>
        <v>0</v>
      </c>
      <c r="M291" s="230">
        <f t="shared" si="157"/>
        <v>0</v>
      </c>
      <c r="N291" s="230">
        <f t="shared" si="158"/>
        <v>0</v>
      </c>
      <c r="O291" s="230">
        <f t="shared" si="159"/>
        <v>0</v>
      </c>
      <c r="P291" s="230">
        <f t="shared" si="160"/>
        <v>0</v>
      </c>
      <c r="Q291" s="230">
        <f t="shared" si="161"/>
        <v>0</v>
      </c>
      <c r="R291" s="230">
        <f t="shared" si="162"/>
        <v>0</v>
      </c>
      <c r="S291" s="230">
        <f t="shared" si="163"/>
        <v>0</v>
      </c>
      <c r="T291" s="230">
        <f t="shared" si="164"/>
        <v>0</v>
      </c>
      <c r="U291" s="230">
        <f t="shared" si="165"/>
        <v>0</v>
      </c>
      <c r="V291" s="230">
        <f t="shared" si="166"/>
        <v>0</v>
      </c>
      <c r="W291" s="230">
        <f t="shared" si="167"/>
        <v>0</v>
      </c>
      <c r="X291" s="230">
        <f t="shared" si="168"/>
        <v>0</v>
      </c>
      <c r="Y291" s="230">
        <f t="shared" si="169"/>
        <v>0</v>
      </c>
      <c r="Z291" s="292">
        <f t="shared" si="170"/>
        <v>0</v>
      </c>
      <c r="AA291" s="300"/>
      <c r="AB291" s="191">
        <f t="shared" si="171"/>
        <v>0</v>
      </c>
      <c r="AC291" s="139">
        <f t="shared" si="172"/>
        <v>0</v>
      </c>
      <c r="AD291" s="132">
        <f t="shared" si="173"/>
        <v>9.1334162159558044E-2</v>
      </c>
      <c r="AE291" s="168">
        <f t="shared" si="174"/>
        <v>1.2563569740888965E-3</v>
      </c>
      <c r="AF291" s="192">
        <f t="shared" si="175"/>
        <v>0</v>
      </c>
      <c r="AG291" s="192">
        <f t="shared" si="185"/>
        <v>6.688438245473308E-3</v>
      </c>
      <c r="AH291" s="192">
        <f t="shared" si="176"/>
        <v>0</v>
      </c>
      <c r="AI291" s="168">
        <f t="shared" si="177"/>
        <v>4.2759207707132E-19</v>
      </c>
      <c r="AJ291" s="192">
        <f t="shared" si="178"/>
        <v>1.4096898959069467E-19</v>
      </c>
      <c r="AK291" s="132">
        <f t="shared" si="179"/>
        <v>11.742473853291207</v>
      </c>
      <c r="AL291" s="192">
        <f t="shared" si="180"/>
        <v>0.16957941891337372</v>
      </c>
      <c r="AM291" s="192">
        <f t="shared" si="186"/>
        <v>0</v>
      </c>
      <c r="AN291" s="192">
        <f t="shared" si="181"/>
        <v>0</v>
      </c>
      <c r="AO291" s="192">
        <f t="shared" si="187"/>
        <v>0</v>
      </c>
      <c r="AS291" s="132"/>
      <c r="AT291" s="132"/>
      <c r="AU291" s="200"/>
      <c r="AV291" s="132"/>
      <c r="AW291" s="132"/>
      <c r="AX291" s="132"/>
      <c r="AY291" s="132"/>
      <c r="AZ291" s="132"/>
      <c r="BA291" s="167"/>
      <c r="BB291" s="167"/>
      <c r="BD291" s="211">
        <f t="shared" si="182"/>
        <v>42696</v>
      </c>
      <c r="BE291" s="210">
        <v>1</v>
      </c>
      <c r="BF291" s="209">
        <v>0.5</v>
      </c>
      <c r="BG291" s="209">
        <v>2</v>
      </c>
      <c r="BH291" s="210"/>
      <c r="BI291" s="209"/>
      <c r="BJ291" s="209"/>
      <c r="BK291" s="168">
        <f t="shared" si="183"/>
        <v>0</v>
      </c>
      <c r="BL291" s="168">
        <f t="shared" si="184"/>
        <v>0</v>
      </c>
    </row>
    <row r="292" spans="1:64" ht="13.5" thickBot="1" x14ac:dyDescent="0.25">
      <c r="A292" s="215">
        <f t="shared" si="151"/>
        <v>42697</v>
      </c>
      <c r="B292" s="190"/>
      <c r="C292" s="168"/>
      <c r="D292" s="198"/>
      <c r="E292" s="132">
        <f t="shared" si="152"/>
        <v>107.81774534753343</v>
      </c>
      <c r="F292" s="168">
        <f t="shared" si="153"/>
        <v>107.81774534753343</v>
      </c>
      <c r="G292" s="300"/>
      <c r="H292" s="127">
        <f>VLOOKUP(MONTH(A292),ETP_Parametros!$A$6:$D$17,4,FALSE)</f>
        <v>6.0666666666666664</v>
      </c>
      <c r="I292" s="230">
        <f>VLOOKUP(A292,P_Q_obs!$A$4:$F$308,6,FALSE)*1</f>
        <v>0</v>
      </c>
      <c r="J292" s="230">
        <f t="shared" si="154"/>
        <v>0</v>
      </c>
      <c r="K292" s="230">
        <f t="shared" si="155"/>
        <v>0</v>
      </c>
      <c r="L292" s="230">
        <f t="shared" si="156"/>
        <v>0</v>
      </c>
      <c r="M292" s="230">
        <f t="shared" si="157"/>
        <v>0</v>
      </c>
      <c r="N292" s="230">
        <f t="shared" si="158"/>
        <v>0</v>
      </c>
      <c r="O292" s="230">
        <f t="shared" si="159"/>
        <v>0</v>
      </c>
      <c r="P292" s="230">
        <f t="shared" si="160"/>
        <v>0</v>
      </c>
      <c r="Q292" s="230">
        <f t="shared" si="161"/>
        <v>0</v>
      </c>
      <c r="R292" s="230">
        <f t="shared" si="162"/>
        <v>0</v>
      </c>
      <c r="S292" s="230">
        <f t="shared" si="163"/>
        <v>0</v>
      </c>
      <c r="T292" s="230">
        <f t="shared" si="164"/>
        <v>0</v>
      </c>
      <c r="U292" s="230">
        <f t="shared" si="165"/>
        <v>0</v>
      </c>
      <c r="V292" s="230">
        <f t="shared" si="166"/>
        <v>0</v>
      </c>
      <c r="W292" s="230">
        <f t="shared" si="167"/>
        <v>0</v>
      </c>
      <c r="X292" s="230">
        <f t="shared" si="168"/>
        <v>0</v>
      </c>
      <c r="Y292" s="230">
        <f t="shared" si="169"/>
        <v>0</v>
      </c>
      <c r="Z292" s="292">
        <f t="shared" si="170"/>
        <v>0</v>
      </c>
      <c r="AA292" s="300"/>
      <c r="AB292" s="191">
        <f t="shared" si="171"/>
        <v>0</v>
      </c>
      <c r="AC292" s="139">
        <f t="shared" si="172"/>
        <v>0</v>
      </c>
      <c r="AD292" s="132">
        <f t="shared" si="173"/>
        <v>8.5102100361747451E-2</v>
      </c>
      <c r="AE292" s="168">
        <f t="shared" si="174"/>
        <v>1.1706311720724057E-3</v>
      </c>
      <c r="AF292" s="192">
        <f t="shared" si="175"/>
        <v>0</v>
      </c>
      <c r="AG292" s="192">
        <f t="shared" si="185"/>
        <v>6.2320617978105916E-3</v>
      </c>
      <c r="AH292" s="192">
        <f t="shared" si="176"/>
        <v>0</v>
      </c>
      <c r="AI292" s="168">
        <f t="shared" si="177"/>
        <v>3.2157492852540546E-19</v>
      </c>
      <c r="AJ292" s="192">
        <f t="shared" si="178"/>
        <v>1.0601714854591452E-19</v>
      </c>
      <c r="AK292" s="132">
        <f t="shared" si="179"/>
        <v>11.575308558850068</v>
      </c>
      <c r="AL292" s="192">
        <f t="shared" si="180"/>
        <v>0.16716529444113859</v>
      </c>
      <c r="AM292" s="192">
        <f t="shared" si="186"/>
        <v>0</v>
      </c>
      <c r="AN292" s="192">
        <f t="shared" si="181"/>
        <v>0</v>
      </c>
      <c r="AO292" s="192">
        <f t="shared" si="187"/>
        <v>0</v>
      </c>
      <c r="AS292" s="132"/>
      <c r="AT292" s="132"/>
      <c r="AU292" s="200"/>
      <c r="AV292" s="132"/>
      <c r="AW292" s="132"/>
      <c r="AX292" s="132"/>
      <c r="AY292" s="132"/>
      <c r="AZ292" s="132"/>
      <c r="BA292" s="167"/>
      <c r="BB292" s="167"/>
      <c r="BD292" s="211">
        <f t="shared" si="182"/>
        <v>42697</v>
      </c>
      <c r="BE292" s="210">
        <v>1</v>
      </c>
      <c r="BF292" s="209">
        <v>0.5</v>
      </c>
      <c r="BG292" s="209">
        <v>2</v>
      </c>
      <c r="BH292" s="210"/>
      <c r="BI292" s="209"/>
      <c r="BJ292" s="209"/>
      <c r="BK292" s="168">
        <f t="shared" si="183"/>
        <v>0</v>
      </c>
      <c r="BL292" s="168">
        <f t="shared" si="184"/>
        <v>0</v>
      </c>
    </row>
    <row r="293" spans="1:64" ht="13.5" thickBot="1" x14ac:dyDescent="0.25">
      <c r="A293" s="215">
        <f t="shared" si="151"/>
        <v>42698</v>
      </c>
      <c r="B293" s="190"/>
      <c r="C293" s="168"/>
      <c r="D293" s="198"/>
      <c r="E293" s="132">
        <f t="shared" si="152"/>
        <v>106.2828570972225</v>
      </c>
      <c r="F293" s="168">
        <f t="shared" si="153"/>
        <v>106.2828570972225</v>
      </c>
      <c r="G293" s="300"/>
      <c r="H293" s="127">
        <f>VLOOKUP(MONTH(A293),ETP_Parametros!$A$6:$D$17,4,FALSE)</f>
        <v>6.0666666666666664</v>
      </c>
      <c r="I293" s="230">
        <f>VLOOKUP(A293,P_Q_obs!$A$4:$F$308,6,FALSE)*1</f>
        <v>0</v>
      </c>
      <c r="J293" s="230">
        <f t="shared" si="154"/>
        <v>0</v>
      </c>
      <c r="K293" s="230">
        <f t="shared" si="155"/>
        <v>0</v>
      </c>
      <c r="L293" s="230">
        <f t="shared" si="156"/>
        <v>0</v>
      </c>
      <c r="M293" s="230">
        <f t="shared" si="157"/>
        <v>0</v>
      </c>
      <c r="N293" s="230">
        <f t="shared" si="158"/>
        <v>0</v>
      </c>
      <c r="O293" s="230">
        <f t="shared" si="159"/>
        <v>0</v>
      </c>
      <c r="P293" s="230">
        <f t="shared" si="160"/>
        <v>0</v>
      </c>
      <c r="Q293" s="230">
        <f t="shared" si="161"/>
        <v>0</v>
      </c>
      <c r="R293" s="230">
        <f t="shared" si="162"/>
        <v>0</v>
      </c>
      <c r="S293" s="230">
        <f t="shared" si="163"/>
        <v>0</v>
      </c>
      <c r="T293" s="230">
        <f t="shared" si="164"/>
        <v>0</v>
      </c>
      <c r="U293" s="230">
        <f t="shared" si="165"/>
        <v>0</v>
      </c>
      <c r="V293" s="230">
        <f t="shared" si="166"/>
        <v>0</v>
      </c>
      <c r="W293" s="230">
        <f t="shared" si="167"/>
        <v>0</v>
      </c>
      <c r="X293" s="230">
        <f t="shared" si="168"/>
        <v>0</v>
      </c>
      <c r="Y293" s="230">
        <f t="shared" si="169"/>
        <v>0</v>
      </c>
      <c r="Z293" s="292">
        <f t="shared" si="170"/>
        <v>0</v>
      </c>
      <c r="AA293" s="300"/>
      <c r="AB293" s="191">
        <f t="shared" si="171"/>
        <v>0</v>
      </c>
      <c r="AC293" s="139">
        <f t="shared" si="172"/>
        <v>0</v>
      </c>
      <c r="AD293" s="132">
        <f t="shared" si="173"/>
        <v>7.9295274788076964E-2</v>
      </c>
      <c r="AE293" s="168">
        <f t="shared" si="174"/>
        <v>1.0907547530600568E-3</v>
      </c>
      <c r="AF293" s="192">
        <f t="shared" si="175"/>
        <v>0</v>
      </c>
      <c r="AG293" s="192">
        <f t="shared" si="185"/>
        <v>5.8068255736704903E-3</v>
      </c>
      <c r="AH293" s="192">
        <f t="shared" si="176"/>
        <v>0</v>
      </c>
      <c r="AI293" s="168">
        <f t="shared" si="177"/>
        <v>2.4184366409312899E-19</v>
      </c>
      <c r="AJ293" s="192">
        <f t="shared" si="178"/>
        <v>7.973126443227647E-20</v>
      </c>
      <c r="AK293" s="132">
        <f t="shared" si="179"/>
        <v>11.410523021520993</v>
      </c>
      <c r="AL293" s="192">
        <f t="shared" si="180"/>
        <v>0.16478553732907483</v>
      </c>
      <c r="AM293" s="192">
        <f t="shared" si="186"/>
        <v>0</v>
      </c>
      <c r="AN293" s="192">
        <f t="shared" si="181"/>
        <v>0</v>
      </c>
      <c r="AO293" s="192">
        <f t="shared" si="187"/>
        <v>0</v>
      </c>
      <c r="AS293" s="132"/>
      <c r="AT293" s="132"/>
      <c r="AU293" s="200"/>
      <c r="AV293" s="132"/>
      <c r="AW293" s="132"/>
      <c r="AX293" s="132"/>
      <c r="AY293" s="132"/>
      <c r="AZ293" s="132"/>
      <c r="BA293" s="167"/>
      <c r="BB293" s="167"/>
      <c r="BD293" s="211">
        <f t="shared" si="182"/>
        <v>42698</v>
      </c>
      <c r="BE293" s="210">
        <v>1</v>
      </c>
      <c r="BF293" s="209">
        <v>0.5</v>
      </c>
      <c r="BG293" s="209">
        <v>2</v>
      </c>
      <c r="BH293" s="210"/>
      <c r="BI293" s="209"/>
      <c r="BJ293" s="209"/>
      <c r="BK293" s="168">
        <f t="shared" si="183"/>
        <v>0</v>
      </c>
      <c r="BL293" s="168">
        <f t="shared" si="184"/>
        <v>0</v>
      </c>
    </row>
    <row r="294" spans="1:64" ht="13.5" thickBot="1" x14ac:dyDescent="0.25">
      <c r="A294" s="215">
        <f t="shared" si="151"/>
        <v>42699</v>
      </c>
      <c r="B294" s="190"/>
      <c r="C294" s="168"/>
      <c r="D294" s="198"/>
      <c r="E294" s="132">
        <f t="shared" si="152"/>
        <v>104.76981944240812</v>
      </c>
      <c r="F294" s="168">
        <f t="shared" si="153"/>
        <v>104.76981944240812</v>
      </c>
      <c r="G294" s="300"/>
      <c r="H294" s="127">
        <f>VLOOKUP(MONTH(A294),ETP_Parametros!$A$6:$D$17,4,FALSE)</f>
        <v>6.0666666666666664</v>
      </c>
      <c r="I294" s="230">
        <f>VLOOKUP(A294,P_Q_obs!$A$4:$F$308,6,FALSE)*1</f>
        <v>0</v>
      </c>
      <c r="J294" s="230">
        <f t="shared" si="154"/>
        <v>0</v>
      </c>
      <c r="K294" s="230">
        <f t="shared" si="155"/>
        <v>0</v>
      </c>
      <c r="L294" s="230">
        <f t="shared" si="156"/>
        <v>0</v>
      </c>
      <c r="M294" s="230">
        <f t="shared" si="157"/>
        <v>0</v>
      </c>
      <c r="N294" s="230">
        <f t="shared" si="158"/>
        <v>0</v>
      </c>
      <c r="O294" s="230">
        <f t="shared" si="159"/>
        <v>0</v>
      </c>
      <c r="P294" s="230">
        <f t="shared" si="160"/>
        <v>0</v>
      </c>
      <c r="Q294" s="230">
        <f t="shared" si="161"/>
        <v>0</v>
      </c>
      <c r="R294" s="230">
        <f t="shared" si="162"/>
        <v>0</v>
      </c>
      <c r="S294" s="230">
        <f t="shared" si="163"/>
        <v>0</v>
      </c>
      <c r="T294" s="230">
        <f t="shared" si="164"/>
        <v>0</v>
      </c>
      <c r="U294" s="230">
        <f t="shared" si="165"/>
        <v>0</v>
      </c>
      <c r="V294" s="230">
        <f t="shared" si="166"/>
        <v>0</v>
      </c>
      <c r="W294" s="230">
        <f t="shared" si="167"/>
        <v>0</v>
      </c>
      <c r="X294" s="230">
        <f t="shared" si="168"/>
        <v>0</v>
      </c>
      <c r="Y294" s="230">
        <f t="shared" si="169"/>
        <v>0</v>
      </c>
      <c r="Z294" s="292">
        <f t="shared" si="170"/>
        <v>0</v>
      </c>
      <c r="AA294" s="300"/>
      <c r="AB294" s="191">
        <f t="shared" si="171"/>
        <v>0</v>
      </c>
      <c r="AC294" s="139">
        <f t="shared" si="172"/>
        <v>0</v>
      </c>
      <c r="AD294" s="132">
        <f t="shared" si="173"/>
        <v>7.3884670025640295E-2</v>
      </c>
      <c r="AE294" s="168">
        <f t="shared" si="174"/>
        <v>1.0163285923924788E-3</v>
      </c>
      <c r="AF294" s="192">
        <f t="shared" si="175"/>
        <v>0</v>
      </c>
      <c r="AG294" s="192">
        <f t="shared" si="185"/>
        <v>5.4106047624366696E-3</v>
      </c>
      <c r="AH294" s="192">
        <f t="shared" si="176"/>
        <v>0</v>
      </c>
      <c r="AI294" s="168">
        <f t="shared" si="177"/>
        <v>1.8188096357570811E-19</v>
      </c>
      <c r="AJ294" s="192">
        <f t="shared" si="178"/>
        <v>5.9962700517420881E-20</v>
      </c>
      <c r="AK294" s="132">
        <f t="shared" si="179"/>
        <v>11.248083363195901</v>
      </c>
      <c r="AL294" s="192">
        <f t="shared" si="180"/>
        <v>0.16243965832509175</v>
      </c>
      <c r="AM294" s="192">
        <f t="shared" si="186"/>
        <v>0</v>
      </c>
      <c r="AN294" s="192">
        <f t="shared" si="181"/>
        <v>0</v>
      </c>
      <c r="AO294" s="192">
        <f t="shared" si="187"/>
        <v>0</v>
      </c>
      <c r="AS294" s="132"/>
      <c r="AT294" s="132"/>
      <c r="AU294" s="200"/>
      <c r="AV294" s="132"/>
      <c r="AW294" s="132"/>
      <c r="AX294" s="132"/>
      <c r="AY294" s="132"/>
      <c r="AZ294" s="132"/>
      <c r="BA294" s="167"/>
      <c r="BB294" s="167"/>
      <c r="BD294" s="211">
        <f t="shared" si="182"/>
        <v>42699</v>
      </c>
      <c r="BE294" s="210">
        <v>1</v>
      </c>
      <c r="BF294" s="209">
        <v>0.5</v>
      </c>
      <c r="BG294" s="209">
        <v>2</v>
      </c>
      <c r="BH294" s="210"/>
      <c r="BI294" s="209"/>
      <c r="BJ294" s="209"/>
      <c r="BK294" s="168">
        <f t="shared" si="183"/>
        <v>0</v>
      </c>
      <c r="BL294" s="168">
        <f t="shared" si="184"/>
        <v>0</v>
      </c>
    </row>
    <row r="295" spans="1:64" ht="13.5" thickBot="1" x14ac:dyDescent="0.25">
      <c r="A295" s="215">
        <f t="shared" si="151"/>
        <v>42700</v>
      </c>
      <c r="B295" s="190"/>
      <c r="C295" s="168"/>
      <c r="D295" s="198"/>
      <c r="E295" s="132">
        <f t="shared" si="152"/>
        <v>103.27832131906112</v>
      </c>
      <c r="F295" s="168">
        <f t="shared" si="153"/>
        <v>103.27832131906112</v>
      </c>
      <c r="G295" s="300"/>
      <c r="H295" s="127">
        <f>VLOOKUP(MONTH(A295),ETP_Parametros!$A$6:$D$17,4,FALSE)</f>
        <v>6.0666666666666664</v>
      </c>
      <c r="I295" s="230">
        <f>VLOOKUP(A295,P_Q_obs!$A$4:$F$308,6,FALSE)*1</f>
        <v>0</v>
      </c>
      <c r="J295" s="230">
        <f t="shared" si="154"/>
        <v>0</v>
      </c>
      <c r="K295" s="230">
        <f t="shared" si="155"/>
        <v>0</v>
      </c>
      <c r="L295" s="230">
        <f t="shared" si="156"/>
        <v>0</v>
      </c>
      <c r="M295" s="230">
        <f t="shared" si="157"/>
        <v>0</v>
      </c>
      <c r="N295" s="230">
        <f t="shared" si="158"/>
        <v>0</v>
      </c>
      <c r="O295" s="230">
        <f t="shared" si="159"/>
        <v>0</v>
      </c>
      <c r="P295" s="230">
        <f t="shared" si="160"/>
        <v>0</v>
      </c>
      <c r="Q295" s="230">
        <f t="shared" si="161"/>
        <v>0</v>
      </c>
      <c r="R295" s="230">
        <f t="shared" si="162"/>
        <v>0</v>
      </c>
      <c r="S295" s="230">
        <f t="shared" si="163"/>
        <v>0</v>
      </c>
      <c r="T295" s="230">
        <f t="shared" si="164"/>
        <v>0</v>
      </c>
      <c r="U295" s="230">
        <f t="shared" si="165"/>
        <v>0</v>
      </c>
      <c r="V295" s="230">
        <f t="shared" si="166"/>
        <v>0</v>
      </c>
      <c r="W295" s="230">
        <f t="shared" si="167"/>
        <v>0</v>
      </c>
      <c r="X295" s="230">
        <f t="shared" si="168"/>
        <v>0</v>
      </c>
      <c r="Y295" s="230">
        <f t="shared" si="169"/>
        <v>0</v>
      </c>
      <c r="Z295" s="292">
        <f t="shared" si="170"/>
        <v>0</v>
      </c>
      <c r="AA295" s="300"/>
      <c r="AB295" s="191">
        <f t="shared" si="171"/>
        <v>0</v>
      </c>
      <c r="AC295" s="139">
        <f t="shared" si="172"/>
        <v>0</v>
      </c>
      <c r="AD295" s="132">
        <f t="shared" si="173"/>
        <v>6.8843250488597463E-2</v>
      </c>
      <c r="AE295" s="168">
        <f t="shared" si="174"/>
        <v>9.4698079913625136E-4</v>
      </c>
      <c r="AF295" s="192">
        <f t="shared" si="175"/>
        <v>0</v>
      </c>
      <c r="AG295" s="192">
        <f t="shared" si="185"/>
        <v>5.0414195370428339E-3</v>
      </c>
      <c r="AH295" s="192">
        <f t="shared" si="176"/>
        <v>0</v>
      </c>
      <c r="AI295" s="168">
        <f t="shared" si="177"/>
        <v>1.3678541067128959E-19</v>
      </c>
      <c r="AJ295" s="192">
        <f t="shared" si="178"/>
        <v>4.5095552904418527E-20</v>
      </c>
      <c r="AK295" s="132">
        <f t="shared" si="179"/>
        <v>11.087956188053834</v>
      </c>
      <c r="AL295" s="192">
        <f t="shared" si="180"/>
        <v>0.16012717514206801</v>
      </c>
      <c r="AM295" s="192">
        <f t="shared" si="186"/>
        <v>0</v>
      </c>
      <c r="AN295" s="192">
        <f t="shared" si="181"/>
        <v>0</v>
      </c>
      <c r="AO295" s="192">
        <f t="shared" si="187"/>
        <v>0</v>
      </c>
      <c r="AS295" s="132"/>
      <c r="AT295" s="132"/>
      <c r="AU295" s="200"/>
      <c r="AV295" s="132"/>
      <c r="AW295" s="132"/>
      <c r="AX295" s="132"/>
      <c r="AY295" s="132"/>
      <c r="AZ295" s="132"/>
      <c r="BA295" s="167"/>
      <c r="BB295" s="167"/>
      <c r="BD295" s="211">
        <f t="shared" si="182"/>
        <v>42700</v>
      </c>
      <c r="BE295" s="210">
        <v>1</v>
      </c>
      <c r="BF295" s="209">
        <v>0.5</v>
      </c>
      <c r="BG295" s="209">
        <v>2</v>
      </c>
      <c r="BH295" s="210"/>
      <c r="BI295" s="209"/>
      <c r="BJ295" s="209"/>
      <c r="BK295" s="168">
        <f t="shared" si="183"/>
        <v>0</v>
      </c>
      <c r="BL295" s="168">
        <f t="shared" si="184"/>
        <v>0</v>
      </c>
    </row>
    <row r="296" spans="1:64" ht="13.5" thickBot="1" x14ac:dyDescent="0.25">
      <c r="A296" s="215">
        <f t="shared" si="151"/>
        <v>42701</v>
      </c>
      <c r="B296" s="190"/>
      <c r="C296" s="168"/>
      <c r="D296" s="198"/>
      <c r="E296" s="132">
        <f t="shared" si="152"/>
        <v>101.80805609144487</v>
      </c>
      <c r="F296" s="168">
        <f t="shared" si="153"/>
        <v>101.80805609144487</v>
      </c>
      <c r="G296" s="300"/>
      <c r="H296" s="127">
        <f>VLOOKUP(MONTH(A296),ETP_Parametros!$A$6:$D$17,4,FALSE)</f>
        <v>6.0666666666666664</v>
      </c>
      <c r="I296" s="230">
        <f>VLOOKUP(A296,P_Q_obs!$A$4:$F$308,6,FALSE)*1</f>
        <v>0</v>
      </c>
      <c r="J296" s="230">
        <f t="shared" si="154"/>
        <v>0</v>
      </c>
      <c r="K296" s="230">
        <f t="shared" si="155"/>
        <v>0</v>
      </c>
      <c r="L296" s="230">
        <f t="shared" si="156"/>
        <v>0</v>
      </c>
      <c r="M296" s="230">
        <f t="shared" si="157"/>
        <v>0</v>
      </c>
      <c r="N296" s="230">
        <f t="shared" si="158"/>
        <v>0</v>
      </c>
      <c r="O296" s="230">
        <f t="shared" si="159"/>
        <v>0</v>
      </c>
      <c r="P296" s="230">
        <f t="shared" si="160"/>
        <v>0</v>
      </c>
      <c r="Q296" s="230">
        <f t="shared" si="161"/>
        <v>0</v>
      </c>
      <c r="R296" s="230">
        <f t="shared" si="162"/>
        <v>0</v>
      </c>
      <c r="S296" s="230">
        <f t="shared" si="163"/>
        <v>0</v>
      </c>
      <c r="T296" s="230">
        <f t="shared" si="164"/>
        <v>0</v>
      </c>
      <c r="U296" s="230">
        <f t="shared" si="165"/>
        <v>0</v>
      </c>
      <c r="V296" s="230">
        <f t="shared" si="166"/>
        <v>0</v>
      </c>
      <c r="W296" s="230">
        <f t="shared" si="167"/>
        <v>0</v>
      </c>
      <c r="X296" s="230">
        <f t="shared" si="168"/>
        <v>0</v>
      </c>
      <c r="Y296" s="230">
        <f t="shared" si="169"/>
        <v>0</v>
      </c>
      <c r="Z296" s="292">
        <f t="shared" si="170"/>
        <v>0</v>
      </c>
      <c r="AA296" s="300"/>
      <c r="AB296" s="191">
        <f t="shared" si="171"/>
        <v>0</v>
      </c>
      <c r="AC296" s="139">
        <f t="shared" si="172"/>
        <v>0</v>
      </c>
      <c r="AD296" s="132">
        <f t="shared" si="173"/>
        <v>6.4145825327379238E-2</v>
      </c>
      <c r="AE296" s="168">
        <f t="shared" si="174"/>
        <v>8.8236485782781536E-4</v>
      </c>
      <c r="AF296" s="192">
        <f t="shared" si="175"/>
        <v>0</v>
      </c>
      <c r="AG296" s="192">
        <f t="shared" si="185"/>
        <v>4.697425161218227E-3</v>
      </c>
      <c r="AH296" s="192">
        <f t="shared" si="176"/>
        <v>0</v>
      </c>
      <c r="AI296" s="168">
        <f t="shared" si="177"/>
        <v>1.0287084588005927E-19</v>
      </c>
      <c r="AJ296" s="192">
        <f t="shared" si="178"/>
        <v>3.391456479123032E-20</v>
      </c>
      <c r="AK296" s="132">
        <f t="shared" si="179"/>
        <v>10.930108575695135</v>
      </c>
      <c r="AL296" s="192">
        <f t="shared" si="180"/>
        <v>0.15784761235869857</v>
      </c>
      <c r="AM296" s="192">
        <f t="shared" si="186"/>
        <v>0</v>
      </c>
      <c r="AN296" s="192">
        <f t="shared" si="181"/>
        <v>0</v>
      </c>
      <c r="AO296" s="192">
        <f t="shared" si="187"/>
        <v>0</v>
      </c>
      <c r="AS296" s="132"/>
      <c r="AT296" s="132"/>
      <c r="AU296" s="200"/>
      <c r="AV296" s="132"/>
      <c r="AW296" s="132"/>
      <c r="AX296" s="132"/>
      <c r="AY296" s="132"/>
      <c r="AZ296" s="132"/>
      <c r="BA296" s="167"/>
      <c r="BB296" s="167"/>
      <c r="BD296" s="211">
        <f t="shared" si="182"/>
        <v>42701</v>
      </c>
      <c r="BE296" s="210">
        <v>1</v>
      </c>
      <c r="BF296" s="209">
        <v>0.5</v>
      </c>
      <c r="BG296" s="209">
        <v>2</v>
      </c>
      <c r="BH296" s="210"/>
      <c r="BI296" s="209"/>
      <c r="BJ296" s="209"/>
      <c r="BK296" s="168">
        <f t="shared" si="183"/>
        <v>0</v>
      </c>
      <c r="BL296" s="168">
        <f t="shared" si="184"/>
        <v>0</v>
      </c>
    </row>
    <row r="297" spans="1:64" ht="13.5" thickBot="1" x14ac:dyDescent="0.25">
      <c r="A297" s="215">
        <f t="shared" si="151"/>
        <v>42702</v>
      </c>
      <c r="B297" s="190"/>
      <c r="C297" s="168"/>
      <c r="D297" s="198"/>
      <c r="E297" s="132">
        <f t="shared" si="152"/>
        <v>100.3587214890743</v>
      </c>
      <c r="F297" s="168">
        <f t="shared" si="153"/>
        <v>100.3587214890743</v>
      </c>
      <c r="G297" s="300"/>
      <c r="H297" s="127">
        <f>VLOOKUP(MONTH(A297),ETP_Parametros!$A$6:$D$17,4,FALSE)</f>
        <v>6.0666666666666664</v>
      </c>
      <c r="I297" s="230">
        <f>VLOOKUP(A297,P_Q_obs!$A$4:$F$308,6,FALSE)*1</f>
        <v>0</v>
      </c>
      <c r="J297" s="230">
        <f t="shared" si="154"/>
        <v>0</v>
      </c>
      <c r="K297" s="230">
        <f t="shared" si="155"/>
        <v>0</v>
      </c>
      <c r="L297" s="230">
        <f t="shared" si="156"/>
        <v>0</v>
      </c>
      <c r="M297" s="230">
        <f t="shared" si="157"/>
        <v>0</v>
      </c>
      <c r="N297" s="230">
        <f t="shared" si="158"/>
        <v>0</v>
      </c>
      <c r="O297" s="230">
        <f t="shared" si="159"/>
        <v>0</v>
      </c>
      <c r="P297" s="230">
        <f t="shared" si="160"/>
        <v>0</v>
      </c>
      <c r="Q297" s="230">
        <f t="shared" si="161"/>
        <v>0</v>
      </c>
      <c r="R297" s="230">
        <f t="shared" si="162"/>
        <v>0</v>
      </c>
      <c r="S297" s="230">
        <f t="shared" si="163"/>
        <v>0</v>
      </c>
      <c r="T297" s="230">
        <f t="shared" si="164"/>
        <v>0</v>
      </c>
      <c r="U297" s="230">
        <f t="shared" si="165"/>
        <v>0</v>
      </c>
      <c r="V297" s="230">
        <f t="shared" si="166"/>
        <v>0</v>
      </c>
      <c r="W297" s="230">
        <f t="shared" si="167"/>
        <v>0</v>
      </c>
      <c r="X297" s="230">
        <f t="shared" si="168"/>
        <v>0</v>
      </c>
      <c r="Y297" s="230">
        <f t="shared" si="169"/>
        <v>0</v>
      </c>
      <c r="Z297" s="292">
        <f t="shared" si="170"/>
        <v>0</v>
      </c>
      <c r="AA297" s="300"/>
      <c r="AB297" s="191">
        <f t="shared" si="171"/>
        <v>0</v>
      </c>
      <c r="AC297" s="139">
        <f t="shared" si="172"/>
        <v>0</v>
      </c>
      <c r="AD297" s="132">
        <f t="shared" si="173"/>
        <v>5.9768922555627511E-2</v>
      </c>
      <c r="AE297" s="168">
        <f t="shared" si="174"/>
        <v>8.2215789701294755E-4</v>
      </c>
      <c r="AF297" s="192">
        <f t="shared" si="175"/>
        <v>0</v>
      </c>
      <c r="AG297" s="192">
        <f t="shared" si="185"/>
        <v>4.376902771751727E-3</v>
      </c>
      <c r="AH297" s="192">
        <f t="shared" si="176"/>
        <v>0</v>
      </c>
      <c r="AI297" s="168">
        <f t="shared" si="177"/>
        <v>7.7365055820972073E-20</v>
      </c>
      <c r="AJ297" s="192">
        <f t="shared" si="178"/>
        <v>2.5505790059087205E-20</v>
      </c>
      <c r="AK297" s="132">
        <f t="shared" si="179"/>
        <v>10.774508074373381</v>
      </c>
      <c r="AL297" s="192">
        <f t="shared" si="180"/>
        <v>0.15560050132175324</v>
      </c>
      <c r="AM297" s="192">
        <f t="shared" si="186"/>
        <v>0</v>
      </c>
      <c r="AN297" s="192">
        <f t="shared" si="181"/>
        <v>0</v>
      </c>
      <c r="AO297" s="192">
        <f t="shared" si="187"/>
        <v>0</v>
      </c>
      <c r="AS297" s="132"/>
      <c r="AT297" s="132"/>
      <c r="AU297" s="200"/>
      <c r="AV297" s="132"/>
      <c r="AW297" s="132"/>
      <c r="AX297" s="132"/>
      <c r="AY297" s="132"/>
      <c r="AZ297" s="132"/>
      <c r="BA297" s="167"/>
      <c r="BB297" s="167"/>
      <c r="BD297" s="211">
        <f t="shared" si="182"/>
        <v>42702</v>
      </c>
      <c r="BE297" s="210">
        <v>1</v>
      </c>
      <c r="BF297" s="209">
        <v>0.5</v>
      </c>
      <c r="BG297" s="209">
        <v>2</v>
      </c>
      <c r="BH297" s="210"/>
      <c r="BI297" s="209"/>
      <c r="BJ297" s="209"/>
      <c r="BK297" s="168">
        <f t="shared" si="183"/>
        <v>0</v>
      </c>
      <c r="BL297" s="168">
        <f t="shared" si="184"/>
        <v>0</v>
      </c>
    </row>
    <row r="298" spans="1:64" ht="13.5" thickBot="1" x14ac:dyDescent="0.25">
      <c r="A298" s="215">
        <f t="shared" si="151"/>
        <v>42703</v>
      </c>
      <c r="B298" s="190"/>
      <c r="C298" s="168"/>
      <c r="D298" s="198"/>
      <c r="E298" s="132">
        <f t="shared" si="152"/>
        <v>98.930019544572616</v>
      </c>
      <c r="F298" s="168">
        <f t="shared" si="153"/>
        <v>98.930019544572616</v>
      </c>
      <c r="G298" s="300"/>
      <c r="H298" s="127">
        <f>VLOOKUP(MONTH(A298),ETP_Parametros!$A$6:$D$17,4,FALSE)</f>
        <v>6.0666666666666664</v>
      </c>
      <c r="I298" s="230">
        <f>VLOOKUP(A298,P_Q_obs!$A$4:$F$308,6,FALSE)*1</f>
        <v>0</v>
      </c>
      <c r="J298" s="230">
        <f t="shared" si="154"/>
        <v>0</v>
      </c>
      <c r="K298" s="230">
        <f t="shared" si="155"/>
        <v>0</v>
      </c>
      <c r="L298" s="230">
        <f t="shared" si="156"/>
        <v>0</v>
      </c>
      <c r="M298" s="230">
        <f t="shared" si="157"/>
        <v>0</v>
      </c>
      <c r="N298" s="230">
        <f t="shared" si="158"/>
        <v>0</v>
      </c>
      <c r="O298" s="230">
        <f t="shared" si="159"/>
        <v>0</v>
      </c>
      <c r="P298" s="230">
        <f t="shared" si="160"/>
        <v>0</v>
      </c>
      <c r="Q298" s="230">
        <f t="shared" si="161"/>
        <v>0</v>
      </c>
      <c r="R298" s="230">
        <f t="shared" si="162"/>
        <v>0</v>
      </c>
      <c r="S298" s="230">
        <f t="shared" si="163"/>
        <v>0</v>
      </c>
      <c r="T298" s="230">
        <f t="shared" si="164"/>
        <v>0</v>
      </c>
      <c r="U298" s="230">
        <f t="shared" si="165"/>
        <v>0</v>
      </c>
      <c r="V298" s="230">
        <f t="shared" si="166"/>
        <v>0</v>
      </c>
      <c r="W298" s="230">
        <f t="shared" si="167"/>
        <v>0</v>
      </c>
      <c r="X298" s="230">
        <f t="shared" si="168"/>
        <v>0</v>
      </c>
      <c r="Y298" s="230">
        <f t="shared" si="169"/>
        <v>0</v>
      </c>
      <c r="Z298" s="292">
        <f t="shared" si="170"/>
        <v>0</v>
      </c>
      <c r="AA298" s="300"/>
      <c r="AB298" s="191">
        <f t="shared" si="171"/>
        <v>0</v>
      </c>
      <c r="AC298" s="139">
        <f t="shared" si="172"/>
        <v>0</v>
      </c>
      <c r="AD298" s="132">
        <f t="shared" si="173"/>
        <v>5.5690671765911956E-2</v>
      </c>
      <c r="AE298" s="168">
        <f t="shared" si="174"/>
        <v>7.6605907593007964E-4</v>
      </c>
      <c r="AF298" s="192">
        <f t="shared" si="175"/>
        <v>0</v>
      </c>
      <c r="AG298" s="192">
        <f t="shared" si="185"/>
        <v>4.0782507897155536E-3</v>
      </c>
      <c r="AH298" s="192">
        <f t="shared" si="176"/>
        <v>0</v>
      </c>
      <c r="AI298" s="168">
        <f t="shared" si="177"/>
        <v>5.8183169497416758E-20</v>
      </c>
      <c r="AJ298" s="192">
        <f t="shared" si="178"/>
        <v>1.9181886323555318E-20</v>
      </c>
      <c r="AK298" s="132">
        <f t="shared" si="179"/>
        <v>10.621122694323654</v>
      </c>
      <c r="AL298" s="192">
        <f t="shared" si="180"/>
        <v>0.15338538004972677</v>
      </c>
      <c r="AM298" s="192">
        <f t="shared" si="186"/>
        <v>0</v>
      </c>
      <c r="AN298" s="192">
        <f t="shared" si="181"/>
        <v>0</v>
      </c>
      <c r="AO298" s="192">
        <f t="shared" si="187"/>
        <v>0</v>
      </c>
      <c r="AS298" s="132"/>
      <c r="AT298" s="132"/>
      <c r="AU298" s="200"/>
      <c r="AV298" s="132"/>
      <c r="AW298" s="132"/>
      <c r="AX298" s="132"/>
      <c r="AY298" s="132"/>
      <c r="AZ298" s="132"/>
      <c r="BA298" s="167"/>
      <c r="BB298" s="167"/>
      <c r="BD298" s="211">
        <f t="shared" si="182"/>
        <v>42703</v>
      </c>
      <c r="BE298" s="210">
        <v>1</v>
      </c>
      <c r="BF298" s="209">
        <v>0.5</v>
      </c>
      <c r="BG298" s="209">
        <v>2</v>
      </c>
      <c r="BH298" s="210"/>
      <c r="BI298" s="209"/>
      <c r="BJ298" s="209"/>
      <c r="BK298" s="168">
        <f t="shared" si="183"/>
        <v>0</v>
      </c>
      <c r="BL298" s="168">
        <f t="shared" si="184"/>
        <v>0</v>
      </c>
    </row>
    <row r="299" spans="1:64" ht="13.5" thickBot="1" x14ac:dyDescent="0.25">
      <c r="A299" s="215">
        <f t="shared" si="151"/>
        <v>42704</v>
      </c>
      <c r="B299" s="190"/>
      <c r="C299" s="168"/>
      <c r="D299" s="198"/>
      <c r="E299" s="132">
        <f t="shared" si="152"/>
        <v>97.52165653241218</v>
      </c>
      <c r="F299" s="168">
        <f t="shared" si="153"/>
        <v>97.52165653241218</v>
      </c>
      <c r="G299" s="300"/>
      <c r="H299" s="127">
        <f>VLOOKUP(MONTH(A299),ETP_Parametros!$A$6:$D$17,4,FALSE)</f>
        <v>6.0666666666666664</v>
      </c>
      <c r="I299" s="230">
        <f>VLOOKUP(A299,P_Q_obs!$A$4:$F$308,6,FALSE)*1</f>
        <v>0</v>
      </c>
      <c r="J299" s="230">
        <f t="shared" si="154"/>
        <v>0</v>
      </c>
      <c r="K299" s="230">
        <f t="shared" si="155"/>
        <v>0</v>
      </c>
      <c r="L299" s="230">
        <f t="shared" si="156"/>
        <v>0</v>
      </c>
      <c r="M299" s="230">
        <f t="shared" si="157"/>
        <v>0</v>
      </c>
      <c r="N299" s="230">
        <f t="shared" si="158"/>
        <v>0</v>
      </c>
      <c r="O299" s="230">
        <f t="shared" si="159"/>
        <v>0</v>
      </c>
      <c r="P299" s="230">
        <f t="shared" si="160"/>
        <v>0</v>
      </c>
      <c r="Q299" s="230">
        <f t="shared" si="161"/>
        <v>0</v>
      </c>
      <c r="R299" s="230">
        <f t="shared" si="162"/>
        <v>0</v>
      </c>
      <c r="S299" s="230">
        <f t="shared" si="163"/>
        <v>0</v>
      </c>
      <c r="T299" s="230">
        <f t="shared" si="164"/>
        <v>0</v>
      </c>
      <c r="U299" s="230">
        <f t="shared" si="165"/>
        <v>0</v>
      </c>
      <c r="V299" s="230">
        <f t="shared" si="166"/>
        <v>0</v>
      </c>
      <c r="W299" s="230">
        <f t="shared" si="167"/>
        <v>0</v>
      </c>
      <c r="X299" s="230">
        <f t="shared" si="168"/>
        <v>0</v>
      </c>
      <c r="Y299" s="230">
        <f t="shared" si="169"/>
        <v>0</v>
      </c>
      <c r="Z299" s="292">
        <f t="shared" si="170"/>
        <v>0</v>
      </c>
      <c r="AA299" s="300"/>
      <c r="AB299" s="191">
        <f t="shared" si="171"/>
        <v>0</v>
      </c>
      <c r="AC299" s="139">
        <f t="shared" si="172"/>
        <v>0</v>
      </c>
      <c r="AD299" s="132">
        <f t="shared" si="173"/>
        <v>5.1890694848179555E-2</v>
      </c>
      <c r="AE299" s="168">
        <f t="shared" si="174"/>
        <v>7.1378808127607845E-4</v>
      </c>
      <c r="AF299" s="192">
        <f t="shared" si="175"/>
        <v>0</v>
      </c>
      <c r="AG299" s="192">
        <f t="shared" si="185"/>
        <v>3.7999769177324027E-3</v>
      </c>
      <c r="AH299" s="192">
        <f t="shared" si="176"/>
        <v>0</v>
      </c>
      <c r="AI299" s="168">
        <f t="shared" si="177"/>
        <v>4.3757238676320422E-20</v>
      </c>
      <c r="AJ299" s="192">
        <f t="shared" si="178"/>
        <v>1.4425930821096336E-20</v>
      </c>
      <c r="AK299" s="132">
        <f t="shared" si="179"/>
        <v>10.469920901185795</v>
      </c>
      <c r="AL299" s="192">
        <f t="shared" si="180"/>
        <v>0.1512017931378605</v>
      </c>
      <c r="AM299" s="192">
        <f t="shared" si="186"/>
        <v>0</v>
      </c>
      <c r="AN299" s="192">
        <f t="shared" si="181"/>
        <v>0</v>
      </c>
      <c r="AO299" s="192">
        <f t="shared" si="187"/>
        <v>0</v>
      </c>
      <c r="AS299" s="132"/>
      <c r="AT299" s="132"/>
      <c r="AU299" s="200"/>
      <c r="AV299" s="132"/>
      <c r="AW299" s="132"/>
      <c r="AX299" s="132"/>
      <c r="AY299" s="132"/>
      <c r="AZ299" s="132"/>
      <c r="BA299" s="167"/>
      <c r="BB299" s="167"/>
      <c r="BD299" s="211">
        <f t="shared" si="182"/>
        <v>42704</v>
      </c>
      <c r="BE299" s="210">
        <v>1</v>
      </c>
      <c r="BF299" s="209">
        <v>0.5</v>
      </c>
      <c r="BG299" s="209">
        <v>2</v>
      </c>
      <c r="BH299" s="210"/>
      <c r="BI299" s="209"/>
      <c r="BJ299" s="209"/>
      <c r="BK299" s="168">
        <f t="shared" si="183"/>
        <v>0</v>
      </c>
      <c r="BL299" s="168">
        <f t="shared" si="184"/>
        <v>0</v>
      </c>
    </row>
    <row r="300" spans="1:64" ht="13.5" thickBot="1" x14ac:dyDescent="0.25">
      <c r="A300" s="215">
        <f t="shared" si="151"/>
        <v>42705</v>
      </c>
      <c r="B300" s="190"/>
      <c r="C300" s="168"/>
      <c r="D300" s="198"/>
      <c r="E300" s="132">
        <f t="shared" si="152"/>
        <v>96.133342908528007</v>
      </c>
      <c r="F300" s="168">
        <f t="shared" si="153"/>
        <v>96.133342908528007</v>
      </c>
      <c r="G300" s="300"/>
      <c r="H300" s="127">
        <f>VLOOKUP(MONTH(A300),ETP_Parametros!$A$6:$D$17,4,FALSE)</f>
        <v>6.32258064516129</v>
      </c>
      <c r="I300" s="230">
        <f>VLOOKUP(A300,P_Q_obs!$A$4:$F$308,6,FALSE)*1</f>
        <v>0</v>
      </c>
      <c r="J300" s="230">
        <f t="shared" si="154"/>
        <v>0</v>
      </c>
      <c r="K300" s="230">
        <f t="shared" si="155"/>
        <v>0</v>
      </c>
      <c r="L300" s="230">
        <f t="shared" si="156"/>
        <v>0</v>
      </c>
      <c r="M300" s="230">
        <f t="shared" si="157"/>
        <v>0</v>
      </c>
      <c r="N300" s="230">
        <f t="shared" si="158"/>
        <v>0</v>
      </c>
      <c r="O300" s="230">
        <f t="shared" si="159"/>
        <v>0</v>
      </c>
      <c r="P300" s="230">
        <f t="shared" si="160"/>
        <v>0</v>
      </c>
      <c r="Q300" s="230">
        <f t="shared" si="161"/>
        <v>0</v>
      </c>
      <c r="R300" s="230">
        <f t="shared" si="162"/>
        <v>0</v>
      </c>
      <c r="S300" s="230">
        <f t="shared" si="163"/>
        <v>0</v>
      </c>
      <c r="T300" s="230">
        <f t="shared" si="164"/>
        <v>0</v>
      </c>
      <c r="U300" s="230">
        <f t="shared" si="165"/>
        <v>0</v>
      </c>
      <c r="V300" s="230">
        <f t="shared" si="166"/>
        <v>0</v>
      </c>
      <c r="W300" s="230">
        <f t="shared" si="167"/>
        <v>0</v>
      </c>
      <c r="X300" s="230">
        <f t="shared" si="168"/>
        <v>0</v>
      </c>
      <c r="Y300" s="230">
        <f t="shared" si="169"/>
        <v>0</v>
      </c>
      <c r="Z300" s="292">
        <f t="shared" si="170"/>
        <v>0</v>
      </c>
      <c r="AA300" s="300"/>
      <c r="AB300" s="191">
        <f t="shared" si="171"/>
        <v>0</v>
      </c>
      <c r="AC300" s="139">
        <f t="shared" si="172"/>
        <v>0</v>
      </c>
      <c r="AD300" s="132">
        <f t="shared" si="173"/>
        <v>4.8200645004543796E-2</v>
      </c>
      <c r="AE300" s="168">
        <f t="shared" si="174"/>
        <v>6.6508372654315833E-4</v>
      </c>
      <c r="AF300" s="192">
        <f t="shared" si="175"/>
        <v>0</v>
      </c>
      <c r="AG300" s="192">
        <f t="shared" si="185"/>
        <v>3.6900498436357562E-3</v>
      </c>
      <c r="AH300" s="192">
        <f t="shared" si="176"/>
        <v>0</v>
      </c>
      <c r="AI300" s="168">
        <f t="shared" si="177"/>
        <v>3.2908072095685354E-20</v>
      </c>
      <c r="AJ300" s="192">
        <f t="shared" si="178"/>
        <v>1.0849166580635066E-20</v>
      </c>
      <c r="AK300" s="132">
        <f t="shared" si="179"/>
        <v>10.320871609521278</v>
      </c>
      <c r="AL300" s="192">
        <f t="shared" si="180"/>
        <v>0.14904929166451603</v>
      </c>
      <c r="AM300" s="192">
        <f t="shared" si="186"/>
        <v>0</v>
      </c>
      <c r="AN300" s="192">
        <f t="shared" si="181"/>
        <v>0</v>
      </c>
      <c r="AO300" s="192">
        <f t="shared" si="187"/>
        <v>0</v>
      </c>
      <c r="AS300" s="132"/>
      <c r="AT300" s="132"/>
      <c r="AU300" s="200"/>
      <c r="AV300" s="132"/>
      <c r="AW300" s="132"/>
      <c r="AX300" s="132"/>
      <c r="AY300" s="132"/>
      <c r="AZ300" s="132"/>
      <c r="BA300" s="167"/>
      <c r="BB300" s="167"/>
      <c r="BD300" s="211">
        <f t="shared" si="182"/>
        <v>42705</v>
      </c>
      <c r="BE300" s="210">
        <v>1</v>
      </c>
      <c r="BF300" s="209">
        <v>0.5</v>
      </c>
      <c r="BG300" s="209">
        <v>2</v>
      </c>
      <c r="BH300" s="210"/>
      <c r="BI300" s="209"/>
      <c r="BJ300" s="209"/>
      <c r="BK300" s="168">
        <f t="shared" si="183"/>
        <v>0</v>
      </c>
      <c r="BL300" s="168">
        <f t="shared" si="184"/>
        <v>0</v>
      </c>
    </row>
    <row r="301" spans="1:64" ht="13.5" thickBot="1" x14ac:dyDescent="0.25">
      <c r="A301" s="215">
        <f t="shared" si="151"/>
        <v>42706</v>
      </c>
      <c r="B301" s="190"/>
      <c r="C301" s="168"/>
      <c r="D301" s="198"/>
      <c r="E301" s="132">
        <f t="shared" si="152"/>
        <v>94.764793250790348</v>
      </c>
      <c r="F301" s="168">
        <f t="shared" si="153"/>
        <v>94.764793250790348</v>
      </c>
      <c r="G301" s="300"/>
      <c r="H301" s="127">
        <f>VLOOKUP(MONTH(A301),ETP_Parametros!$A$6:$D$17,4,FALSE)</f>
        <v>6.32258064516129</v>
      </c>
      <c r="I301" s="230">
        <f>VLOOKUP(A301,P_Q_obs!$A$4:$F$308,6,FALSE)*1</f>
        <v>0</v>
      </c>
      <c r="J301" s="230">
        <f t="shared" si="154"/>
        <v>0</v>
      </c>
      <c r="K301" s="230">
        <f t="shared" si="155"/>
        <v>0</v>
      </c>
      <c r="L301" s="230">
        <f t="shared" si="156"/>
        <v>0</v>
      </c>
      <c r="M301" s="230">
        <f t="shared" si="157"/>
        <v>0</v>
      </c>
      <c r="N301" s="230">
        <f t="shared" si="158"/>
        <v>0</v>
      </c>
      <c r="O301" s="230">
        <f t="shared" si="159"/>
        <v>0</v>
      </c>
      <c r="P301" s="230">
        <f t="shared" si="160"/>
        <v>0</v>
      </c>
      <c r="Q301" s="230">
        <f t="shared" si="161"/>
        <v>0</v>
      </c>
      <c r="R301" s="230">
        <f t="shared" si="162"/>
        <v>0</v>
      </c>
      <c r="S301" s="230">
        <f t="shared" si="163"/>
        <v>0</v>
      </c>
      <c r="T301" s="230">
        <f t="shared" si="164"/>
        <v>0</v>
      </c>
      <c r="U301" s="230">
        <f t="shared" si="165"/>
        <v>0</v>
      </c>
      <c r="V301" s="230">
        <f t="shared" si="166"/>
        <v>0</v>
      </c>
      <c r="W301" s="230">
        <f t="shared" si="167"/>
        <v>0</v>
      </c>
      <c r="X301" s="230">
        <f t="shared" si="168"/>
        <v>0</v>
      </c>
      <c r="Y301" s="230">
        <f t="shared" si="169"/>
        <v>0</v>
      </c>
      <c r="Z301" s="292">
        <f t="shared" si="170"/>
        <v>0</v>
      </c>
      <c r="AA301" s="300"/>
      <c r="AB301" s="191">
        <f t="shared" si="171"/>
        <v>0</v>
      </c>
      <c r="AC301" s="139">
        <f t="shared" si="172"/>
        <v>0</v>
      </c>
      <c r="AD301" s="132">
        <f t="shared" si="173"/>
        <v>4.4773001896611909E-2</v>
      </c>
      <c r="AE301" s="168">
        <f t="shared" si="174"/>
        <v>6.1778830858208304E-4</v>
      </c>
      <c r="AF301" s="192">
        <f t="shared" si="175"/>
        <v>0</v>
      </c>
      <c r="AG301" s="192">
        <f t="shared" si="185"/>
        <v>3.4276431079318889E-3</v>
      </c>
      <c r="AH301" s="192">
        <f t="shared" si="176"/>
        <v>0</v>
      </c>
      <c r="AI301" s="168">
        <f t="shared" si="177"/>
        <v>2.4748847089404373E-20</v>
      </c>
      <c r="AJ301" s="192">
        <f t="shared" si="178"/>
        <v>8.159225006280981E-21</v>
      </c>
      <c r="AK301" s="132">
        <f t="shared" si="179"/>
        <v>10.173944176422397</v>
      </c>
      <c r="AL301" s="192">
        <f t="shared" si="180"/>
        <v>0.14692743309888179</v>
      </c>
      <c r="AM301" s="192">
        <f t="shared" si="186"/>
        <v>0</v>
      </c>
      <c r="AN301" s="192">
        <f t="shared" si="181"/>
        <v>0</v>
      </c>
      <c r="AO301" s="192">
        <f t="shared" si="187"/>
        <v>0</v>
      </c>
      <c r="AS301" s="132"/>
      <c r="AT301" s="132"/>
      <c r="AU301" s="200"/>
      <c r="AV301" s="132"/>
      <c r="AW301" s="132"/>
      <c r="AX301" s="132"/>
      <c r="AY301" s="132"/>
      <c r="AZ301" s="132"/>
      <c r="BA301" s="167"/>
      <c r="BB301" s="167"/>
      <c r="BD301" s="211">
        <f t="shared" si="182"/>
        <v>42706</v>
      </c>
      <c r="BE301" s="210">
        <v>1</v>
      </c>
      <c r="BF301" s="209">
        <v>0.5</v>
      </c>
      <c r="BG301" s="209">
        <v>2</v>
      </c>
      <c r="BH301" s="210"/>
      <c r="BI301" s="209"/>
      <c r="BJ301" s="209"/>
      <c r="BK301" s="168">
        <f t="shared" si="183"/>
        <v>0</v>
      </c>
      <c r="BL301" s="168">
        <f t="shared" si="184"/>
        <v>0</v>
      </c>
    </row>
    <row r="302" spans="1:64" ht="13.5" thickBot="1" x14ac:dyDescent="0.25">
      <c r="A302" s="215">
        <f t="shared" si="151"/>
        <v>42707</v>
      </c>
      <c r="B302" s="190"/>
      <c r="C302" s="168"/>
      <c r="D302" s="198"/>
      <c r="E302" s="132">
        <f t="shared" si="152"/>
        <v>93.415726200325366</v>
      </c>
      <c r="F302" s="168">
        <f t="shared" si="153"/>
        <v>93.415726200325366</v>
      </c>
      <c r="G302" s="300"/>
      <c r="H302" s="127">
        <f>VLOOKUP(MONTH(A302),ETP_Parametros!$A$6:$D$17,4,FALSE)</f>
        <v>6.32258064516129</v>
      </c>
      <c r="I302" s="230">
        <f>VLOOKUP(A302,P_Q_obs!$A$4:$F$308,6,FALSE)*1</f>
        <v>0</v>
      </c>
      <c r="J302" s="230">
        <f t="shared" si="154"/>
        <v>0</v>
      </c>
      <c r="K302" s="230">
        <f t="shared" si="155"/>
        <v>0</v>
      </c>
      <c r="L302" s="230">
        <f t="shared" si="156"/>
        <v>0</v>
      </c>
      <c r="M302" s="230">
        <f t="shared" si="157"/>
        <v>0</v>
      </c>
      <c r="N302" s="230">
        <f t="shared" si="158"/>
        <v>0</v>
      </c>
      <c r="O302" s="230">
        <f t="shared" si="159"/>
        <v>0</v>
      </c>
      <c r="P302" s="230">
        <f t="shared" si="160"/>
        <v>0</v>
      </c>
      <c r="Q302" s="230">
        <f t="shared" si="161"/>
        <v>0</v>
      </c>
      <c r="R302" s="230">
        <f t="shared" si="162"/>
        <v>0</v>
      </c>
      <c r="S302" s="230">
        <f t="shared" si="163"/>
        <v>0</v>
      </c>
      <c r="T302" s="230">
        <f t="shared" si="164"/>
        <v>0</v>
      </c>
      <c r="U302" s="230">
        <f t="shared" si="165"/>
        <v>0</v>
      </c>
      <c r="V302" s="230">
        <f t="shared" si="166"/>
        <v>0</v>
      </c>
      <c r="W302" s="230">
        <f t="shared" si="167"/>
        <v>0</v>
      </c>
      <c r="X302" s="230">
        <f t="shared" si="168"/>
        <v>0</v>
      </c>
      <c r="Y302" s="230">
        <f t="shared" si="169"/>
        <v>0</v>
      </c>
      <c r="Z302" s="292">
        <f t="shared" si="170"/>
        <v>0</v>
      </c>
      <c r="AA302" s="300"/>
      <c r="AB302" s="191">
        <f t="shared" si="171"/>
        <v>0</v>
      </c>
      <c r="AC302" s="139">
        <f t="shared" si="172"/>
        <v>0</v>
      </c>
      <c r="AD302" s="132">
        <f t="shared" si="173"/>
        <v>4.1589105262907607E-2</v>
      </c>
      <c r="AE302" s="168">
        <f t="shared" si="174"/>
        <v>5.7385616124520282E-4</v>
      </c>
      <c r="AF302" s="192">
        <f t="shared" si="175"/>
        <v>0</v>
      </c>
      <c r="AG302" s="192">
        <f t="shared" si="185"/>
        <v>3.1838966337043046E-3</v>
      </c>
      <c r="AH302" s="192">
        <f t="shared" si="176"/>
        <v>0</v>
      </c>
      <c r="AI302" s="168">
        <f t="shared" si="177"/>
        <v>1.8612619738821654E-20</v>
      </c>
      <c r="AJ302" s="192">
        <f t="shared" si="178"/>
        <v>6.1362273505827191E-21</v>
      </c>
      <c r="AK302" s="132">
        <f t="shared" si="179"/>
        <v>10.029108395212404</v>
      </c>
      <c r="AL302" s="192">
        <f t="shared" si="180"/>
        <v>0.14483578120999374</v>
      </c>
      <c r="AM302" s="192">
        <f t="shared" si="186"/>
        <v>0</v>
      </c>
      <c r="AN302" s="192">
        <f t="shared" si="181"/>
        <v>0</v>
      </c>
      <c r="AO302" s="192">
        <f t="shared" si="187"/>
        <v>0</v>
      </c>
      <c r="AS302" s="132"/>
      <c r="AT302" s="132"/>
      <c r="AU302" s="200"/>
      <c r="AV302" s="132"/>
      <c r="AW302" s="132"/>
      <c r="AX302" s="132"/>
      <c r="AY302" s="132"/>
      <c r="AZ302" s="132"/>
      <c r="BA302" s="167"/>
      <c r="BB302" s="167"/>
      <c r="BD302" s="211">
        <f t="shared" si="182"/>
        <v>42707</v>
      </c>
      <c r="BE302" s="210">
        <v>1</v>
      </c>
      <c r="BF302" s="209">
        <v>0.5</v>
      </c>
      <c r="BG302" s="209">
        <v>2</v>
      </c>
      <c r="BH302" s="210"/>
      <c r="BI302" s="209"/>
      <c r="BJ302" s="209"/>
      <c r="BK302" s="168">
        <f t="shared" si="183"/>
        <v>0</v>
      </c>
      <c r="BL302" s="168">
        <f t="shared" si="184"/>
        <v>0</v>
      </c>
    </row>
    <row r="303" spans="1:64" ht="13.5" thickBot="1" x14ac:dyDescent="0.25">
      <c r="A303" s="215">
        <f t="shared" si="151"/>
        <v>42708</v>
      </c>
      <c r="B303" s="190"/>
      <c r="C303" s="168"/>
      <c r="D303" s="198"/>
      <c r="E303" s="132">
        <f t="shared" si="152"/>
        <v>92.085864403670513</v>
      </c>
      <c r="F303" s="168">
        <f t="shared" si="153"/>
        <v>92.085864403670513</v>
      </c>
      <c r="G303" s="300"/>
      <c r="H303" s="127">
        <f>VLOOKUP(MONTH(A303),ETP_Parametros!$A$6:$D$17,4,FALSE)</f>
        <v>6.32258064516129</v>
      </c>
      <c r="I303" s="230">
        <f>VLOOKUP(A303,P_Q_obs!$A$4:$F$308,6,FALSE)*1</f>
        <v>0</v>
      </c>
      <c r="J303" s="230">
        <f t="shared" si="154"/>
        <v>0</v>
      </c>
      <c r="K303" s="230">
        <f t="shared" si="155"/>
        <v>0</v>
      </c>
      <c r="L303" s="230">
        <f t="shared" si="156"/>
        <v>0</v>
      </c>
      <c r="M303" s="230">
        <f t="shared" si="157"/>
        <v>0</v>
      </c>
      <c r="N303" s="230">
        <f t="shared" si="158"/>
        <v>0</v>
      </c>
      <c r="O303" s="230">
        <f t="shared" si="159"/>
        <v>0</v>
      </c>
      <c r="P303" s="230">
        <f t="shared" si="160"/>
        <v>0</v>
      </c>
      <c r="Q303" s="230">
        <f t="shared" si="161"/>
        <v>0</v>
      </c>
      <c r="R303" s="230">
        <f t="shared" si="162"/>
        <v>0</v>
      </c>
      <c r="S303" s="230">
        <f t="shared" si="163"/>
        <v>0</v>
      </c>
      <c r="T303" s="230">
        <f t="shared" si="164"/>
        <v>0</v>
      </c>
      <c r="U303" s="230">
        <f t="shared" si="165"/>
        <v>0</v>
      </c>
      <c r="V303" s="230">
        <f t="shared" si="166"/>
        <v>0</v>
      </c>
      <c r="W303" s="230">
        <f t="shared" si="167"/>
        <v>0</v>
      </c>
      <c r="X303" s="230">
        <f t="shared" si="168"/>
        <v>0</v>
      </c>
      <c r="Y303" s="230">
        <f t="shared" si="169"/>
        <v>0</v>
      </c>
      <c r="Z303" s="292">
        <f t="shared" si="170"/>
        <v>0</v>
      </c>
      <c r="AA303" s="300"/>
      <c r="AB303" s="191">
        <f t="shared" si="171"/>
        <v>0</v>
      </c>
      <c r="AC303" s="139">
        <f t="shared" si="172"/>
        <v>0</v>
      </c>
      <c r="AD303" s="132">
        <f t="shared" si="173"/>
        <v>3.8631621810019771E-2</v>
      </c>
      <c r="AE303" s="168">
        <f t="shared" si="174"/>
        <v>5.3304811571280495E-4</v>
      </c>
      <c r="AF303" s="192">
        <f t="shared" si="175"/>
        <v>0</v>
      </c>
      <c r="AG303" s="192">
        <f t="shared" si="185"/>
        <v>2.9574834528878378E-3</v>
      </c>
      <c r="AH303" s="192">
        <f t="shared" si="176"/>
        <v>0</v>
      </c>
      <c r="AI303" s="168">
        <f t="shared" si="177"/>
        <v>1.399780815205283E-20</v>
      </c>
      <c r="AJ303" s="192">
        <f t="shared" si="178"/>
        <v>4.6148115867688253E-21</v>
      </c>
      <c r="AK303" s="132">
        <f t="shared" si="179"/>
        <v>9.8863344892353524</v>
      </c>
      <c r="AL303" s="192">
        <f t="shared" si="180"/>
        <v>0.14277390597705081</v>
      </c>
      <c r="AM303" s="192">
        <f t="shared" si="186"/>
        <v>0</v>
      </c>
      <c r="AN303" s="192">
        <f t="shared" si="181"/>
        <v>0</v>
      </c>
      <c r="AO303" s="192">
        <f t="shared" si="187"/>
        <v>0</v>
      </c>
      <c r="AS303" s="132"/>
      <c r="AT303" s="132"/>
      <c r="AU303" s="200"/>
      <c r="AV303" s="132"/>
      <c r="AW303" s="132"/>
      <c r="AX303" s="132"/>
      <c r="AY303" s="132"/>
      <c r="AZ303" s="132"/>
      <c r="BA303" s="167"/>
      <c r="BB303" s="167"/>
      <c r="BD303" s="211">
        <f t="shared" si="182"/>
        <v>42708</v>
      </c>
      <c r="BE303" s="210">
        <v>1</v>
      </c>
      <c r="BF303" s="209">
        <v>0.5</v>
      </c>
      <c r="BG303" s="209">
        <v>2</v>
      </c>
      <c r="BH303" s="210"/>
      <c r="BI303" s="209"/>
      <c r="BJ303" s="209"/>
      <c r="BK303" s="168">
        <f t="shared" si="183"/>
        <v>0</v>
      </c>
      <c r="BL303" s="168">
        <f t="shared" si="184"/>
        <v>0</v>
      </c>
    </row>
    <row r="304" spans="1:64" ht="13.5" thickBot="1" x14ac:dyDescent="0.25">
      <c r="A304" s="215">
        <f t="shared" si="151"/>
        <v>42709</v>
      </c>
      <c r="B304" s="190"/>
      <c r="C304" s="168"/>
      <c r="D304" s="198"/>
      <c r="E304" s="132">
        <f t="shared" si="152"/>
        <v>90.774934455753979</v>
      </c>
      <c r="F304" s="168">
        <f t="shared" si="153"/>
        <v>90.774934455753979</v>
      </c>
      <c r="G304" s="300"/>
      <c r="H304" s="127">
        <f>VLOOKUP(MONTH(A304),ETP_Parametros!$A$6:$D$17,4,FALSE)</f>
        <v>6.32258064516129</v>
      </c>
      <c r="I304" s="230">
        <f>VLOOKUP(A304,P_Q_obs!$A$4:$F$308,6,FALSE)*1</f>
        <v>0</v>
      </c>
      <c r="J304" s="230">
        <f t="shared" si="154"/>
        <v>0</v>
      </c>
      <c r="K304" s="230">
        <f t="shared" si="155"/>
        <v>0</v>
      </c>
      <c r="L304" s="230">
        <f t="shared" si="156"/>
        <v>0</v>
      </c>
      <c r="M304" s="230">
        <f t="shared" si="157"/>
        <v>0</v>
      </c>
      <c r="N304" s="230">
        <f t="shared" si="158"/>
        <v>0</v>
      </c>
      <c r="O304" s="230">
        <f t="shared" si="159"/>
        <v>0</v>
      </c>
      <c r="P304" s="230">
        <f t="shared" si="160"/>
        <v>0</v>
      </c>
      <c r="Q304" s="230">
        <f t="shared" si="161"/>
        <v>0</v>
      </c>
      <c r="R304" s="230">
        <f t="shared" si="162"/>
        <v>0</v>
      </c>
      <c r="S304" s="230">
        <f t="shared" si="163"/>
        <v>0</v>
      </c>
      <c r="T304" s="230">
        <f t="shared" si="164"/>
        <v>0</v>
      </c>
      <c r="U304" s="230">
        <f t="shared" si="165"/>
        <v>0</v>
      </c>
      <c r="V304" s="230">
        <f t="shared" si="166"/>
        <v>0</v>
      </c>
      <c r="W304" s="230">
        <f t="shared" si="167"/>
        <v>0</v>
      </c>
      <c r="X304" s="230">
        <f t="shared" si="168"/>
        <v>0</v>
      </c>
      <c r="Y304" s="230">
        <f t="shared" si="169"/>
        <v>0</v>
      </c>
      <c r="Z304" s="292">
        <f t="shared" si="170"/>
        <v>0</v>
      </c>
      <c r="AA304" s="300"/>
      <c r="AB304" s="191">
        <f t="shared" si="171"/>
        <v>0</v>
      </c>
      <c r="AC304" s="139">
        <f t="shared" si="172"/>
        <v>0</v>
      </c>
      <c r="AD304" s="132">
        <f t="shared" si="173"/>
        <v>3.5884450849281324E-2</v>
      </c>
      <c r="AE304" s="168">
        <f t="shared" si="174"/>
        <v>4.9514201093253001E-4</v>
      </c>
      <c r="AF304" s="192">
        <f t="shared" si="175"/>
        <v>0</v>
      </c>
      <c r="AG304" s="192">
        <f t="shared" si="185"/>
        <v>2.747170960738449E-3</v>
      </c>
      <c r="AH304" s="192">
        <f t="shared" si="176"/>
        <v>0</v>
      </c>
      <c r="AI304" s="168">
        <f t="shared" si="177"/>
        <v>1.0527192615072537E-20</v>
      </c>
      <c r="AJ304" s="192">
        <f t="shared" si="178"/>
        <v>3.4706155369802934E-21</v>
      </c>
      <c r="AK304" s="132">
        <f t="shared" si="179"/>
        <v>9.7455931057343452</v>
      </c>
      <c r="AL304" s="192">
        <f t="shared" si="180"/>
        <v>0.14074138350100751</v>
      </c>
      <c r="AM304" s="192">
        <f t="shared" si="186"/>
        <v>0</v>
      </c>
      <c r="AN304" s="192">
        <f t="shared" si="181"/>
        <v>0</v>
      </c>
      <c r="AO304" s="192">
        <f t="shared" si="187"/>
        <v>0</v>
      </c>
      <c r="AS304" s="132"/>
      <c r="AT304" s="132"/>
      <c r="AU304" s="200"/>
      <c r="AV304" s="132"/>
      <c r="AW304" s="132"/>
      <c r="AX304" s="132"/>
      <c r="AY304" s="132"/>
      <c r="AZ304" s="132"/>
      <c r="BA304" s="167"/>
      <c r="BB304" s="167"/>
      <c r="BD304" s="211">
        <f t="shared" si="182"/>
        <v>42709</v>
      </c>
      <c r="BE304" s="210">
        <v>1</v>
      </c>
      <c r="BF304" s="209">
        <v>0.5</v>
      </c>
      <c r="BG304" s="209">
        <v>2</v>
      </c>
      <c r="BH304" s="210"/>
      <c r="BI304" s="209"/>
      <c r="BJ304" s="209"/>
      <c r="BK304" s="168">
        <f t="shared" si="183"/>
        <v>0</v>
      </c>
      <c r="BL304" s="168">
        <f t="shared" si="184"/>
        <v>0</v>
      </c>
    </row>
    <row r="305" spans="1:64" ht="13.5" thickBot="1" x14ac:dyDescent="0.25">
      <c r="A305" s="215">
        <f t="shared" si="151"/>
        <v>42710</v>
      </c>
      <c r="B305" s="190"/>
      <c r="C305" s="168"/>
      <c r="D305" s="198"/>
      <c r="E305" s="132">
        <f t="shared" si="152"/>
        <v>89.482666843685323</v>
      </c>
      <c r="F305" s="168">
        <f t="shared" si="153"/>
        <v>89.482666843685323</v>
      </c>
      <c r="G305" s="300"/>
      <c r="H305" s="127">
        <f>VLOOKUP(MONTH(A305),ETP_Parametros!$A$6:$D$17,4,FALSE)</f>
        <v>6.32258064516129</v>
      </c>
      <c r="I305" s="230">
        <f>VLOOKUP(A305,P_Q_obs!$A$4:$F$308,6,FALSE)*1</f>
        <v>0</v>
      </c>
      <c r="J305" s="230">
        <f t="shared" si="154"/>
        <v>0</v>
      </c>
      <c r="K305" s="230">
        <f t="shared" si="155"/>
        <v>0</v>
      </c>
      <c r="L305" s="230">
        <f t="shared" si="156"/>
        <v>0</v>
      </c>
      <c r="M305" s="230">
        <f t="shared" si="157"/>
        <v>0</v>
      </c>
      <c r="N305" s="230">
        <f t="shared" si="158"/>
        <v>0</v>
      </c>
      <c r="O305" s="230">
        <f t="shared" si="159"/>
        <v>0</v>
      </c>
      <c r="P305" s="230">
        <f t="shared" si="160"/>
        <v>0</v>
      </c>
      <c r="Q305" s="230">
        <f t="shared" si="161"/>
        <v>0</v>
      </c>
      <c r="R305" s="230">
        <f t="shared" si="162"/>
        <v>0</v>
      </c>
      <c r="S305" s="230">
        <f t="shared" si="163"/>
        <v>0</v>
      </c>
      <c r="T305" s="230">
        <f t="shared" si="164"/>
        <v>0</v>
      </c>
      <c r="U305" s="230">
        <f t="shared" si="165"/>
        <v>0</v>
      </c>
      <c r="V305" s="230">
        <f t="shared" si="166"/>
        <v>0</v>
      </c>
      <c r="W305" s="230">
        <f t="shared" si="167"/>
        <v>0</v>
      </c>
      <c r="X305" s="230">
        <f t="shared" si="168"/>
        <v>0</v>
      </c>
      <c r="Y305" s="230">
        <f t="shared" si="169"/>
        <v>0</v>
      </c>
      <c r="Z305" s="292">
        <f t="shared" si="170"/>
        <v>0</v>
      </c>
      <c r="AA305" s="300"/>
      <c r="AB305" s="191">
        <f t="shared" si="171"/>
        <v>0</v>
      </c>
      <c r="AC305" s="139">
        <f t="shared" si="172"/>
        <v>0</v>
      </c>
      <c r="AD305" s="132">
        <f t="shared" si="173"/>
        <v>3.3332636643810323E-2</v>
      </c>
      <c r="AE305" s="168">
        <f t="shared" si="174"/>
        <v>4.5993148416342909E-4</v>
      </c>
      <c r="AF305" s="192">
        <f t="shared" si="175"/>
        <v>0</v>
      </c>
      <c r="AG305" s="192">
        <f t="shared" si="185"/>
        <v>2.5518142054710021E-3</v>
      </c>
      <c r="AH305" s="192">
        <f t="shared" si="176"/>
        <v>0</v>
      </c>
      <c r="AI305" s="168">
        <f t="shared" si="177"/>
        <v>7.9170812423647437E-21</v>
      </c>
      <c r="AJ305" s="192">
        <f t="shared" si="178"/>
        <v>2.6101113727077932E-21</v>
      </c>
      <c r="AK305" s="132">
        <f t="shared" si="179"/>
        <v>9.60685530981692</v>
      </c>
      <c r="AL305" s="192">
        <f t="shared" si="180"/>
        <v>0.13873779591742477</v>
      </c>
      <c r="AM305" s="192">
        <f t="shared" si="186"/>
        <v>0</v>
      </c>
      <c r="AN305" s="192">
        <f t="shared" si="181"/>
        <v>0</v>
      </c>
      <c r="AO305" s="192">
        <f t="shared" si="187"/>
        <v>0</v>
      </c>
      <c r="AS305" s="132"/>
      <c r="AT305" s="132"/>
      <c r="AU305" s="200"/>
      <c r="AV305" s="132"/>
      <c r="AW305" s="132"/>
      <c r="AX305" s="132"/>
      <c r="AY305" s="132"/>
      <c r="AZ305" s="132"/>
      <c r="BA305" s="167"/>
      <c r="BB305" s="167"/>
      <c r="BD305" s="211">
        <f t="shared" si="182"/>
        <v>42710</v>
      </c>
      <c r="BE305" s="210">
        <v>1</v>
      </c>
      <c r="BF305" s="209">
        <v>0.5</v>
      </c>
      <c r="BG305" s="209">
        <v>2</v>
      </c>
      <c r="BH305" s="210"/>
      <c r="BI305" s="209"/>
      <c r="BJ305" s="209"/>
      <c r="BK305" s="168">
        <f t="shared" si="183"/>
        <v>0</v>
      </c>
      <c r="BL305" s="168">
        <f t="shared" si="184"/>
        <v>0</v>
      </c>
    </row>
    <row r="306" spans="1:64" ht="13.5" thickBot="1" x14ac:dyDescent="0.25">
      <c r="A306" s="215">
        <f t="shared" si="151"/>
        <v>42711</v>
      </c>
      <c r="B306" s="190"/>
      <c r="C306" s="168"/>
      <c r="D306" s="198"/>
      <c r="E306" s="132">
        <f t="shared" si="152"/>
        <v>88.208795891346767</v>
      </c>
      <c r="F306" s="168">
        <f t="shared" si="153"/>
        <v>88.208795891346767</v>
      </c>
      <c r="G306" s="300"/>
      <c r="H306" s="127">
        <f>VLOOKUP(MONTH(A306),ETP_Parametros!$A$6:$D$17,4,FALSE)</f>
        <v>6.32258064516129</v>
      </c>
      <c r="I306" s="230">
        <f>VLOOKUP(A306,P_Q_obs!$A$4:$F$308,6,FALSE)*1</f>
        <v>0</v>
      </c>
      <c r="J306" s="230">
        <f t="shared" si="154"/>
        <v>0</v>
      </c>
      <c r="K306" s="230">
        <f t="shared" si="155"/>
        <v>0</v>
      </c>
      <c r="L306" s="230">
        <f t="shared" si="156"/>
        <v>0</v>
      </c>
      <c r="M306" s="230">
        <f t="shared" si="157"/>
        <v>0</v>
      </c>
      <c r="N306" s="230">
        <f t="shared" si="158"/>
        <v>0</v>
      </c>
      <c r="O306" s="230">
        <f t="shared" si="159"/>
        <v>0</v>
      </c>
      <c r="P306" s="230">
        <f t="shared" si="160"/>
        <v>0</v>
      </c>
      <c r="Q306" s="230">
        <f t="shared" si="161"/>
        <v>0</v>
      </c>
      <c r="R306" s="230">
        <f t="shared" si="162"/>
        <v>0</v>
      </c>
      <c r="S306" s="230">
        <f t="shared" si="163"/>
        <v>0</v>
      </c>
      <c r="T306" s="230">
        <f t="shared" si="164"/>
        <v>0</v>
      </c>
      <c r="U306" s="230">
        <f t="shared" si="165"/>
        <v>0</v>
      </c>
      <c r="V306" s="230">
        <f t="shared" si="166"/>
        <v>0</v>
      </c>
      <c r="W306" s="230">
        <f t="shared" si="167"/>
        <v>0</v>
      </c>
      <c r="X306" s="230">
        <f t="shared" si="168"/>
        <v>0</v>
      </c>
      <c r="Y306" s="230">
        <f t="shared" si="169"/>
        <v>0</v>
      </c>
      <c r="Z306" s="292">
        <f t="shared" si="170"/>
        <v>0</v>
      </c>
      <c r="AA306" s="300"/>
      <c r="AB306" s="191">
        <f t="shared" si="171"/>
        <v>0</v>
      </c>
      <c r="AC306" s="139">
        <f t="shared" si="172"/>
        <v>0</v>
      </c>
      <c r="AD306" s="132">
        <f t="shared" si="173"/>
        <v>3.0962286988726165E-2</v>
      </c>
      <c r="AE306" s="168">
        <f t="shared" si="174"/>
        <v>4.2722484752682289E-4</v>
      </c>
      <c r="AF306" s="192">
        <f t="shared" si="175"/>
        <v>0</v>
      </c>
      <c r="AG306" s="192">
        <f t="shared" si="185"/>
        <v>2.3703496550841591E-3</v>
      </c>
      <c r="AH306" s="192">
        <f t="shared" si="176"/>
        <v>0</v>
      </c>
      <c r="AI306" s="168">
        <f t="shared" si="177"/>
        <v>5.9541206939122563E-21</v>
      </c>
      <c r="AJ306" s="192">
        <f t="shared" si="178"/>
        <v>1.9629605484524873E-21</v>
      </c>
      <c r="AK306" s="132">
        <f t="shared" si="179"/>
        <v>9.4700925785063585</v>
      </c>
      <c r="AL306" s="192">
        <f t="shared" si="180"/>
        <v>0.13676273131056169</v>
      </c>
      <c r="AM306" s="192">
        <f t="shared" si="186"/>
        <v>0</v>
      </c>
      <c r="AN306" s="192">
        <f t="shared" si="181"/>
        <v>0</v>
      </c>
      <c r="AO306" s="192">
        <f t="shared" si="187"/>
        <v>0</v>
      </c>
      <c r="AS306" s="132"/>
      <c r="AT306" s="132"/>
      <c r="AU306" s="200"/>
      <c r="AV306" s="132"/>
      <c r="AW306" s="132"/>
      <c r="AX306" s="132"/>
      <c r="AY306" s="132"/>
      <c r="AZ306" s="132"/>
      <c r="BA306" s="167"/>
      <c r="BB306" s="167"/>
      <c r="BD306" s="211">
        <f t="shared" si="182"/>
        <v>42711</v>
      </c>
      <c r="BE306" s="210">
        <v>1</v>
      </c>
      <c r="BF306" s="209">
        <v>0.5</v>
      </c>
      <c r="BG306" s="209">
        <v>2</v>
      </c>
      <c r="BH306" s="210"/>
      <c r="BI306" s="209"/>
      <c r="BJ306" s="209"/>
      <c r="BK306" s="168">
        <f t="shared" si="183"/>
        <v>0</v>
      </c>
      <c r="BL306" s="168">
        <f t="shared" si="184"/>
        <v>0</v>
      </c>
    </row>
    <row r="307" spans="1:64" ht="13.5" thickBot="1" x14ac:dyDescent="0.25">
      <c r="A307" s="215">
        <f t="shared" si="151"/>
        <v>42712</v>
      </c>
      <c r="B307" s="190"/>
      <c r="C307" s="168"/>
      <c r="D307" s="198"/>
      <c r="E307" s="132">
        <f t="shared" si="152"/>
        <v>86.953059704772883</v>
      </c>
      <c r="F307" s="168">
        <f t="shared" si="153"/>
        <v>86.953059704772883</v>
      </c>
      <c r="G307" s="300"/>
      <c r="H307" s="127">
        <f>VLOOKUP(MONTH(A307),ETP_Parametros!$A$6:$D$17,4,FALSE)</f>
        <v>6.32258064516129</v>
      </c>
      <c r="I307" s="230">
        <f>VLOOKUP(A307,P_Q_obs!$A$4:$F$308,6,FALSE)*1</f>
        <v>0</v>
      </c>
      <c r="J307" s="230">
        <f t="shared" si="154"/>
        <v>0</v>
      </c>
      <c r="K307" s="230">
        <f t="shared" si="155"/>
        <v>0</v>
      </c>
      <c r="L307" s="230">
        <f t="shared" si="156"/>
        <v>0</v>
      </c>
      <c r="M307" s="230">
        <f t="shared" si="157"/>
        <v>0</v>
      </c>
      <c r="N307" s="230">
        <f t="shared" si="158"/>
        <v>0</v>
      </c>
      <c r="O307" s="230">
        <f t="shared" si="159"/>
        <v>0</v>
      </c>
      <c r="P307" s="230">
        <f t="shared" si="160"/>
        <v>0</v>
      </c>
      <c r="Q307" s="230">
        <f t="shared" si="161"/>
        <v>0</v>
      </c>
      <c r="R307" s="230">
        <f t="shared" si="162"/>
        <v>0</v>
      </c>
      <c r="S307" s="230">
        <f t="shared" si="163"/>
        <v>0</v>
      </c>
      <c r="T307" s="230">
        <f t="shared" si="164"/>
        <v>0</v>
      </c>
      <c r="U307" s="230">
        <f t="shared" si="165"/>
        <v>0</v>
      </c>
      <c r="V307" s="230">
        <f t="shared" si="166"/>
        <v>0</v>
      </c>
      <c r="W307" s="230">
        <f t="shared" si="167"/>
        <v>0</v>
      </c>
      <c r="X307" s="230">
        <f t="shared" si="168"/>
        <v>0</v>
      </c>
      <c r="Y307" s="230">
        <f t="shared" si="169"/>
        <v>0</v>
      </c>
      <c r="Z307" s="292">
        <f t="shared" si="170"/>
        <v>0</v>
      </c>
      <c r="AA307" s="300"/>
      <c r="AB307" s="191">
        <f t="shared" si="171"/>
        <v>0</v>
      </c>
      <c r="AC307" s="139">
        <f t="shared" si="172"/>
        <v>0</v>
      </c>
      <c r="AD307" s="132">
        <f t="shared" si="173"/>
        <v>2.876049758128749E-2</v>
      </c>
      <c r="AE307" s="168">
        <f t="shared" si="174"/>
        <v>3.9684404444784909E-4</v>
      </c>
      <c r="AF307" s="192">
        <f t="shared" si="175"/>
        <v>0</v>
      </c>
      <c r="AG307" s="192">
        <f t="shared" si="185"/>
        <v>2.2017894074386752E-3</v>
      </c>
      <c r="AH307" s="192">
        <f t="shared" si="176"/>
        <v>0</v>
      </c>
      <c r="AI307" s="168">
        <f t="shared" si="177"/>
        <v>4.4778564413323091E-21</v>
      </c>
      <c r="AJ307" s="192">
        <f t="shared" si="178"/>
        <v>1.476264252579947E-21</v>
      </c>
      <c r="AK307" s="132">
        <f t="shared" si="179"/>
        <v>9.335276794877668</v>
      </c>
      <c r="AL307" s="192">
        <f t="shared" si="180"/>
        <v>0.13481578362868998</v>
      </c>
      <c r="AM307" s="192">
        <f t="shared" si="186"/>
        <v>0</v>
      </c>
      <c r="AN307" s="192">
        <f t="shared" si="181"/>
        <v>0</v>
      </c>
      <c r="AO307" s="192">
        <f t="shared" si="187"/>
        <v>0</v>
      </c>
      <c r="AS307" s="132"/>
      <c r="AT307" s="132"/>
      <c r="AU307" s="200"/>
      <c r="AV307" s="132"/>
      <c r="AW307" s="132"/>
      <c r="AX307" s="132"/>
      <c r="AY307" s="132"/>
      <c r="AZ307" s="132"/>
      <c r="BA307" s="167"/>
      <c r="BB307" s="167"/>
      <c r="BD307" s="211">
        <f t="shared" si="182"/>
        <v>42712</v>
      </c>
      <c r="BE307" s="210">
        <v>1</v>
      </c>
      <c r="BF307" s="209">
        <v>0.5</v>
      </c>
      <c r="BG307" s="209">
        <v>2</v>
      </c>
      <c r="BH307" s="210"/>
      <c r="BI307" s="209"/>
      <c r="BJ307" s="209"/>
      <c r="BK307" s="168">
        <f t="shared" si="183"/>
        <v>0</v>
      </c>
      <c r="BL307" s="168">
        <f t="shared" si="184"/>
        <v>0</v>
      </c>
    </row>
    <row r="308" spans="1:64" ht="13.5" thickBot="1" x14ac:dyDescent="0.25">
      <c r="A308" s="215">
        <f t="shared" si="151"/>
        <v>42713</v>
      </c>
      <c r="B308" s="190"/>
      <c r="C308" s="168"/>
      <c r="D308" s="198"/>
      <c r="E308" s="132">
        <f t="shared" si="152"/>
        <v>85.715200118308289</v>
      </c>
      <c r="F308" s="168">
        <f t="shared" si="153"/>
        <v>85.715200118308289</v>
      </c>
      <c r="G308" s="300"/>
      <c r="H308" s="127">
        <f>VLOOKUP(MONTH(A308),ETP_Parametros!$A$6:$D$17,4,FALSE)</f>
        <v>6.32258064516129</v>
      </c>
      <c r="I308" s="230">
        <f>VLOOKUP(A308,P_Q_obs!$A$4:$F$308,6,FALSE)*1</f>
        <v>0</v>
      </c>
      <c r="J308" s="230">
        <f t="shared" si="154"/>
        <v>0</v>
      </c>
      <c r="K308" s="230">
        <f t="shared" si="155"/>
        <v>0</v>
      </c>
      <c r="L308" s="230">
        <f t="shared" si="156"/>
        <v>0</v>
      </c>
      <c r="M308" s="230">
        <f t="shared" si="157"/>
        <v>0</v>
      </c>
      <c r="N308" s="230">
        <f t="shared" si="158"/>
        <v>0</v>
      </c>
      <c r="O308" s="230">
        <f t="shared" si="159"/>
        <v>0</v>
      </c>
      <c r="P308" s="230">
        <f t="shared" si="160"/>
        <v>0</v>
      </c>
      <c r="Q308" s="230">
        <f t="shared" si="161"/>
        <v>0</v>
      </c>
      <c r="R308" s="230">
        <f t="shared" si="162"/>
        <v>0</v>
      </c>
      <c r="S308" s="230">
        <f t="shared" si="163"/>
        <v>0</v>
      </c>
      <c r="T308" s="230">
        <f t="shared" si="164"/>
        <v>0</v>
      </c>
      <c r="U308" s="230">
        <f t="shared" si="165"/>
        <v>0</v>
      </c>
      <c r="V308" s="230">
        <f t="shared" si="166"/>
        <v>0</v>
      </c>
      <c r="W308" s="230">
        <f t="shared" si="167"/>
        <v>0</v>
      </c>
      <c r="X308" s="230">
        <f t="shared" si="168"/>
        <v>0</v>
      </c>
      <c r="Y308" s="230">
        <f t="shared" si="169"/>
        <v>0</v>
      </c>
      <c r="Z308" s="292">
        <f t="shared" si="170"/>
        <v>0</v>
      </c>
      <c r="AA308" s="300"/>
      <c r="AB308" s="191">
        <f t="shared" si="171"/>
        <v>0</v>
      </c>
      <c r="AC308" s="139">
        <f t="shared" si="172"/>
        <v>0</v>
      </c>
      <c r="AD308" s="132">
        <f t="shared" si="173"/>
        <v>2.6715281769219026E-2</v>
      </c>
      <c r="AE308" s="168">
        <f t="shared" si="174"/>
        <v>3.6862368030651327E-4</v>
      </c>
      <c r="AF308" s="192">
        <f t="shared" si="175"/>
        <v>0</v>
      </c>
      <c r="AG308" s="192">
        <f t="shared" si="185"/>
        <v>2.0452158120684645E-3</v>
      </c>
      <c r="AH308" s="192">
        <f t="shared" si="176"/>
        <v>0</v>
      </c>
      <c r="AI308" s="168">
        <f t="shared" si="177"/>
        <v>3.3676170403603747E-21</v>
      </c>
      <c r="AJ308" s="192">
        <f t="shared" si="178"/>
        <v>1.1102394009719346E-21</v>
      </c>
      <c r="AK308" s="132">
        <f t="shared" si="179"/>
        <v>9.2023802422770533</v>
      </c>
      <c r="AL308" s="192">
        <f t="shared" si="180"/>
        <v>0.13289655260061439</v>
      </c>
      <c r="AM308" s="192">
        <f t="shared" si="186"/>
        <v>0</v>
      </c>
      <c r="AN308" s="192">
        <f t="shared" si="181"/>
        <v>0</v>
      </c>
      <c r="AO308" s="192">
        <f t="shared" si="187"/>
        <v>0</v>
      </c>
      <c r="AS308" s="132"/>
      <c r="AT308" s="132"/>
      <c r="AU308" s="200"/>
      <c r="AV308" s="132"/>
      <c r="AW308" s="132"/>
      <c r="AX308" s="132"/>
      <c r="AY308" s="132"/>
      <c r="AZ308" s="132"/>
      <c r="BA308" s="167"/>
      <c r="BB308" s="167"/>
      <c r="BD308" s="211">
        <f t="shared" si="182"/>
        <v>42713</v>
      </c>
      <c r="BE308" s="210">
        <v>1</v>
      </c>
      <c r="BF308" s="209">
        <v>0.5</v>
      </c>
      <c r="BG308" s="209">
        <v>2</v>
      </c>
      <c r="BH308" s="210"/>
      <c r="BI308" s="209"/>
      <c r="BJ308" s="209"/>
      <c r="BK308" s="168">
        <f t="shared" si="183"/>
        <v>0</v>
      </c>
      <c r="BL308" s="168">
        <f t="shared" si="184"/>
        <v>0</v>
      </c>
    </row>
    <row r="309" spans="1:64" ht="13.5" thickBot="1" x14ac:dyDescent="0.25">
      <c r="A309" s="215">
        <f t="shared" si="151"/>
        <v>42714</v>
      </c>
      <c r="B309" s="190"/>
      <c r="C309" s="168"/>
      <c r="D309" s="198"/>
      <c r="E309" s="132">
        <f t="shared" si="152"/>
        <v>84.494962641531444</v>
      </c>
      <c r="F309" s="168">
        <f t="shared" si="153"/>
        <v>84.494962641531444</v>
      </c>
      <c r="G309" s="300"/>
      <c r="H309" s="127">
        <f>VLOOKUP(MONTH(A309),ETP_Parametros!$A$6:$D$17,4,FALSE)</f>
        <v>6.32258064516129</v>
      </c>
      <c r="I309" s="230">
        <f>VLOOKUP(A309,P_Q_obs!$A$4:$F$308,6,FALSE)*1</f>
        <v>0</v>
      </c>
      <c r="J309" s="230">
        <f t="shared" si="154"/>
        <v>0</v>
      </c>
      <c r="K309" s="230">
        <f t="shared" si="155"/>
        <v>0</v>
      </c>
      <c r="L309" s="230">
        <f t="shared" si="156"/>
        <v>0</v>
      </c>
      <c r="M309" s="230">
        <f t="shared" si="157"/>
        <v>0</v>
      </c>
      <c r="N309" s="230">
        <f t="shared" si="158"/>
        <v>0</v>
      </c>
      <c r="O309" s="230">
        <f t="shared" si="159"/>
        <v>0</v>
      </c>
      <c r="P309" s="230">
        <f t="shared" si="160"/>
        <v>0</v>
      </c>
      <c r="Q309" s="230">
        <f t="shared" si="161"/>
        <v>0</v>
      </c>
      <c r="R309" s="230">
        <f t="shared" si="162"/>
        <v>0</v>
      </c>
      <c r="S309" s="230">
        <f t="shared" si="163"/>
        <v>0</v>
      </c>
      <c r="T309" s="230">
        <f t="shared" si="164"/>
        <v>0</v>
      </c>
      <c r="U309" s="230">
        <f t="shared" si="165"/>
        <v>0</v>
      </c>
      <c r="V309" s="230">
        <f t="shared" si="166"/>
        <v>0</v>
      </c>
      <c r="W309" s="230">
        <f t="shared" si="167"/>
        <v>0</v>
      </c>
      <c r="X309" s="230">
        <f t="shared" si="168"/>
        <v>0</v>
      </c>
      <c r="Y309" s="230">
        <f t="shared" si="169"/>
        <v>0</v>
      </c>
      <c r="Z309" s="292">
        <f t="shared" si="170"/>
        <v>0</v>
      </c>
      <c r="AA309" s="300"/>
      <c r="AB309" s="191">
        <f t="shared" si="171"/>
        <v>0</v>
      </c>
      <c r="AC309" s="139">
        <f t="shared" si="172"/>
        <v>0</v>
      </c>
      <c r="AD309" s="132">
        <f t="shared" si="173"/>
        <v>2.4815505294773717E-2</v>
      </c>
      <c r="AE309" s="168">
        <f t="shared" si="174"/>
        <v>3.4241012202105881E-4</v>
      </c>
      <c r="AF309" s="192">
        <f t="shared" si="175"/>
        <v>0</v>
      </c>
      <c r="AG309" s="192">
        <f t="shared" si="185"/>
        <v>1.8997764744453074E-3</v>
      </c>
      <c r="AH309" s="192">
        <f t="shared" si="176"/>
        <v>0</v>
      </c>
      <c r="AI309" s="168">
        <f t="shared" si="177"/>
        <v>2.5326503158621351E-21</v>
      </c>
      <c r="AJ309" s="192">
        <f t="shared" si="178"/>
        <v>8.3496672449823957E-22</v>
      </c>
      <c r="AK309" s="132">
        <f t="shared" si="179"/>
        <v>9.071375598623673</v>
      </c>
      <c r="AL309" s="192">
        <f t="shared" si="180"/>
        <v>0.13100464365338113</v>
      </c>
      <c r="AM309" s="192">
        <f t="shared" si="186"/>
        <v>0</v>
      </c>
      <c r="AN309" s="192">
        <f t="shared" si="181"/>
        <v>0</v>
      </c>
      <c r="AO309" s="192">
        <f t="shared" si="187"/>
        <v>0</v>
      </c>
      <c r="AS309" s="132"/>
      <c r="AT309" s="132"/>
      <c r="AU309" s="200"/>
      <c r="AV309" s="132"/>
      <c r="AW309" s="132"/>
      <c r="AX309" s="132"/>
      <c r="AY309" s="132"/>
      <c r="AZ309" s="132"/>
      <c r="BA309" s="167"/>
      <c r="BB309" s="167"/>
      <c r="BD309" s="211">
        <f t="shared" si="182"/>
        <v>42714</v>
      </c>
      <c r="BE309" s="210">
        <v>1</v>
      </c>
      <c r="BF309" s="209">
        <v>0.5</v>
      </c>
      <c r="BG309" s="209">
        <v>2</v>
      </c>
      <c r="BH309" s="210"/>
      <c r="BI309" s="209"/>
      <c r="BJ309" s="209"/>
      <c r="BK309" s="168">
        <f t="shared" si="183"/>
        <v>0</v>
      </c>
      <c r="BL309" s="168">
        <f t="shared" si="184"/>
        <v>0</v>
      </c>
    </row>
    <row r="310" spans="1:64" ht="13.5" thickBot="1" x14ac:dyDescent="0.25">
      <c r="A310" s="215">
        <f t="shared" si="151"/>
        <v>42715</v>
      </c>
      <c r="B310" s="190"/>
      <c r="C310" s="168"/>
      <c r="D310" s="198"/>
      <c r="E310" s="132">
        <f t="shared" si="152"/>
        <v>83.292096406934249</v>
      </c>
      <c r="F310" s="168">
        <f t="shared" si="153"/>
        <v>83.292096406934249</v>
      </c>
      <c r="G310" s="300"/>
      <c r="H310" s="127">
        <f>VLOOKUP(MONTH(A310),ETP_Parametros!$A$6:$D$17,4,FALSE)</f>
        <v>6.32258064516129</v>
      </c>
      <c r="I310" s="230">
        <f>VLOOKUP(A310,P_Q_obs!$A$4:$F$308,6,FALSE)*1</f>
        <v>0</v>
      </c>
      <c r="J310" s="230">
        <f t="shared" si="154"/>
        <v>0</v>
      </c>
      <c r="K310" s="230">
        <f t="shared" si="155"/>
        <v>0</v>
      </c>
      <c r="L310" s="230">
        <f t="shared" si="156"/>
        <v>0</v>
      </c>
      <c r="M310" s="230">
        <f t="shared" si="157"/>
        <v>0</v>
      </c>
      <c r="N310" s="230">
        <f t="shared" si="158"/>
        <v>0</v>
      </c>
      <c r="O310" s="230">
        <f t="shared" si="159"/>
        <v>0</v>
      </c>
      <c r="P310" s="230">
        <f t="shared" si="160"/>
        <v>0</v>
      </c>
      <c r="Q310" s="230">
        <f t="shared" si="161"/>
        <v>0</v>
      </c>
      <c r="R310" s="230">
        <f t="shared" si="162"/>
        <v>0</v>
      </c>
      <c r="S310" s="230">
        <f t="shared" si="163"/>
        <v>0</v>
      </c>
      <c r="T310" s="230">
        <f t="shared" si="164"/>
        <v>0</v>
      </c>
      <c r="U310" s="230">
        <f t="shared" si="165"/>
        <v>0</v>
      </c>
      <c r="V310" s="230">
        <f t="shared" si="166"/>
        <v>0</v>
      </c>
      <c r="W310" s="230">
        <f t="shared" si="167"/>
        <v>0</v>
      </c>
      <c r="X310" s="230">
        <f t="shared" si="168"/>
        <v>0</v>
      </c>
      <c r="Y310" s="230">
        <f t="shared" si="169"/>
        <v>0</v>
      </c>
      <c r="Z310" s="292">
        <f t="shared" si="170"/>
        <v>0</v>
      </c>
      <c r="AA310" s="300"/>
      <c r="AB310" s="191">
        <f t="shared" si="171"/>
        <v>0</v>
      </c>
      <c r="AC310" s="139">
        <f t="shared" si="172"/>
        <v>0</v>
      </c>
      <c r="AD310" s="132">
        <f t="shared" si="173"/>
        <v>2.3050825679273551E-2</v>
      </c>
      <c r="AE310" s="168">
        <f t="shared" si="174"/>
        <v>3.1806066166174287E-4</v>
      </c>
      <c r="AF310" s="192">
        <f t="shared" si="175"/>
        <v>0</v>
      </c>
      <c r="AG310" s="192">
        <f t="shared" si="185"/>
        <v>1.7646796155001679E-3</v>
      </c>
      <c r="AH310" s="192">
        <f t="shared" si="176"/>
        <v>0</v>
      </c>
      <c r="AI310" s="168">
        <f t="shared" si="177"/>
        <v>1.9047051804174758E-21</v>
      </c>
      <c r="AJ310" s="192">
        <f t="shared" si="178"/>
        <v>6.2794513544465947E-22</v>
      </c>
      <c r="AK310" s="132">
        <f t="shared" si="179"/>
        <v>8.9422359307925152</v>
      </c>
      <c r="AL310" s="192">
        <f t="shared" si="180"/>
        <v>0.12913966783115816</v>
      </c>
      <c r="AM310" s="192">
        <f t="shared" si="186"/>
        <v>0</v>
      </c>
      <c r="AN310" s="192">
        <f t="shared" si="181"/>
        <v>0</v>
      </c>
      <c r="AO310" s="192">
        <f t="shared" si="187"/>
        <v>0</v>
      </c>
      <c r="AS310" s="132"/>
      <c r="AT310" s="132"/>
      <c r="AU310" s="200"/>
      <c r="AV310" s="132"/>
      <c r="AW310" s="132"/>
      <c r="AX310" s="132"/>
      <c r="AY310" s="132"/>
      <c r="AZ310" s="132"/>
      <c r="BA310" s="167"/>
      <c r="BB310" s="167"/>
      <c r="BD310" s="211">
        <f t="shared" si="182"/>
        <v>42715</v>
      </c>
      <c r="BE310" s="210">
        <v>1</v>
      </c>
      <c r="BF310" s="209">
        <v>0.5</v>
      </c>
      <c r="BG310" s="209">
        <v>2</v>
      </c>
      <c r="BH310" s="210"/>
      <c r="BI310" s="209"/>
      <c r="BJ310" s="209"/>
      <c r="BK310" s="168">
        <f t="shared" si="183"/>
        <v>0</v>
      </c>
      <c r="BL310" s="168">
        <f t="shared" si="184"/>
        <v>0</v>
      </c>
    </row>
    <row r="311" spans="1:64" ht="13.5" thickBot="1" x14ac:dyDescent="0.25">
      <c r="A311" s="215">
        <f t="shared" ref="A311:A325" si="188">A310+1</f>
        <v>42716</v>
      </c>
      <c r="B311" s="190"/>
      <c r="C311" s="168"/>
      <c r="D311" s="198"/>
      <c r="E311" s="132">
        <f t="shared" si="152"/>
        <v>82.10635411834636</v>
      </c>
      <c r="F311" s="168">
        <f t="shared" si="153"/>
        <v>82.10635411834636</v>
      </c>
      <c r="G311" s="300"/>
      <c r="H311" s="127">
        <f>VLOOKUP(MONTH(A311),ETP_Parametros!$A$6:$D$17,4,FALSE)</f>
        <v>6.32258064516129</v>
      </c>
      <c r="I311" s="230">
        <f>VLOOKUP(A311,P_Q_obs!$A$4:$F$308,6,FALSE)*1</f>
        <v>0</v>
      </c>
      <c r="J311" s="230">
        <f t="shared" si="154"/>
        <v>0</v>
      </c>
      <c r="K311" s="230">
        <f t="shared" si="155"/>
        <v>0</v>
      </c>
      <c r="L311" s="230">
        <f t="shared" si="156"/>
        <v>0</v>
      </c>
      <c r="M311" s="230">
        <f t="shared" si="157"/>
        <v>0</v>
      </c>
      <c r="N311" s="230">
        <f t="shared" si="158"/>
        <v>0</v>
      </c>
      <c r="O311" s="230">
        <f t="shared" si="159"/>
        <v>0</v>
      </c>
      <c r="P311" s="230">
        <f t="shared" si="160"/>
        <v>0</v>
      </c>
      <c r="Q311" s="230">
        <f t="shared" si="161"/>
        <v>0</v>
      </c>
      <c r="R311" s="230">
        <f t="shared" si="162"/>
        <v>0</v>
      </c>
      <c r="S311" s="230">
        <f t="shared" si="163"/>
        <v>0</v>
      </c>
      <c r="T311" s="230">
        <f t="shared" si="164"/>
        <v>0</v>
      </c>
      <c r="U311" s="230">
        <f t="shared" si="165"/>
        <v>0</v>
      </c>
      <c r="V311" s="230">
        <f t="shared" si="166"/>
        <v>0</v>
      </c>
      <c r="W311" s="230">
        <f t="shared" si="167"/>
        <v>0</v>
      </c>
      <c r="X311" s="230">
        <f t="shared" si="168"/>
        <v>0</v>
      </c>
      <c r="Y311" s="230">
        <f t="shared" si="169"/>
        <v>0</v>
      </c>
      <c r="Z311" s="292">
        <f t="shared" si="170"/>
        <v>0</v>
      </c>
      <c r="AA311" s="300"/>
      <c r="AB311" s="191">
        <f t="shared" si="171"/>
        <v>0</v>
      </c>
      <c r="AC311" s="139">
        <f t="shared" si="172"/>
        <v>0</v>
      </c>
      <c r="AD311" s="132">
        <f t="shared" si="173"/>
        <v>2.1411635918135434E-2</v>
      </c>
      <c r="AE311" s="168">
        <f t="shared" si="174"/>
        <v>2.954427395416891E-4</v>
      </c>
      <c r="AF311" s="192">
        <f t="shared" si="175"/>
        <v>0</v>
      </c>
      <c r="AG311" s="192">
        <f t="shared" si="185"/>
        <v>1.6391897611381183E-3</v>
      </c>
      <c r="AH311" s="192">
        <f t="shared" si="176"/>
        <v>0</v>
      </c>
      <c r="AI311" s="168">
        <f t="shared" si="177"/>
        <v>1.4324527162662017E-21</v>
      </c>
      <c r="AJ311" s="192">
        <f t="shared" si="178"/>
        <v>4.7225246415127427E-22</v>
      </c>
      <c r="AK311" s="132">
        <f t="shared" si="179"/>
        <v>8.814934689077246</v>
      </c>
      <c r="AL311" s="192">
        <f t="shared" si="180"/>
        <v>0.12730124171526983</v>
      </c>
      <c r="AM311" s="192">
        <f t="shared" si="186"/>
        <v>0</v>
      </c>
      <c r="AN311" s="192">
        <f t="shared" si="181"/>
        <v>0</v>
      </c>
      <c r="AO311" s="192">
        <f t="shared" si="187"/>
        <v>0</v>
      </c>
      <c r="AS311" s="132"/>
      <c r="AT311" s="132"/>
      <c r="AU311" s="200"/>
      <c r="AV311" s="132"/>
      <c r="AW311" s="132"/>
      <c r="AX311" s="132"/>
      <c r="AY311" s="132"/>
      <c r="AZ311" s="132"/>
      <c r="BA311" s="167"/>
      <c r="BB311" s="167"/>
      <c r="BD311" s="211">
        <f t="shared" si="182"/>
        <v>42716</v>
      </c>
      <c r="BE311" s="210">
        <v>1</v>
      </c>
      <c r="BF311" s="209">
        <v>0.5</v>
      </c>
      <c r="BG311" s="209">
        <v>2</v>
      </c>
      <c r="BH311" s="210"/>
      <c r="BI311" s="209"/>
      <c r="BJ311" s="209"/>
      <c r="BK311" s="168">
        <f t="shared" si="183"/>
        <v>0</v>
      </c>
      <c r="BL311" s="168">
        <f t="shared" si="184"/>
        <v>0</v>
      </c>
    </row>
    <row r="312" spans="1:64" ht="13.5" thickBot="1" x14ac:dyDescent="0.25">
      <c r="A312" s="215">
        <f t="shared" si="188"/>
        <v>42717</v>
      </c>
      <c r="B312" s="190"/>
      <c r="C312" s="168"/>
      <c r="D312" s="198"/>
      <c r="E312" s="132">
        <f t="shared" si="152"/>
        <v>80.93749200009394</v>
      </c>
      <c r="F312" s="168">
        <f t="shared" si="153"/>
        <v>80.93749200009394</v>
      </c>
      <c r="G312" s="300"/>
      <c r="H312" s="127">
        <f>VLOOKUP(MONTH(A312),ETP_Parametros!$A$6:$D$17,4,FALSE)</f>
        <v>6.32258064516129</v>
      </c>
      <c r="I312" s="230">
        <f>VLOOKUP(A312,P_Q_obs!$A$4:$F$308,6,FALSE)*1</f>
        <v>0</v>
      </c>
      <c r="J312" s="230">
        <f t="shared" si="154"/>
        <v>0</v>
      </c>
      <c r="K312" s="230">
        <f t="shared" si="155"/>
        <v>0</v>
      </c>
      <c r="L312" s="230">
        <f t="shared" si="156"/>
        <v>0</v>
      </c>
      <c r="M312" s="230">
        <f t="shared" si="157"/>
        <v>0</v>
      </c>
      <c r="N312" s="230">
        <f t="shared" si="158"/>
        <v>0</v>
      </c>
      <c r="O312" s="230">
        <f t="shared" si="159"/>
        <v>0</v>
      </c>
      <c r="P312" s="230">
        <f t="shared" si="160"/>
        <v>0</v>
      </c>
      <c r="Q312" s="230">
        <f t="shared" si="161"/>
        <v>0</v>
      </c>
      <c r="R312" s="230">
        <f t="shared" si="162"/>
        <v>0</v>
      </c>
      <c r="S312" s="230">
        <f t="shared" si="163"/>
        <v>0</v>
      </c>
      <c r="T312" s="230">
        <f t="shared" si="164"/>
        <v>0</v>
      </c>
      <c r="U312" s="230">
        <f t="shared" si="165"/>
        <v>0</v>
      </c>
      <c r="V312" s="230">
        <f t="shared" si="166"/>
        <v>0</v>
      </c>
      <c r="W312" s="230">
        <f t="shared" si="167"/>
        <v>0</v>
      </c>
      <c r="X312" s="230">
        <f t="shared" si="168"/>
        <v>0</v>
      </c>
      <c r="Y312" s="230">
        <f t="shared" si="169"/>
        <v>0</v>
      </c>
      <c r="Z312" s="292">
        <f t="shared" si="170"/>
        <v>0</v>
      </c>
      <c r="AA312" s="300"/>
      <c r="AB312" s="191">
        <f t="shared" si="171"/>
        <v>0</v>
      </c>
      <c r="AC312" s="139">
        <f t="shared" si="172"/>
        <v>0</v>
      </c>
      <c r="AD312" s="132">
        <f t="shared" si="173"/>
        <v>1.9889012179855059E-2</v>
      </c>
      <c r="AE312" s="168">
        <f t="shared" si="174"/>
        <v>2.7443322255528527E-4</v>
      </c>
      <c r="AF312" s="192">
        <f t="shared" si="175"/>
        <v>0</v>
      </c>
      <c r="AG312" s="192">
        <f t="shared" si="185"/>
        <v>1.5226237382803759E-3</v>
      </c>
      <c r="AH312" s="192">
        <f t="shared" si="176"/>
        <v>0</v>
      </c>
      <c r="AI312" s="168">
        <f t="shared" si="177"/>
        <v>1.0772904937911055E-21</v>
      </c>
      <c r="AJ312" s="192">
        <f t="shared" si="178"/>
        <v>3.5516222247509623E-22</v>
      </c>
      <c r="AK312" s="132">
        <f t="shared" si="179"/>
        <v>8.6894457017318754</v>
      </c>
      <c r="AL312" s="192">
        <f t="shared" si="180"/>
        <v>0.12548898734537051</v>
      </c>
      <c r="AM312" s="192">
        <f t="shared" si="186"/>
        <v>0</v>
      </c>
      <c r="AN312" s="192">
        <f t="shared" si="181"/>
        <v>0</v>
      </c>
      <c r="AO312" s="192">
        <f t="shared" si="187"/>
        <v>0</v>
      </c>
      <c r="AS312" s="132"/>
      <c r="AT312" s="132"/>
      <c r="AU312" s="200"/>
      <c r="AV312" s="132"/>
      <c r="AW312" s="132"/>
      <c r="AX312" s="132"/>
      <c r="AY312" s="132"/>
      <c r="AZ312" s="132"/>
      <c r="BA312" s="167"/>
      <c r="BB312" s="167"/>
      <c r="BD312" s="211">
        <f t="shared" si="182"/>
        <v>42717</v>
      </c>
      <c r="BE312" s="210">
        <v>1</v>
      </c>
      <c r="BF312" s="209">
        <v>0.5</v>
      </c>
      <c r="BG312" s="209">
        <v>2</v>
      </c>
      <c r="BH312" s="210"/>
      <c r="BI312" s="209"/>
      <c r="BJ312" s="209"/>
      <c r="BK312" s="168">
        <f t="shared" si="183"/>
        <v>0</v>
      </c>
      <c r="BL312" s="168">
        <f t="shared" si="184"/>
        <v>0</v>
      </c>
    </row>
    <row r="313" spans="1:64" ht="13.5" thickBot="1" x14ac:dyDescent="0.25">
      <c r="A313" s="215">
        <f t="shared" si="188"/>
        <v>42718</v>
      </c>
      <c r="B313" s="190"/>
      <c r="C313" s="168"/>
      <c r="D313" s="198"/>
      <c r="E313" s="132">
        <f t="shared" si="152"/>
        <v>79.785269746881866</v>
      </c>
      <c r="F313" s="168">
        <f t="shared" si="153"/>
        <v>79.785269746881866</v>
      </c>
      <c r="G313" s="300"/>
      <c r="H313" s="127">
        <f>VLOOKUP(MONTH(A313),ETP_Parametros!$A$6:$D$17,4,FALSE)</f>
        <v>6.32258064516129</v>
      </c>
      <c r="I313" s="230">
        <f>VLOOKUP(A313,P_Q_obs!$A$4:$F$308,6,FALSE)*1</f>
        <v>0</v>
      </c>
      <c r="J313" s="230">
        <f t="shared" si="154"/>
        <v>0</v>
      </c>
      <c r="K313" s="230">
        <f t="shared" si="155"/>
        <v>0</v>
      </c>
      <c r="L313" s="230">
        <f t="shared" si="156"/>
        <v>0</v>
      </c>
      <c r="M313" s="230">
        <f t="shared" si="157"/>
        <v>0</v>
      </c>
      <c r="N313" s="230">
        <f t="shared" si="158"/>
        <v>0</v>
      </c>
      <c r="O313" s="230">
        <f t="shared" si="159"/>
        <v>0</v>
      </c>
      <c r="P313" s="230">
        <f t="shared" si="160"/>
        <v>0</v>
      </c>
      <c r="Q313" s="230">
        <f t="shared" si="161"/>
        <v>0</v>
      </c>
      <c r="R313" s="230">
        <f t="shared" si="162"/>
        <v>0</v>
      </c>
      <c r="S313" s="230">
        <f t="shared" si="163"/>
        <v>0</v>
      </c>
      <c r="T313" s="230">
        <f t="shared" si="164"/>
        <v>0</v>
      </c>
      <c r="U313" s="230">
        <f t="shared" si="165"/>
        <v>0</v>
      </c>
      <c r="V313" s="230">
        <f t="shared" si="166"/>
        <v>0</v>
      </c>
      <c r="W313" s="230">
        <f t="shared" si="167"/>
        <v>0</v>
      </c>
      <c r="X313" s="230">
        <f t="shared" si="168"/>
        <v>0</v>
      </c>
      <c r="Y313" s="230">
        <f t="shared" si="169"/>
        <v>0</v>
      </c>
      <c r="Z313" s="292">
        <f t="shared" si="170"/>
        <v>0</v>
      </c>
      <c r="AA313" s="300"/>
      <c r="AB313" s="191">
        <f t="shared" si="171"/>
        <v>0</v>
      </c>
      <c r="AC313" s="139">
        <f t="shared" si="172"/>
        <v>0</v>
      </c>
      <c r="AD313" s="132">
        <f t="shared" si="173"/>
        <v>1.847466522421936E-2</v>
      </c>
      <c r="AE313" s="168">
        <f t="shared" si="174"/>
        <v>2.5491773383536277E-4</v>
      </c>
      <c r="AF313" s="192">
        <f t="shared" si="175"/>
        <v>0</v>
      </c>
      <c r="AG313" s="192">
        <f t="shared" si="185"/>
        <v>1.414346955635699E-3</v>
      </c>
      <c r="AH313" s="192">
        <f t="shared" si="176"/>
        <v>0</v>
      </c>
      <c r="AI313" s="168">
        <f t="shared" si="177"/>
        <v>8.1018716697173741E-22</v>
      </c>
      <c r="AJ313" s="192">
        <f t="shared" si="178"/>
        <v>2.6710332681936813E-22</v>
      </c>
      <c r="AK313" s="132">
        <f t="shared" si="179"/>
        <v>8.5657431695901352</v>
      </c>
      <c r="AL313" s="192">
        <f t="shared" si="180"/>
        <v>0.12370253214173983</v>
      </c>
      <c r="AM313" s="192">
        <f t="shared" si="186"/>
        <v>0</v>
      </c>
      <c r="AN313" s="192">
        <f t="shared" si="181"/>
        <v>0</v>
      </c>
      <c r="AO313" s="192">
        <f t="shared" si="187"/>
        <v>0</v>
      </c>
      <c r="AS313" s="132"/>
      <c r="AT313" s="132"/>
      <c r="AU313" s="200"/>
      <c r="AV313" s="132"/>
      <c r="AW313" s="132"/>
      <c r="AX313" s="132"/>
      <c r="AY313" s="132"/>
      <c r="AZ313" s="132"/>
      <c r="BA313" s="167"/>
      <c r="BB313" s="167"/>
      <c r="BD313" s="211">
        <f t="shared" si="182"/>
        <v>42718</v>
      </c>
      <c r="BE313" s="210">
        <v>1</v>
      </c>
      <c r="BF313" s="209">
        <v>0.5</v>
      </c>
      <c r="BG313" s="209">
        <v>2</v>
      </c>
      <c r="BH313" s="210"/>
      <c r="BI313" s="209"/>
      <c r="BJ313" s="209"/>
      <c r="BK313" s="168">
        <f t="shared" si="183"/>
        <v>0</v>
      </c>
      <c r="BL313" s="168">
        <f t="shared" si="184"/>
        <v>0</v>
      </c>
    </row>
    <row r="314" spans="1:64" ht="13.5" thickBot="1" x14ac:dyDescent="0.25">
      <c r="A314" s="215">
        <f t="shared" si="188"/>
        <v>42719</v>
      </c>
      <c r="B314" s="190"/>
      <c r="C314" s="168"/>
      <c r="D314" s="198"/>
      <c r="E314" s="132">
        <f t="shared" si="152"/>
        <v>78.649450474389724</v>
      </c>
      <c r="F314" s="168">
        <f t="shared" si="153"/>
        <v>78.649450474389724</v>
      </c>
      <c r="G314" s="300"/>
      <c r="H314" s="127">
        <f>VLOOKUP(MONTH(A314),ETP_Parametros!$A$6:$D$17,4,FALSE)</f>
        <v>6.32258064516129</v>
      </c>
      <c r="I314" s="230">
        <f>VLOOKUP(A314,P_Q_obs!$A$4:$F$308,6,FALSE)*1</f>
        <v>0</v>
      </c>
      <c r="J314" s="230">
        <f t="shared" si="154"/>
        <v>0</v>
      </c>
      <c r="K314" s="230">
        <f t="shared" si="155"/>
        <v>0</v>
      </c>
      <c r="L314" s="230">
        <f t="shared" si="156"/>
        <v>0</v>
      </c>
      <c r="M314" s="230">
        <f t="shared" si="157"/>
        <v>0</v>
      </c>
      <c r="N314" s="230">
        <f t="shared" si="158"/>
        <v>0</v>
      </c>
      <c r="O314" s="230">
        <f t="shared" si="159"/>
        <v>0</v>
      </c>
      <c r="P314" s="230">
        <f t="shared" si="160"/>
        <v>0</v>
      </c>
      <c r="Q314" s="230">
        <f t="shared" si="161"/>
        <v>0</v>
      </c>
      <c r="R314" s="230">
        <f t="shared" si="162"/>
        <v>0</v>
      </c>
      <c r="S314" s="230">
        <f t="shared" si="163"/>
        <v>0</v>
      </c>
      <c r="T314" s="230">
        <f t="shared" si="164"/>
        <v>0</v>
      </c>
      <c r="U314" s="230">
        <f t="shared" si="165"/>
        <v>0</v>
      </c>
      <c r="V314" s="230">
        <f t="shared" si="166"/>
        <v>0</v>
      </c>
      <c r="W314" s="230">
        <f t="shared" si="167"/>
        <v>0</v>
      </c>
      <c r="X314" s="230">
        <f t="shared" si="168"/>
        <v>0</v>
      </c>
      <c r="Y314" s="230">
        <f t="shared" si="169"/>
        <v>0</v>
      </c>
      <c r="Z314" s="292">
        <f t="shared" si="170"/>
        <v>0</v>
      </c>
      <c r="AA314" s="300"/>
      <c r="AB314" s="191">
        <f t="shared" si="171"/>
        <v>0</v>
      </c>
      <c r="AC314" s="139">
        <f t="shared" si="172"/>
        <v>0</v>
      </c>
      <c r="AD314" s="132">
        <f t="shared" si="173"/>
        <v>1.7160895275265878E-2</v>
      </c>
      <c r="AE314" s="168">
        <f t="shared" si="174"/>
        <v>2.3679003007977966E-4</v>
      </c>
      <c r="AF314" s="192">
        <f t="shared" si="175"/>
        <v>0</v>
      </c>
      <c r="AG314" s="192">
        <f t="shared" si="185"/>
        <v>1.3137699489534824E-3</v>
      </c>
      <c r="AH314" s="192">
        <f t="shared" si="176"/>
        <v>0</v>
      </c>
      <c r="AI314" s="168">
        <f t="shared" si="177"/>
        <v>6.0930941961228451E-22</v>
      </c>
      <c r="AJ314" s="192">
        <f t="shared" si="178"/>
        <v>2.0087774735945292E-22</v>
      </c>
      <c r="AK314" s="132">
        <f t="shared" si="179"/>
        <v>8.4438016607614514</v>
      </c>
      <c r="AL314" s="192">
        <f t="shared" si="180"/>
        <v>0.1219415088286845</v>
      </c>
      <c r="AM314" s="192">
        <f t="shared" si="186"/>
        <v>0</v>
      </c>
      <c r="AN314" s="192">
        <f t="shared" si="181"/>
        <v>0</v>
      </c>
      <c r="AO314" s="192">
        <f t="shared" si="187"/>
        <v>0</v>
      </c>
      <c r="AS314" s="132"/>
      <c r="AT314" s="132"/>
      <c r="AU314" s="200"/>
      <c r="AV314" s="132"/>
      <c r="AW314" s="132"/>
      <c r="AX314" s="132"/>
      <c r="AY314" s="132"/>
      <c r="AZ314" s="132"/>
      <c r="BA314" s="167"/>
      <c r="BB314" s="167"/>
      <c r="BD314" s="211">
        <f t="shared" si="182"/>
        <v>42719</v>
      </c>
      <c r="BE314" s="210">
        <v>1</v>
      </c>
      <c r="BF314" s="209">
        <v>0.5</v>
      </c>
      <c r="BG314" s="209">
        <v>2</v>
      </c>
      <c r="BH314" s="210"/>
      <c r="BI314" s="209"/>
      <c r="BJ314" s="209"/>
      <c r="BK314" s="168">
        <f t="shared" si="183"/>
        <v>0</v>
      </c>
      <c r="BL314" s="168">
        <f t="shared" si="184"/>
        <v>0</v>
      </c>
    </row>
    <row r="315" spans="1:64" ht="13.5" thickBot="1" x14ac:dyDescent="0.25">
      <c r="A315" s="215">
        <f t="shared" si="188"/>
        <v>42720</v>
      </c>
      <c r="B315" s="190"/>
      <c r="C315" s="168"/>
      <c r="D315" s="198"/>
      <c r="E315" s="132">
        <f t="shared" si="152"/>
        <v>77.529800670570907</v>
      </c>
      <c r="F315" s="168">
        <f t="shared" si="153"/>
        <v>77.529800670570907</v>
      </c>
      <c r="G315" s="300"/>
      <c r="H315" s="127">
        <f>VLOOKUP(MONTH(A315),ETP_Parametros!$A$6:$D$17,4,FALSE)</f>
        <v>6.32258064516129</v>
      </c>
      <c r="I315" s="230">
        <f>VLOOKUP(A315,P_Q_obs!$A$4:$F$308,6,FALSE)*1</f>
        <v>0</v>
      </c>
      <c r="J315" s="230">
        <f t="shared" si="154"/>
        <v>0</v>
      </c>
      <c r="K315" s="230">
        <f t="shared" si="155"/>
        <v>0</v>
      </c>
      <c r="L315" s="230">
        <f t="shared" si="156"/>
        <v>0</v>
      </c>
      <c r="M315" s="230">
        <f t="shared" si="157"/>
        <v>0</v>
      </c>
      <c r="N315" s="230">
        <f t="shared" si="158"/>
        <v>0</v>
      </c>
      <c r="O315" s="230">
        <f t="shared" si="159"/>
        <v>0</v>
      </c>
      <c r="P315" s="230">
        <f t="shared" si="160"/>
        <v>0</v>
      </c>
      <c r="Q315" s="230">
        <f t="shared" si="161"/>
        <v>0</v>
      </c>
      <c r="R315" s="230">
        <f t="shared" si="162"/>
        <v>0</v>
      </c>
      <c r="S315" s="230">
        <f t="shared" si="163"/>
        <v>0</v>
      </c>
      <c r="T315" s="230">
        <f t="shared" si="164"/>
        <v>0</v>
      </c>
      <c r="U315" s="230">
        <f t="shared" si="165"/>
        <v>0</v>
      </c>
      <c r="V315" s="230">
        <f t="shared" si="166"/>
        <v>0</v>
      </c>
      <c r="W315" s="230">
        <f t="shared" si="167"/>
        <v>0</v>
      </c>
      <c r="X315" s="230">
        <f t="shared" si="168"/>
        <v>0</v>
      </c>
      <c r="Y315" s="230">
        <f t="shared" si="169"/>
        <v>0</v>
      </c>
      <c r="Z315" s="292">
        <f t="shared" si="170"/>
        <v>0</v>
      </c>
      <c r="AA315" s="300"/>
      <c r="AB315" s="191">
        <f t="shared" si="171"/>
        <v>0</v>
      </c>
      <c r="AC315" s="139">
        <f t="shared" si="172"/>
        <v>0</v>
      </c>
      <c r="AD315" s="132">
        <f t="shared" si="173"/>
        <v>1.5940550103315149E-2</v>
      </c>
      <c r="AE315" s="168">
        <f t="shared" si="174"/>
        <v>2.1995142315753974E-4</v>
      </c>
      <c r="AF315" s="192">
        <f t="shared" si="175"/>
        <v>0</v>
      </c>
      <c r="AG315" s="192">
        <f t="shared" si="185"/>
        <v>1.220345171950728E-3</v>
      </c>
      <c r="AH315" s="192">
        <f t="shared" si="176"/>
        <v>0</v>
      </c>
      <c r="AI315" s="168">
        <f t="shared" si="177"/>
        <v>4.5823728634942686E-22</v>
      </c>
      <c r="AJ315" s="192">
        <f t="shared" si="178"/>
        <v>1.510721332628576E-22</v>
      </c>
      <c r="AK315" s="132">
        <f t="shared" si="179"/>
        <v>8.3235961054024212</v>
      </c>
      <c r="AL315" s="192">
        <f t="shared" si="180"/>
        <v>0.12020555535903038</v>
      </c>
      <c r="AM315" s="192">
        <f t="shared" si="186"/>
        <v>0</v>
      </c>
      <c r="AN315" s="192">
        <f t="shared" si="181"/>
        <v>0</v>
      </c>
      <c r="AO315" s="192">
        <f t="shared" si="187"/>
        <v>0</v>
      </c>
      <c r="AS315" s="132"/>
      <c r="AT315" s="132"/>
      <c r="AU315" s="200"/>
      <c r="AV315" s="132"/>
      <c r="AW315" s="132"/>
      <c r="AX315" s="132"/>
      <c r="AY315" s="132"/>
      <c r="AZ315" s="132"/>
      <c r="BA315" s="167"/>
      <c r="BB315" s="167"/>
      <c r="BD315" s="211">
        <f t="shared" si="182"/>
        <v>42720</v>
      </c>
      <c r="BE315" s="210">
        <v>1</v>
      </c>
      <c r="BF315" s="209">
        <v>0.5</v>
      </c>
      <c r="BG315" s="209">
        <v>2</v>
      </c>
      <c r="BH315" s="210"/>
      <c r="BI315" s="209"/>
      <c r="BJ315" s="209"/>
      <c r="BK315" s="168">
        <f t="shared" si="183"/>
        <v>0</v>
      </c>
      <c r="BL315" s="168">
        <f t="shared" si="184"/>
        <v>0</v>
      </c>
    </row>
    <row r="316" spans="1:64" ht="13.5" thickBot="1" x14ac:dyDescent="0.25">
      <c r="A316" s="215">
        <f t="shared" si="188"/>
        <v>42721</v>
      </c>
      <c r="B316" s="190"/>
      <c r="C316" s="168"/>
      <c r="D316" s="198"/>
      <c r="E316" s="132">
        <f t="shared" si="152"/>
        <v>76.426090147645112</v>
      </c>
      <c r="F316" s="168">
        <f t="shared" si="153"/>
        <v>76.426090147645112</v>
      </c>
      <c r="G316" s="300"/>
      <c r="H316" s="127">
        <f>VLOOKUP(MONTH(A316),ETP_Parametros!$A$6:$D$17,4,FALSE)</f>
        <v>6.32258064516129</v>
      </c>
      <c r="I316" s="230">
        <f>VLOOKUP(A316,P_Q_obs!$A$4:$F$308,6,FALSE)*1</f>
        <v>0</v>
      </c>
      <c r="J316" s="230">
        <f t="shared" si="154"/>
        <v>0</v>
      </c>
      <c r="K316" s="230">
        <f t="shared" si="155"/>
        <v>0</v>
      </c>
      <c r="L316" s="230">
        <f t="shared" si="156"/>
        <v>0</v>
      </c>
      <c r="M316" s="230">
        <f t="shared" si="157"/>
        <v>0</v>
      </c>
      <c r="N316" s="230">
        <f t="shared" si="158"/>
        <v>0</v>
      </c>
      <c r="O316" s="230">
        <f t="shared" si="159"/>
        <v>0</v>
      </c>
      <c r="P316" s="230">
        <f t="shared" si="160"/>
        <v>0</v>
      </c>
      <c r="Q316" s="230">
        <f t="shared" si="161"/>
        <v>0</v>
      </c>
      <c r="R316" s="230">
        <f t="shared" si="162"/>
        <v>0</v>
      </c>
      <c r="S316" s="230">
        <f t="shared" si="163"/>
        <v>0</v>
      </c>
      <c r="T316" s="230">
        <f t="shared" si="164"/>
        <v>0</v>
      </c>
      <c r="U316" s="230">
        <f t="shared" si="165"/>
        <v>0</v>
      </c>
      <c r="V316" s="230">
        <f t="shared" si="166"/>
        <v>0</v>
      </c>
      <c r="W316" s="230">
        <f t="shared" si="167"/>
        <v>0</v>
      </c>
      <c r="X316" s="230">
        <f t="shared" si="168"/>
        <v>0</v>
      </c>
      <c r="Y316" s="230">
        <f t="shared" si="169"/>
        <v>0</v>
      </c>
      <c r="Z316" s="292">
        <f t="shared" si="170"/>
        <v>0</v>
      </c>
      <c r="AA316" s="300"/>
      <c r="AB316" s="191">
        <f t="shared" si="171"/>
        <v>0</v>
      </c>
      <c r="AC316" s="139">
        <f t="shared" si="172"/>
        <v>0</v>
      </c>
      <c r="AD316" s="132">
        <f t="shared" si="173"/>
        <v>1.4806986087872608E-2</v>
      </c>
      <c r="AE316" s="168">
        <f t="shared" si="174"/>
        <v>2.0431024284564388E-4</v>
      </c>
      <c r="AF316" s="192">
        <f t="shared" si="175"/>
        <v>0</v>
      </c>
      <c r="AG316" s="192">
        <f t="shared" si="185"/>
        <v>1.1335640154425412E-3</v>
      </c>
      <c r="AH316" s="192">
        <f t="shared" si="176"/>
        <v>0</v>
      </c>
      <c r="AI316" s="168">
        <f t="shared" si="177"/>
        <v>3.4462196683993812E-22</v>
      </c>
      <c r="AJ316" s="192">
        <f t="shared" si="178"/>
        <v>1.1361531950948874E-22</v>
      </c>
      <c r="AK316" s="132">
        <f t="shared" si="179"/>
        <v>8.2051017905627326</v>
      </c>
      <c r="AL316" s="192">
        <f t="shared" si="180"/>
        <v>0.1184943148396895</v>
      </c>
      <c r="AM316" s="192">
        <f t="shared" si="186"/>
        <v>0</v>
      </c>
      <c r="AN316" s="192">
        <f t="shared" si="181"/>
        <v>0</v>
      </c>
      <c r="AO316" s="192">
        <f t="shared" si="187"/>
        <v>0</v>
      </c>
      <c r="AS316" s="132"/>
      <c r="AT316" s="132"/>
      <c r="AU316" s="200"/>
      <c r="AV316" s="132"/>
      <c r="AW316" s="132"/>
      <c r="AX316" s="132"/>
      <c r="AY316" s="132"/>
      <c r="AZ316" s="132"/>
      <c r="BA316" s="167"/>
      <c r="BB316" s="167"/>
      <c r="BD316" s="211">
        <f t="shared" si="182"/>
        <v>42721</v>
      </c>
      <c r="BE316" s="210">
        <v>1</v>
      </c>
      <c r="BF316" s="209">
        <v>0.5</v>
      </c>
      <c r="BG316" s="209">
        <v>2</v>
      </c>
      <c r="BH316" s="210"/>
      <c r="BI316" s="209"/>
      <c r="BJ316" s="209"/>
      <c r="BK316" s="168">
        <f t="shared" si="183"/>
        <v>0</v>
      </c>
      <c r="BL316" s="168">
        <f t="shared" si="184"/>
        <v>0</v>
      </c>
    </row>
    <row r="317" spans="1:64" ht="13.5" thickBot="1" x14ac:dyDescent="0.25">
      <c r="A317" s="215">
        <f t="shared" si="188"/>
        <v>42722</v>
      </c>
      <c r="B317" s="190"/>
      <c r="C317" s="168"/>
      <c r="D317" s="198"/>
      <c r="E317" s="132">
        <f t="shared" si="152"/>
        <v>75.338091994774175</v>
      </c>
      <c r="F317" s="168">
        <f t="shared" si="153"/>
        <v>75.338091994774175</v>
      </c>
      <c r="G317" s="300"/>
      <c r="H317" s="127">
        <f>VLOOKUP(MONTH(A317),ETP_Parametros!$A$6:$D$17,4,FALSE)</f>
        <v>6.32258064516129</v>
      </c>
      <c r="I317" s="230">
        <f>VLOOKUP(A317,P_Q_obs!$A$4:$F$308,6,FALSE)*1</f>
        <v>0</v>
      </c>
      <c r="J317" s="230">
        <f t="shared" si="154"/>
        <v>0</v>
      </c>
      <c r="K317" s="230">
        <f t="shared" si="155"/>
        <v>0</v>
      </c>
      <c r="L317" s="230">
        <f t="shared" si="156"/>
        <v>0</v>
      </c>
      <c r="M317" s="230">
        <f t="shared" si="157"/>
        <v>0</v>
      </c>
      <c r="N317" s="230">
        <f t="shared" si="158"/>
        <v>0</v>
      </c>
      <c r="O317" s="230">
        <f t="shared" si="159"/>
        <v>0</v>
      </c>
      <c r="P317" s="230">
        <f t="shared" si="160"/>
        <v>0</v>
      </c>
      <c r="Q317" s="230">
        <f t="shared" si="161"/>
        <v>0</v>
      </c>
      <c r="R317" s="230">
        <f t="shared" si="162"/>
        <v>0</v>
      </c>
      <c r="S317" s="230">
        <f t="shared" si="163"/>
        <v>0</v>
      </c>
      <c r="T317" s="230">
        <f t="shared" si="164"/>
        <v>0</v>
      </c>
      <c r="U317" s="230">
        <f t="shared" si="165"/>
        <v>0</v>
      </c>
      <c r="V317" s="230">
        <f t="shared" si="166"/>
        <v>0</v>
      </c>
      <c r="W317" s="230">
        <f t="shared" si="167"/>
        <v>0</v>
      </c>
      <c r="X317" s="230">
        <f t="shared" si="168"/>
        <v>0</v>
      </c>
      <c r="Y317" s="230">
        <f t="shared" si="169"/>
        <v>0</v>
      </c>
      <c r="Z317" s="292">
        <f t="shared" si="170"/>
        <v>0</v>
      </c>
      <c r="AA317" s="300"/>
      <c r="AB317" s="191">
        <f t="shared" si="171"/>
        <v>0</v>
      </c>
      <c r="AC317" s="139">
        <f t="shared" si="172"/>
        <v>0</v>
      </c>
      <c r="AD317" s="132">
        <f t="shared" si="173"/>
        <v>1.375403204942446E-2</v>
      </c>
      <c r="AE317" s="168">
        <f t="shared" si="174"/>
        <v>1.8978133777178554E-4</v>
      </c>
      <c r="AF317" s="192">
        <f t="shared" si="175"/>
        <v>0</v>
      </c>
      <c r="AG317" s="192">
        <f t="shared" si="185"/>
        <v>1.0529540384481473E-3</v>
      </c>
      <c r="AH317" s="192">
        <f t="shared" si="176"/>
        <v>0</v>
      </c>
      <c r="AI317" s="168">
        <f t="shared" si="177"/>
        <v>2.5917642140116945E-22</v>
      </c>
      <c r="AJ317" s="192">
        <f t="shared" si="178"/>
        <v>8.5445545438768669E-23</v>
      </c>
      <c r="AK317" s="132">
        <f t="shared" si="179"/>
        <v>8.0882943551044466</v>
      </c>
      <c r="AL317" s="192">
        <f t="shared" si="180"/>
        <v>0.11680743545828677</v>
      </c>
      <c r="AM317" s="192">
        <f t="shared" si="186"/>
        <v>0</v>
      </c>
      <c r="AN317" s="192">
        <f t="shared" si="181"/>
        <v>0</v>
      </c>
      <c r="AO317" s="192">
        <f t="shared" si="187"/>
        <v>0</v>
      </c>
      <c r="AS317" s="132"/>
      <c r="AT317" s="132"/>
      <c r="AU317" s="200"/>
      <c r="AV317" s="132"/>
      <c r="AW317" s="132"/>
      <c r="AX317" s="132"/>
      <c r="AY317" s="132"/>
      <c r="AZ317" s="132"/>
      <c r="BA317" s="167"/>
      <c r="BB317" s="167"/>
      <c r="BD317" s="211">
        <f t="shared" si="182"/>
        <v>42722</v>
      </c>
      <c r="BE317" s="210">
        <v>1</v>
      </c>
      <c r="BF317" s="209">
        <v>0.5</v>
      </c>
      <c r="BG317" s="209">
        <v>2</v>
      </c>
      <c r="BH317" s="210"/>
      <c r="BI317" s="209"/>
      <c r="BJ317" s="209"/>
      <c r="BK317" s="168">
        <f t="shared" si="183"/>
        <v>0</v>
      </c>
      <c r="BL317" s="168">
        <f t="shared" si="184"/>
        <v>0</v>
      </c>
    </row>
    <row r="318" spans="1:64" ht="13.5" thickBot="1" x14ac:dyDescent="0.25">
      <c r="A318" s="215">
        <f t="shared" si="188"/>
        <v>42723</v>
      </c>
      <c r="B318" s="190"/>
      <c r="C318" s="168"/>
      <c r="D318" s="198"/>
      <c r="E318" s="132">
        <f t="shared" si="152"/>
        <v>74.265582531411809</v>
      </c>
      <c r="F318" s="168">
        <f t="shared" si="153"/>
        <v>74.265582531411809</v>
      </c>
      <c r="G318" s="300"/>
      <c r="H318" s="127">
        <f>VLOOKUP(MONTH(A318),ETP_Parametros!$A$6:$D$17,4,FALSE)</f>
        <v>6.32258064516129</v>
      </c>
      <c r="I318" s="230">
        <f>VLOOKUP(A318,P_Q_obs!$A$4:$F$308,6,FALSE)*1</f>
        <v>0</v>
      </c>
      <c r="J318" s="230">
        <f t="shared" si="154"/>
        <v>0</v>
      </c>
      <c r="K318" s="230">
        <f t="shared" si="155"/>
        <v>0</v>
      </c>
      <c r="L318" s="230">
        <f t="shared" si="156"/>
        <v>0</v>
      </c>
      <c r="M318" s="230">
        <f t="shared" si="157"/>
        <v>0</v>
      </c>
      <c r="N318" s="230">
        <f t="shared" si="158"/>
        <v>0</v>
      </c>
      <c r="O318" s="230">
        <f t="shared" si="159"/>
        <v>0</v>
      </c>
      <c r="P318" s="230">
        <f t="shared" si="160"/>
        <v>0</v>
      </c>
      <c r="Q318" s="230">
        <f t="shared" si="161"/>
        <v>0</v>
      </c>
      <c r="R318" s="230">
        <f t="shared" si="162"/>
        <v>0</v>
      </c>
      <c r="S318" s="230">
        <f t="shared" si="163"/>
        <v>0</v>
      </c>
      <c r="T318" s="230">
        <f t="shared" si="164"/>
        <v>0</v>
      </c>
      <c r="U318" s="230">
        <f t="shared" si="165"/>
        <v>0</v>
      </c>
      <c r="V318" s="230">
        <f t="shared" si="166"/>
        <v>0</v>
      </c>
      <c r="W318" s="230">
        <f t="shared" si="167"/>
        <v>0</v>
      </c>
      <c r="X318" s="230">
        <f t="shared" si="168"/>
        <v>0</v>
      </c>
      <c r="Y318" s="230">
        <f t="shared" si="169"/>
        <v>0</v>
      </c>
      <c r="Z318" s="292">
        <f t="shared" si="170"/>
        <v>0</v>
      </c>
      <c r="AA318" s="300"/>
      <c r="AB318" s="191">
        <f t="shared" si="171"/>
        <v>0</v>
      </c>
      <c r="AC318" s="139">
        <f t="shared" si="172"/>
        <v>0</v>
      </c>
      <c r="AD318" s="132">
        <f t="shared" si="173"/>
        <v>1.2775955653226031E-2</v>
      </c>
      <c r="AE318" s="168">
        <f t="shared" si="174"/>
        <v>1.7628561184599692E-4</v>
      </c>
      <c r="AF318" s="192">
        <f t="shared" si="175"/>
        <v>0</v>
      </c>
      <c r="AG318" s="192">
        <f t="shared" si="185"/>
        <v>9.7807639619843022E-4</v>
      </c>
      <c r="AH318" s="192">
        <f t="shared" si="176"/>
        <v>0</v>
      </c>
      <c r="AI318" s="168">
        <f t="shared" si="177"/>
        <v>1.9491623829514973E-22</v>
      </c>
      <c r="AJ318" s="192">
        <f t="shared" si="178"/>
        <v>6.4260183106019727E-23</v>
      </c>
      <c r="AK318" s="132">
        <f t="shared" si="179"/>
        <v>7.9731497846936152</v>
      </c>
      <c r="AL318" s="192">
        <f t="shared" si="180"/>
        <v>0.11514457041083122</v>
      </c>
      <c r="AM318" s="192">
        <f t="shared" si="186"/>
        <v>0</v>
      </c>
      <c r="AN318" s="192">
        <f t="shared" si="181"/>
        <v>0</v>
      </c>
      <c r="AO318" s="192">
        <f t="shared" si="187"/>
        <v>0</v>
      </c>
      <c r="AS318" s="132"/>
      <c r="AT318" s="132"/>
      <c r="AU318" s="200"/>
      <c r="AV318" s="132"/>
      <c r="AW318" s="132"/>
      <c r="AX318" s="132"/>
      <c r="AY318" s="132"/>
      <c r="AZ318" s="132"/>
      <c r="BA318" s="167"/>
      <c r="BB318" s="167"/>
      <c r="BD318" s="211">
        <f t="shared" si="182"/>
        <v>42723</v>
      </c>
      <c r="BE318" s="210">
        <v>1</v>
      </c>
      <c r="BF318" s="209">
        <v>0.5</v>
      </c>
      <c r="BG318" s="209">
        <v>2</v>
      </c>
      <c r="BH318" s="210"/>
      <c r="BI318" s="209"/>
      <c r="BJ318" s="209"/>
      <c r="BK318" s="168">
        <f t="shared" si="183"/>
        <v>0</v>
      </c>
      <c r="BL318" s="168">
        <f t="shared" si="184"/>
        <v>0</v>
      </c>
    </row>
    <row r="319" spans="1:64" ht="13.5" thickBot="1" x14ac:dyDescent="0.25">
      <c r="A319" s="215">
        <f t="shared" si="188"/>
        <v>42724</v>
      </c>
      <c r="B319" s="190"/>
      <c r="C319" s="168"/>
      <c r="D319" s="198"/>
      <c r="E319" s="132">
        <f t="shared" si="152"/>
        <v>73.208341261317216</v>
      </c>
      <c r="F319" s="168">
        <f t="shared" si="153"/>
        <v>73.208341261317216</v>
      </c>
      <c r="G319" s="300"/>
      <c r="H319" s="127">
        <f>VLOOKUP(MONTH(A319),ETP_Parametros!$A$6:$D$17,4,FALSE)</f>
        <v>6.32258064516129</v>
      </c>
      <c r="I319" s="230">
        <f>VLOOKUP(A319,P_Q_obs!$A$4:$F$308,6,FALSE)*1</f>
        <v>0</v>
      </c>
      <c r="J319" s="230">
        <f t="shared" si="154"/>
        <v>0</v>
      </c>
      <c r="K319" s="230">
        <f t="shared" si="155"/>
        <v>0</v>
      </c>
      <c r="L319" s="230">
        <f t="shared" si="156"/>
        <v>0</v>
      </c>
      <c r="M319" s="230">
        <f t="shared" si="157"/>
        <v>0</v>
      </c>
      <c r="N319" s="230">
        <f t="shared" si="158"/>
        <v>0</v>
      </c>
      <c r="O319" s="230">
        <f t="shared" si="159"/>
        <v>0</v>
      </c>
      <c r="P319" s="230">
        <f t="shared" si="160"/>
        <v>0</v>
      </c>
      <c r="Q319" s="230">
        <f t="shared" si="161"/>
        <v>0</v>
      </c>
      <c r="R319" s="230">
        <f t="shared" si="162"/>
        <v>0</v>
      </c>
      <c r="S319" s="230">
        <f t="shared" si="163"/>
        <v>0</v>
      </c>
      <c r="T319" s="230">
        <f t="shared" si="164"/>
        <v>0</v>
      </c>
      <c r="U319" s="230">
        <f t="shared" si="165"/>
        <v>0</v>
      </c>
      <c r="V319" s="230">
        <f t="shared" si="166"/>
        <v>0</v>
      </c>
      <c r="W319" s="230">
        <f t="shared" si="167"/>
        <v>0</v>
      </c>
      <c r="X319" s="230">
        <f t="shared" si="168"/>
        <v>0</v>
      </c>
      <c r="Y319" s="230">
        <f t="shared" si="169"/>
        <v>0</v>
      </c>
      <c r="Z319" s="292">
        <f t="shared" si="170"/>
        <v>0</v>
      </c>
      <c r="AA319" s="300"/>
      <c r="AB319" s="191">
        <f t="shared" si="171"/>
        <v>0</v>
      </c>
      <c r="AC319" s="139">
        <f t="shared" si="172"/>
        <v>0</v>
      </c>
      <c r="AD319" s="132">
        <f t="shared" si="173"/>
        <v>1.1867432202183094E-2</v>
      </c>
      <c r="AE319" s="168">
        <f t="shared" si="174"/>
        <v>1.637495936575572E-4</v>
      </c>
      <c r="AF319" s="192">
        <f t="shared" si="175"/>
        <v>0</v>
      </c>
      <c r="AG319" s="192">
        <f t="shared" si="185"/>
        <v>9.0852345104293754E-4</v>
      </c>
      <c r="AH319" s="192">
        <f t="shared" si="176"/>
        <v>0</v>
      </c>
      <c r="AI319" s="168">
        <f t="shared" si="177"/>
        <v>1.4658872032315269E-22</v>
      </c>
      <c r="AJ319" s="192">
        <f t="shared" si="178"/>
        <v>4.8327517971997044E-23</v>
      </c>
      <c r="AK319" s="132">
        <f t="shared" si="179"/>
        <v>7.8596444068631985</v>
      </c>
      <c r="AL319" s="192">
        <f t="shared" si="180"/>
        <v>0.11350537783041682</v>
      </c>
      <c r="AM319" s="192">
        <f t="shared" si="186"/>
        <v>0</v>
      </c>
      <c r="AN319" s="192">
        <f t="shared" si="181"/>
        <v>0</v>
      </c>
      <c r="AO319" s="192">
        <f t="shared" si="187"/>
        <v>0</v>
      </c>
      <c r="AS319" s="132"/>
      <c r="AT319" s="132"/>
      <c r="AU319" s="200"/>
      <c r="AV319" s="132"/>
      <c r="AW319" s="132"/>
      <c r="AX319" s="132"/>
      <c r="AY319" s="132"/>
      <c r="AZ319" s="132"/>
      <c r="BA319" s="167"/>
      <c r="BB319" s="167"/>
      <c r="BD319" s="211">
        <f t="shared" si="182"/>
        <v>42724</v>
      </c>
      <c r="BE319" s="210">
        <v>1</v>
      </c>
      <c r="BF319" s="209">
        <v>0.5</v>
      </c>
      <c r="BG319" s="209">
        <v>2</v>
      </c>
      <c r="BH319" s="210"/>
      <c r="BI319" s="209"/>
      <c r="BJ319" s="209"/>
      <c r="BK319" s="168">
        <f t="shared" si="183"/>
        <v>0</v>
      </c>
      <c r="BL319" s="168">
        <f t="shared" si="184"/>
        <v>0</v>
      </c>
    </row>
    <row r="320" spans="1:64" ht="13.5" thickBot="1" x14ac:dyDescent="0.25">
      <c r="A320" s="215">
        <f t="shared" si="188"/>
        <v>42725</v>
      </c>
      <c r="B320" s="190"/>
      <c r="C320" s="168"/>
      <c r="D320" s="198"/>
      <c r="E320" s="132">
        <f t="shared" ref="E320:E325" si="189">(AJ320+AL320+AO320)*Y$9/86.4</f>
        <v>72.166150827223518</v>
      </c>
      <c r="F320" s="168">
        <f t="shared" ref="F320:F325" si="190">(AL320*$Y$9)/86.4</f>
        <v>72.166150827223518</v>
      </c>
      <c r="G320" s="300"/>
      <c r="H320" s="127">
        <f>VLOOKUP(MONTH(A320),ETP_Parametros!$A$6:$D$17,4,FALSE)</f>
        <v>6.32258064516129</v>
      </c>
      <c r="I320" s="230">
        <f>VLOOKUP(A320,P_Q_obs!$A$4:$F$308,6,FALSE)*1</f>
        <v>0</v>
      </c>
      <c r="J320" s="230">
        <f t="shared" ref="J320:J325" si="191">I320</f>
        <v>0</v>
      </c>
      <c r="K320" s="230">
        <f t="shared" ref="K320:K325" si="192">J320</f>
        <v>0</v>
      </c>
      <c r="L320" s="230">
        <f t="shared" ref="L320:L325" si="193">K320</f>
        <v>0</v>
      </c>
      <c r="M320" s="230">
        <f t="shared" ref="M320:M325" si="194">L320</f>
        <v>0</v>
      </c>
      <c r="N320" s="230">
        <f t="shared" ref="N320:N325" si="195">M320</f>
        <v>0</v>
      </c>
      <c r="O320" s="230">
        <f t="shared" ref="O320:O325" si="196">N320</f>
        <v>0</v>
      </c>
      <c r="P320" s="230">
        <f t="shared" ref="P320:P325" si="197">O320</f>
        <v>0</v>
      </c>
      <c r="Q320" s="230">
        <f t="shared" ref="Q320:Q325" si="198">P320</f>
        <v>0</v>
      </c>
      <c r="R320" s="230">
        <f t="shared" ref="R320:R325" si="199">Q320</f>
        <v>0</v>
      </c>
      <c r="S320" s="230">
        <f t="shared" ref="S320:S325" si="200">R320</f>
        <v>0</v>
      </c>
      <c r="T320" s="230">
        <f t="shared" ref="T320:T325" si="201">S320</f>
        <v>0</v>
      </c>
      <c r="U320" s="230">
        <f t="shared" ref="U320:U325" si="202">T320</f>
        <v>0</v>
      </c>
      <c r="V320" s="230">
        <f t="shared" ref="V320:V325" si="203">U320</f>
        <v>0</v>
      </c>
      <c r="W320" s="230">
        <f t="shared" ref="W320:W325" si="204">V320</f>
        <v>0</v>
      </c>
      <c r="X320" s="230">
        <f t="shared" ref="X320:X325" si="205">W320</f>
        <v>0</v>
      </c>
      <c r="Y320" s="230">
        <f t="shared" ref="Y320:Y325" si="206">X320</f>
        <v>0</v>
      </c>
      <c r="Z320" s="292">
        <f t="shared" ref="Z320:Z325" si="207">Y320</f>
        <v>0</v>
      </c>
      <c r="AA320" s="300"/>
      <c r="AB320" s="191">
        <f t="shared" ref="AB320:AB325" si="208">SUMPRODUCT($I$17:$Z$17,I320:Z320)</f>
        <v>0</v>
      </c>
      <c r="AC320" s="139">
        <f>(AB317*$J$5+AB318*$J$6+AB319*$J$7+AB320*$J$8+AB321*$J$9)*BE320</f>
        <v>0</v>
      </c>
      <c r="AD320" s="132">
        <f t="shared" ref="AD320:AD325" si="209">AD319+AC320-AF320-AG320-AH320</f>
        <v>1.1023515648933085E-2</v>
      </c>
      <c r="AE320" s="168">
        <f t="shared" ref="AE320:AE325" si="210">AD319/$O$5</f>
        <v>1.5210503649293704E-4</v>
      </c>
      <c r="AF320" s="192">
        <f t="shared" ref="AF320:AF325" si="211">IF(AC320&gt;O$8,(AC320-O$8)^2/(AC320-O$8+O$5-AD319),0)</f>
        <v>0</v>
      </c>
      <c r="AG320" s="192">
        <f t="shared" si="185"/>
        <v>8.4391655325000842E-4</v>
      </c>
      <c r="AH320" s="192">
        <f t="shared" ref="AH320:AH325" si="212">IF(AD319&gt;(P$9*O$5),(P$7*AE320*(AD319-(P$9*O$5))),0)</f>
        <v>0</v>
      </c>
      <c r="AI320" s="168">
        <f t="shared" ref="AI320:AI325" si="213">AI319+AF320-AJ320</f>
        <v>1.1024352364855889E-22</v>
      </c>
      <c r="AJ320" s="192">
        <f t="shared" ref="AJ320:AJ325" si="214">(AI319+AF320)*(1-P$6)</f>
        <v>3.6345196674593806E-23</v>
      </c>
      <c r="AK320" s="132">
        <f t="shared" ref="AK320:AK325" si="215">AK319-AL320+AH320</f>
        <v>7.74775488614626</v>
      </c>
      <c r="AL320" s="192">
        <f t="shared" ref="AL320:AL325" si="216">AK319*(1-P$10)</f>
        <v>0.11188952071693846</v>
      </c>
      <c r="AM320" s="192">
        <f t="shared" si="186"/>
        <v>0</v>
      </c>
      <c r="AN320" s="192">
        <f t="shared" ref="AN320:AN325" si="217">AN319+AM320-AO320</f>
        <v>0</v>
      </c>
      <c r="AO320" s="192">
        <f t="shared" si="187"/>
        <v>0</v>
      </c>
      <c r="AS320" s="132"/>
      <c r="AT320" s="132"/>
      <c r="AU320" s="200"/>
      <c r="AV320" s="132"/>
      <c r="AW320" s="132"/>
      <c r="AX320" s="132"/>
      <c r="AY320" s="132"/>
      <c r="AZ320" s="132"/>
      <c r="BA320" s="167"/>
      <c r="BB320" s="167"/>
      <c r="BD320" s="211">
        <f t="shared" ref="BD320:BD325" si="218">A320</f>
        <v>42725</v>
      </c>
      <c r="BE320" s="210">
        <v>1</v>
      </c>
      <c r="BF320" s="209">
        <v>0.5</v>
      </c>
      <c r="BG320" s="209">
        <v>2</v>
      </c>
      <c r="BH320" s="210"/>
      <c r="BI320" s="209"/>
      <c r="BJ320" s="209"/>
      <c r="BK320" s="168">
        <f t="shared" ref="BK320:BK325" si="219">I320</f>
        <v>0</v>
      </c>
      <c r="BL320" s="168">
        <f t="shared" ref="BL320:BL325" si="220">AC320</f>
        <v>0</v>
      </c>
    </row>
    <row r="321" spans="1:64" ht="13.5" thickBot="1" x14ac:dyDescent="0.25">
      <c r="A321" s="215">
        <f t="shared" si="188"/>
        <v>42726</v>
      </c>
      <c r="B321" s="190"/>
      <c r="C321" s="168"/>
      <c r="D321" s="198"/>
      <c r="E321" s="132">
        <f t="shared" si="189"/>
        <v>71.13879696615146</v>
      </c>
      <c r="F321" s="168">
        <f t="shared" si="190"/>
        <v>71.13879696615146</v>
      </c>
      <c r="G321" s="300"/>
      <c r="H321" s="127">
        <f>VLOOKUP(MONTH(A321),ETP_Parametros!$A$6:$D$17,4,FALSE)</f>
        <v>6.32258064516129</v>
      </c>
      <c r="I321" s="230">
        <f>VLOOKUP(A321,P_Q_obs!$A$4:$F$308,6,FALSE)*1</f>
        <v>0</v>
      </c>
      <c r="J321" s="230">
        <f t="shared" si="191"/>
        <v>0</v>
      </c>
      <c r="K321" s="230">
        <f t="shared" si="192"/>
        <v>0</v>
      </c>
      <c r="L321" s="230">
        <f t="shared" si="193"/>
        <v>0</v>
      </c>
      <c r="M321" s="230">
        <f t="shared" si="194"/>
        <v>0</v>
      </c>
      <c r="N321" s="230">
        <f t="shared" si="195"/>
        <v>0</v>
      </c>
      <c r="O321" s="230">
        <f t="shared" si="196"/>
        <v>0</v>
      </c>
      <c r="P321" s="230">
        <f t="shared" si="197"/>
        <v>0</v>
      </c>
      <c r="Q321" s="230">
        <f t="shared" si="198"/>
        <v>0</v>
      </c>
      <c r="R321" s="230">
        <f t="shared" si="199"/>
        <v>0</v>
      </c>
      <c r="S321" s="230">
        <f t="shared" si="200"/>
        <v>0</v>
      </c>
      <c r="T321" s="230">
        <f t="shared" si="201"/>
        <v>0</v>
      </c>
      <c r="U321" s="230">
        <f t="shared" si="202"/>
        <v>0</v>
      </c>
      <c r="V321" s="230">
        <f t="shared" si="203"/>
        <v>0</v>
      </c>
      <c r="W321" s="230">
        <f t="shared" si="204"/>
        <v>0</v>
      </c>
      <c r="X321" s="230">
        <f t="shared" si="205"/>
        <v>0</v>
      </c>
      <c r="Y321" s="230">
        <f t="shared" si="206"/>
        <v>0</v>
      </c>
      <c r="Z321" s="292">
        <f t="shared" si="207"/>
        <v>0</v>
      </c>
      <c r="AA321" s="300"/>
      <c r="AB321" s="191">
        <f t="shared" si="208"/>
        <v>0</v>
      </c>
      <c r="AC321" s="139">
        <f>(AB318*$J$5+AB319*$J$6+AB320*$J$7+AB321*$J$8+AB322*$J$9)*BE321</f>
        <v>0</v>
      </c>
      <c r="AD321" s="132">
        <f t="shared" si="209"/>
        <v>1.0239611669314495E-2</v>
      </c>
      <c r="AE321" s="168">
        <f t="shared" si="210"/>
        <v>1.4128854679725775E-4</v>
      </c>
      <c r="AF321" s="192">
        <f t="shared" si="211"/>
        <v>0</v>
      </c>
      <c r="AG321" s="192">
        <f t="shared" si="185"/>
        <v>7.8390397961859042E-4</v>
      </c>
      <c r="AH321" s="192">
        <f t="shared" si="212"/>
        <v>0</v>
      </c>
      <c r="AI321" s="168">
        <f t="shared" si="213"/>
        <v>8.2909752398805679E-23</v>
      </c>
      <c r="AJ321" s="192">
        <f t="shared" si="214"/>
        <v>2.7333771249753214E-23</v>
      </c>
      <c r="AK321" s="132">
        <f t="shared" si="215"/>
        <v>7.6374582192784519</v>
      </c>
      <c r="AL321" s="192">
        <f t="shared" si="216"/>
        <v>0.11029666686780831</v>
      </c>
      <c r="AM321" s="192">
        <f t="shared" si="186"/>
        <v>0</v>
      </c>
      <c r="AN321" s="192">
        <f t="shared" si="217"/>
        <v>0</v>
      </c>
      <c r="AO321" s="192">
        <f t="shared" si="187"/>
        <v>0</v>
      </c>
      <c r="AS321" s="132"/>
      <c r="AT321" s="132"/>
      <c r="AU321" s="200"/>
      <c r="AV321" s="132"/>
      <c r="AW321" s="132"/>
      <c r="AX321" s="132"/>
      <c r="AY321" s="132"/>
      <c r="AZ321" s="132"/>
      <c r="BA321" s="167"/>
      <c r="BB321" s="167"/>
      <c r="BD321" s="211">
        <f t="shared" si="218"/>
        <v>42726</v>
      </c>
      <c r="BE321" s="210">
        <v>1</v>
      </c>
      <c r="BF321" s="209">
        <v>0.5</v>
      </c>
      <c r="BG321" s="209">
        <v>2</v>
      </c>
      <c r="BH321" s="210"/>
      <c r="BI321" s="209"/>
      <c r="BJ321" s="209"/>
      <c r="BK321" s="168">
        <f t="shared" si="219"/>
        <v>0</v>
      </c>
      <c r="BL321" s="168">
        <f t="shared" si="220"/>
        <v>0</v>
      </c>
    </row>
    <row r="322" spans="1:64" ht="13.5" thickBot="1" x14ac:dyDescent="0.25">
      <c r="A322" s="215">
        <f t="shared" si="188"/>
        <v>42727</v>
      </c>
      <c r="B322" s="190"/>
      <c r="C322" s="168"/>
      <c r="D322" s="198"/>
      <c r="E322" s="132">
        <f t="shared" si="189"/>
        <v>70.126068465359268</v>
      </c>
      <c r="F322" s="168">
        <f t="shared" si="190"/>
        <v>70.126068465359268</v>
      </c>
      <c r="G322" s="300"/>
      <c r="H322" s="127">
        <f>VLOOKUP(MONTH(A322),ETP_Parametros!$A$6:$D$17,4,FALSE)</f>
        <v>6.32258064516129</v>
      </c>
      <c r="I322" s="230">
        <f>VLOOKUP(A322,P_Q_obs!$A$4:$F$308,6,FALSE)*1</f>
        <v>0</v>
      </c>
      <c r="J322" s="230">
        <f t="shared" si="191"/>
        <v>0</v>
      </c>
      <c r="K322" s="230">
        <f t="shared" si="192"/>
        <v>0</v>
      </c>
      <c r="L322" s="230">
        <f t="shared" si="193"/>
        <v>0</v>
      </c>
      <c r="M322" s="230">
        <f t="shared" si="194"/>
        <v>0</v>
      </c>
      <c r="N322" s="230">
        <f t="shared" si="195"/>
        <v>0</v>
      </c>
      <c r="O322" s="230">
        <f t="shared" si="196"/>
        <v>0</v>
      </c>
      <c r="P322" s="230">
        <f t="shared" si="197"/>
        <v>0</v>
      </c>
      <c r="Q322" s="230">
        <f t="shared" si="198"/>
        <v>0</v>
      </c>
      <c r="R322" s="230">
        <f t="shared" si="199"/>
        <v>0</v>
      </c>
      <c r="S322" s="230">
        <f t="shared" si="200"/>
        <v>0</v>
      </c>
      <c r="T322" s="230">
        <f t="shared" si="201"/>
        <v>0</v>
      </c>
      <c r="U322" s="230">
        <f t="shared" si="202"/>
        <v>0</v>
      </c>
      <c r="V322" s="230">
        <f t="shared" si="203"/>
        <v>0</v>
      </c>
      <c r="W322" s="230">
        <f t="shared" si="204"/>
        <v>0</v>
      </c>
      <c r="X322" s="230">
        <f t="shared" si="205"/>
        <v>0</v>
      </c>
      <c r="Y322" s="230">
        <f t="shared" si="206"/>
        <v>0</v>
      </c>
      <c r="Z322" s="292">
        <f t="shared" si="207"/>
        <v>0</v>
      </c>
      <c r="AA322" s="300"/>
      <c r="AB322" s="191">
        <f t="shared" si="208"/>
        <v>0</v>
      </c>
      <c r="AC322" s="139">
        <f>(AB319*$J$5+AB320*$J$6+AB321*$J$7+AB322*$J$8+AB323*$J$9)*BE322</f>
        <v>0</v>
      </c>
      <c r="AD322" s="132">
        <f t="shared" si="209"/>
        <v>9.5114526506350529E-3</v>
      </c>
      <c r="AE322" s="168">
        <f t="shared" si="210"/>
        <v>1.3124123905658997E-4</v>
      </c>
      <c r="AF322" s="192">
        <f t="shared" si="211"/>
        <v>0</v>
      </c>
      <c r="AG322" s="192">
        <f t="shared" si="185"/>
        <v>7.2815901867944225E-4</v>
      </c>
      <c r="AH322" s="192">
        <f t="shared" si="212"/>
        <v>0</v>
      </c>
      <c r="AI322" s="168">
        <f t="shared" si="213"/>
        <v>6.2353114408286801E-23</v>
      </c>
      <c r="AJ322" s="192">
        <f t="shared" si="214"/>
        <v>2.0556637990518881E-23</v>
      </c>
      <c r="AK322" s="132">
        <f t="shared" si="215"/>
        <v>7.5287317304687935</v>
      </c>
      <c r="AL322" s="192">
        <f t="shared" si="216"/>
        <v>0.10872648880965871</v>
      </c>
      <c r="AM322" s="192">
        <f t="shared" si="186"/>
        <v>0</v>
      </c>
      <c r="AN322" s="192">
        <f t="shared" si="217"/>
        <v>0</v>
      </c>
      <c r="AO322" s="192">
        <f t="shared" si="187"/>
        <v>0</v>
      </c>
      <c r="AS322" s="132"/>
      <c r="AT322" s="132"/>
      <c r="AU322" s="200"/>
      <c r="AV322" s="132"/>
      <c r="AW322" s="132"/>
      <c r="AX322" s="132"/>
      <c r="AY322" s="132"/>
      <c r="AZ322" s="132"/>
      <c r="BA322" s="167"/>
      <c r="BB322" s="167"/>
      <c r="BD322" s="211">
        <f t="shared" si="218"/>
        <v>42727</v>
      </c>
      <c r="BE322" s="210">
        <v>1</v>
      </c>
      <c r="BF322" s="209">
        <v>0.5</v>
      </c>
      <c r="BG322" s="209">
        <v>2</v>
      </c>
      <c r="BH322" s="210"/>
      <c r="BI322" s="209"/>
      <c r="BJ322" s="209"/>
      <c r="BK322" s="168">
        <f t="shared" si="219"/>
        <v>0</v>
      </c>
      <c r="BL322" s="168">
        <f t="shared" si="220"/>
        <v>0</v>
      </c>
    </row>
    <row r="323" spans="1:64" ht="13.5" thickBot="1" x14ac:dyDescent="0.25">
      <c r="A323" s="215">
        <f t="shared" si="188"/>
        <v>42728</v>
      </c>
      <c r="B323" s="190"/>
      <c r="C323" s="168"/>
      <c r="D323" s="198"/>
      <c r="E323" s="132">
        <f t="shared" si="189"/>
        <v>69.127757118919661</v>
      </c>
      <c r="F323" s="168">
        <f t="shared" si="190"/>
        <v>69.127757118919661</v>
      </c>
      <c r="G323" s="300"/>
      <c r="H323" s="127">
        <f>VLOOKUP(MONTH(A323),ETP_Parametros!$A$6:$D$17,4,FALSE)</f>
        <v>6.32258064516129</v>
      </c>
      <c r="I323" s="230">
        <f>VLOOKUP(A323,P_Q_obs!$A$4:$F$308,6,FALSE)*1</f>
        <v>0</v>
      </c>
      <c r="J323" s="230">
        <f t="shared" si="191"/>
        <v>0</v>
      </c>
      <c r="K323" s="230">
        <f t="shared" si="192"/>
        <v>0</v>
      </c>
      <c r="L323" s="230">
        <f t="shared" si="193"/>
        <v>0</v>
      </c>
      <c r="M323" s="230">
        <f t="shared" si="194"/>
        <v>0</v>
      </c>
      <c r="N323" s="230">
        <f t="shared" si="195"/>
        <v>0</v>
      </c>
      <c r="O323" s="230">
        <f t="shared" si="196"/>
        <v>0</v>
      </c>
      <c r="P323" s="230">
        <f t="shared" si="197"/>
        <v>0</v>
      </c>
      <c r="Q323" s="230">
        <f t="shared" si="198"/>
        <v>0</v>
      </c>
      <c r="R323" s="230">
        <f t="shared" si="199"/>
        <v>0</v>
      </c>
      <c r="S323" s="230">
        <f t="shared" si="200"/>
        <v>0</v>
      </c>
      <c r="T323" s="230">
        <f t="shared" si="201"/>
        <v>0</v>
      </c>
      <c r="U323" s="230">
        <f t="shared" si="202"/>
        <v>0</v>
      </c>
      <c r="V323" s="230">
        <f t="shared" si="203"/>
        <v>0</v>
      </c>
      <c r="W323" s="230">
        <f t="shared" si="204"/>
        <v>0</v>
      </c>
      <c r="X323" s="230">
        <f t="shared" si="205"/>
        <v>0</v>
      </c>
      <c r="Y323" s="230">
        <f t="shared" si="206"/>
        <v>0</v>
      </c>
      <c r="Z323" s="292">
        <f t="shared" si="207"/>
        <v>0</v>
      </c>
      <c r="AA323" s="300"/>
      <c r="AB323" s="191">
        <f t="shared" si="208"/>
        <v>0</v>
      </c>
      <c r="AC323" s="139">
        <f>(AB320*$J$5+AB321*$J$6+AB322*$J$7+AB323*$J$8+AB324*$J$9)*BE323</f>
        <v>0</v>
      </c>
      <c r="AD323" s="132">
        <f t="shared" si="209"/>
        <v>8.8350744585735889E-3</v>
      </c>
      <c r="AE323" s="168">
        <f t="shared" si="210"/>
        <v>1.2190841522225423E-4</v>
      </c>
      <c r="AF323" s="192">
        <f t="shared" si="211"/>
        <v>0</v>
      </c>
      <c r="AG323" s="192">
        <f t="shared" si="185"/>
        <v>6.7637819206146324E-4</v>
      </c>
      <c r="AH323" s="192">
        <f t="shared" si="212"/>
        <v>0</v>
      </c>
      <c r="AI323" s="168">
        <f t="shared" si="213"/>
        <v>4.6893287748726996E-23</v>
      </c>
      <c r="AJ323" s="192">
        <f t="shared" si="214"/>
        <v>1.5459826659559808E-23</v>
      </c>
      <c r="AK323" s="132">
        <f t="shared" si="215"/>
        <v>7.4215530667377765</v>
      </c>
      <c r="AL323" s="192">
        <f t="shared" si="216"/>
        <v>0.10717866373101709</v>
      </c>
      <c r="AM323" s="192">
        <f t="shared" si="186"/>
        <v>0</v>
      </c>
      <c r="AN323" s="192">
        <f t="shared" si="217"/>
        <v>0</v>
      </c>
      <c r="AO323" s="192">
        <f t="shared" si="187"/>
        <v>0</v>
      </c>
      <c r="AS323" s="132"/>
      <c r="AT323" s="132"/>
      <c r="AU323" s="200"/>
      <c r="AV323" s="132"/>
      <c r="AW323" s="132"/>
      <c r="AX323" s="132"/>
      <c r="AY323" s="132"/>
      <c r="AZ323" s="132"/>
      <c r="BA323" s="167"/>
      <c r="BB323" s="167"/>
      <c r="BD323" s="211">
        <f t="shared" si="218"/>
        <v>42728</v>
      </c>
      <c r="BE323" s="210">
        <v>1</v>
      </c>
      <c r="BF323" s="209">
        <v>0.5</v>
      </c>
      <c r="BG323" s="209">
        <v>2</v>
      </c>
      <c r="BH323" s="210"/>
      <c r="BI323" s="209"/>
      <c r="BJ323" s="209"/>
      <c r="BK323" s="168">
        <f t="shared" si="219"/>
        <v>0</v>
      </c>
      <c r="BL323" s="168">
        <f t="shared" si="220"/>
        <v>0</v>
      </c>
    </row>
    <row r="324" spans="1:64" ht="13.5" thickBot="1" x14ac:dyDescent="0.25">
      <c r="A324" s="215">
        <f t="shared" si="188"/>
        <v>42729</v>
      </c>
      <c r="B324" s="190"/>
      <c r="C324" s="168"/>
      <c r="D324" s="198"/>
      <c r="E324" s="132">
        <f t="shared" si="189"/>
        <v>68.143657684914885</v>
      </c>
      <c r="F324" s="168">
        <f t="shared" si="190"/>
        <v>68.143657684914885</v>
      </c>
      <c r="G324" s="300"/>
      <c r="H324" s="127">
        <f>VLOOKUP(MONTH(A324),ETP_Parametros!$A$6:$D$17,4,FALSE)</f>
        <v>6.32258064516129</v>
      </c>
      <c r="I324" s="230">
        <f>VLOOKUP(A324,P_Q_obs!$A$4:$F$308,6,FALSE)*1</f>
        <v>0</v>
      </c>
      <c r="J324" s="230">
        <f t="shared" si="191"/>
        <v>0</v>
      </c>
      <c r="K324" s="230">
        <f t="shared" si="192"/>
        <v>0</v>
      </c>
      <c r="L324" s="230">
        <f t="shared" si="193"/>
        <v>0</v>
      </c>
      <c r="M324" s="230">
        <f t="shared" si="194"/>
        <v>0</v>
      </c>
      <c r="N324" s="230">
        <f t="shared" si="195"/>
        <v>0</v>
      </c>
      <c r="O324" s="230">
        <f t="shared" si="196"/>
        <v>0</v>
      </c>
      <c r="P324" s="230">
        <f t="shared" si="197"/>
        <v>0</v>
      </c>
      <c r="Q324" s="230">
        <f t="shared" si="198"/>
        <v>0</v>
      </c>
      <c r="R324" s="230">
        <f t="shared" si="199"/>
        <v>0</v>
      </c>
      <c r="S324" s="230">
        <f t="shared" si="200"/>
        <v>0</v>
      </c>
      <c r="T324" s="230">
        <f t="shared" si="201"/>
        <v>0</v>
      </c>
      <c r="U324" s="230">
        <f t="shared" si="202"/>
        <v>0</v>
      </c>
      <c r="V324" s="230">
        <f t="shared" si="203"/>
        <v>0</v>
      </c>
      <c r="W324" s="230">
        <f t="shared" si="204"/>
        <v>0</v>
      </c>
      <c r="X324" s="230">
        <f t="shared" si="205"/>
        <v>0</v>
      </c>
      <c r="Y324" s="230">
        <f t="shared" si="206"/>
        <v>0</v>
      </c>
      <c r="Z324" s="292">
        <f t="shared" si="207"/>
        <v>0</v>
      </c>
      <c r="AA324" s="300"/>
      <c r="AB324" s="191">
        <f t="shared" si="208"/>
        <v>0</v>
      </c>
      <c r="AC324" s="139">
        <f>(AB321*$J$5+AB322*$J$6+AB323*$J$7+AB324*$J$8+AB325*$J$9)*BE324</f>
        <v>0</v>
      </c>
      <c r="AD324" s="132">
        <f t="shared" si="209"/>
        <v>8.2067948562334122E-3</v>
      </c>
      <c r="AE324" s="168">
        <f t="shared" si="210"/>
        <v>1.132392669318928E-4</v>
      </c>
      <c r="AF324" s="192">
        <f t="shared" si="211"/>
        <v>0</v>
      </c>
      <c r="AG324" s="192">
        <f t="shared" si="185"/>
        <v>6.2827960234017723E-4</v>
      </c>
      <c r="AH324" s="192">
        <f t="shared" si="212"/>
        <v>0</v>
      </c>
      <c r="AI324" s="168">
        <f t="shared" si="213"/>
        <v>3.5266569388756342E-23</v>
      </c>
      <c r="AJ324" s="192">
        <f t="shared" si="214"/>
        <v>1.1626718359970656E-23</v>
      </c>
      <c r="AK324" s="132">
        <f t="shared" si="215"/>
        <v>7.3159001933218368</v>
      </c>
      <c r="AL324" s="192">
        <f t="shared" si="216"/>
        <v>0.10565287341593953</v>
      </c>
      <c r="AM324" s="192">
        <f t="shared" si="186"/>
        <v>0</v>
      </c>
      <c r="AN324" s="192">
        <f t="shared" si="217"/>
        <v>0</v>
      </c>
      <c r="AO324" s="192">
        <f t="shared" si="187"/>
        <v>0</v>
      </c>
      <c r="AS324" s="132"/>
      <c r="AT324" s="132"/>
      <c r="AU324" s="200"/>
      <c r="AV324" s="132"/>
      <c r="AW324" s="132"/>
      <c r="AX324" s="132"/>
      <c r="AY324" s="132"/>
      <c r="AZ324" s="132"/>
      <c r="BA324" s="167"/>
      <c r="BB324" s="167"/>
      <c r="BD324" s="211">
        <f t="shared" si="218"/>
        <v>42729</v>
      </c>
      <c r="BE324" s="210">
        <v>1</v>
      </c>
      <c r="BF324" s="209">
        <v>0.5</v>
      </c>
      <c r="BG324" s="209">
        <v>2</v>
      </c>
      <c r="BH324" s="210"/>
      <c r="BI324" s="209"/>
      <c r="BJ324" s="209"/>
      <c r="BK324" s="168">
        <f t="shared" si="219"/>
        <v>0</v>
      </c>
      <c r="BL324" s="168">
        <f t="shared" si="220"/>
        <v>0</v>
      </c>
    </row>
    <row r="325" spans="1:64" x14ac:dyDescent="0.2">
      <c r="A325" s="215">
        <f t="shared" si="188"/>
        <v>42730</v>
      </c>
      <c r="B325" s="190"/>
      <c r="C325" s="168"/>
      <c r="D325" s="198"/>
      <c r="E325" s="132">
        <f t="shared" si="189"/>
        <v>67.173567843241329</v>
      </c>
      <c r="F325" s="168">
        <f t="shared" si="190"/>
        <v>67.173567843241329</v>
      </c>
      <c r="G325" s="300"/>
      <c r="H325" s="127">
        <f>VLOOKUP(MONTH(A325),ETP_Parametros!$A$6:$D$17,4,FALSE)</f>
        <v>6.32258064516129</v>
      </c>
      <c r="I325" s="230">
        <f>VLOOKUP(A325,P_Q_obs!$A$4:$F$308,6,FALSE)*1</f>
        <v>0</v>
      </c>
      <c r="J325" s="230">
        <f t="shared" si="191"/>
        <v>0</v>
      </c>
      <c r="K325" s="230">
        <f t="shared" si="192"/>
        <v>0</v>
      </c>
      <c r="L325" s="230">
        <f t="shared" si="193"/>
        <v>0</v>
      </c>
      <c r="M325" s="230">
        <f t="shared" si="194"/>
        <v>0</v>
      </c>
      <c r="N325" s="230">
        <f t="shared" si="195"/>
        <v>0</v>
      </c>
      <c r="O325" s="230">
        <f t="shared" si="196"/>
        <v>0</v>
      </c>
      <c r="P325" s="230">
        <f t="shared" si="197"/>
        <v>0</v>
      </c>
      <c r="Q325" s="230">
        <f t="shared" si="198"/>
        <v>0</v>
      </c>
      <c r="R325" s="230">
        <f t="shared" si="199"/>
        <v>0</v>
      </c>
      <c r="S325" s="230">
        <f t="shared" si="200"/>
        <v>0</v>
      </c>
      <c r="T325" s="230">
        <f t="shared" si="201"/>
        <v>0</v>
      </c>
      <c r="U325" s="230">
        <f t="shared" si="202"/>
        <v>0</v>
      </c>
      <c r="V325" s="230">
        <f t="shared" si="203"/>
        <v>0</v>
      </c>
      <c r="W325" s="230">
        <f t="shared" si="204"/>
        <v>0</v>
      </c>
      <c r="X325" s="230">
        <f t="shared" si="205"/>
        <v>0</v>
      </c>
      <c r="Y325" s="230">
        <f t="shared" si="206"/>
        <v>0</v>
      </c>
      <c r="Z325" s="292">
        <f t="shared" si="207"/>
        <v>0</v>
      </c>
      <c r="AA325" s="300"/>
      <c r="AB325" s="191">
        <f t="shared" si="208"/>
        <v>0</v>
      </c>
      <c r="AC325" s="139">
        <f>(AB322*$J$5+AB323*$J$6+AB324*$J$7+AB325*$J$8)*BE325</f>
        <v>0</v>
      </c>
      <c r="AD325" s="132">
        <f t="shared" si="209"/>
        <v>7.6231934578594365E-3</v>
      </c>
      <c r="AE325" s="168">
        <f t="shared" si="210"/>
        <v>1.0518659890618958E-4</v>
      </c>
      <c r="AF325" s="192">
        <f t="shared" si="211"/>
        <v>0</v>
      </c>
      <c r="AG325" s="192">
        <f t="shared" si="185"/>
        <v>5.8360139837397541E-4</v>
      </c>
      <c r="AH325" s="192">
        <f t="shared" si="212"/>
        <v>0</v>
      </c>
      <c r="AI325" s="168">
        <f t="shared" si="213"/>
        <v>2.6522578734858042E-23</v>
      </c>
      <c r="AJ325" s="192">
        <f t="shared" si="214"/>
        <v>8.7439906538982986E-24</v>
      </c>
      <c r="AK325" s="132">
        <f t="shared" si="215"/>
        <v>7.2117513891432479</v>
      </c>
      <c r="AL325" s="192">
        <f t="shared" si="216"/>
        <v>0.10414880417858902</v>
      </c>
      <c r="AM325" s="192">
        <f t="shared" si="186"/>
        <v>0</v>
      </c>
      <c r="AN325" s="192">
        <f t="shared" si="217"/>
        <v>0</v>
      </c>
      <c r="AO325" s="192">
        <f t="shared" si="187"/>
        <v>0</v>
      </c>
      <c r="AS325" s="132"/>
      <c r="AT325" s="132"/>
      <c r="AU325" s="200"/>
      <c r="AV325" s="132"/>
      <c r="AW325" s="132"/>
      <c r="AX325" s="132"/>
      <c r="AY325" s="132"/>
      <c r="AZ325" s="132"/>
      <c r="BA325" s="167"/>
      <c r="BB325" s="167"/>
      <c r="BD325" s="211">
        <f t="shared" si="218"/>
        <v>42730</v>
      </c>
      <c r="BE325" s="210">
        <v>1</v>
      </c>
      <c r="BF325" s="209">
        <v>0.5</v>
      </c>
      <c r="BG325" s="209">
        <v>2</v>
      </c>
      <c r="BH325" s="210"/>
      <c r="BI325" s="209"/>
      <c r="BJ325" s="209"/>
      <c r="BK325" s="168">
        <f t="shared" si="219"/>
        <v>0</v>
      </c>
      <c r="BL325" s="168">
        <f t="shared" si="220"/>
        <v>0</v>
      </c>
    </row>
  </sheetData>
  <mergeCells count="18">
    <mergeCell ref="BH23:BJ23"/>
    <mergeCell ref="AD14:AD15"/>
    <mergeCell ref="AE14:AE15"/>
    <mergeCell ref="AF14:AF15"/>
    <mergeCell ref="AI14:AI15"/>
    <mergeCell ref="AK14:AK15"/>
    <mergeCell ref="AL14:AL15"/>
    <mergeCell ref="F14:F15"/>
    <mergeCell ref="AN14:AN15"/>
    <mergeCell ref="I15:Z15"/>
    <mergeCell ref="I16:Z16"/>
    <mergeCell ref="BE23:BG23"/>
    <mergeCell ref="BK22:BL22"/>
    <mergeCell ref="X3:Z3"/>
    <mergeCell ref="N4:R4"/>
    <mergeCell ref="Y9:Z9"/>
    <mergeCell ref="X11:Z11"/>
    <mergeCell ref="BD22:BJ22"/>
  </mergeCells>
  <pageMargins left="0.53" right="0.51" top="0.984251969" bottom="0.984251969" header="0.49212598499999999" footer="0.49212598499999999"/>
  <pageSetup paperSize="9" scale="90" orientation="landscape" horizontalDpi="180" verticalDpi="180" r:id="rId1"/>
  <headerFooter alignWithMargins="0"/>
  <drawing r:id="rId2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1"/>
  <dimension ref="A1:AX736"/>
  <sheetViews>
    <sheetView zoomScaleNormal="100" workbookViewId="0">
      <selection activeCell="E5" sqref="E5:G21"/>
    </sheetView>
  </sheetViews>
  <sheetFormatPr defaultRowHeight="12.75" x14ac:dyDescent="0.2"/>
  <cols>
    <col min="1" max="4" width="9.140625" style="125"/>
    <col min="5" max="5" width="16.28515625" style="125" customWidth="1"/>
    <col min="6" max="6" width="12" style="125" customWidth="1"/>
    <col min="7" max="7" width="12.42578125" style="125" customWidth="1"/>
    <col min="8" max="23" width="12" style="125" customWidth="1"/>
    <col min="24" max="25" width="20.85546875" style="125" bestFit="1" customWidth="1"/>
    <col min="26" max="16384" width="9.140625" style="125"/>
  </cols>
  <sheetData>
    <row r="1" spans="1:50" ht="13.5" thickBot="1" x14ac:dyDescent="0.25"/>
    <row r="2" spans="1:50" x14ac:dyDescent="0.2">
      <c r="E2" s="403" t="s">
        <v>34</v>
      </c>
      <c r="F2" s="404"/>
      <c r="G2" s="405"/>
      <c r="H2" s="136"/>
      <c r="I2" s="136"/>
      <c r="J2" s="136"/>
      <c r="K2" s="136"/>
      <c r="L2" s="136"/>
      <c r="M2" s="136"/>
      <c r="N2" s="136"/>
      <c r="O2" s="136"/>
      <c r="P2" s="136"/>
      <c r="Q2" s="136"/>
      <c r="R2" s="136"/>
      <c r="S2" s="136"/>
      <c r="T2" s="136"/>
      <c r="U2" s="136"/>
      <c r="V2" s="136"/>
      <c r="W2" s="136"/>
      <c r="X2" s="136"/>
    </row>
    <row r="3" spans="1:50" x14ac:dyDescent="0.2">
      <c r="E3" s="345"/>
      <c r="F3" s="136"/>
      <c r="G3" s="346"/>
      <c r="H3" s="311"/>
      <c r="I3" s="311"/>
      <c r="J3" s="311"/>
      <c r="K3" s="311"/>
      <c r="L3" s="311"/>
      <c r="M3" s="311"/>
      <c r="N3" s="311"/>
      <c r="O3" s="311"/>
      <c r="P3" s="311"/>
      <c r="Q3" s="311"/>
      <c r="R3" s="311"/>
      <c r="S3" s="311"/>
      <c r="T3" s="311"/>
      <c r="U3" s="312"/>
      <c r="V3" s="312"/>
      <c r="W3" s="312"/>
      <c r="X3" s="312"/>
      <c r="Y3" s="250"/>
    </row>
    <row r="4" spans="1:50" ht="13.5" thickBot="1" x14ac:dyDescent="0.25">
      <c r="E4" s="365"/>
      <c r="F4" s="366" t="s">
        <v>160</v>
      </c>
      <c r="G4" s="367"/>
      <c r="H4" s="368"/>
      <c r="I4" s="368"/>
      <c r="J4" s="368"/>
      <c r="K4" s="368"/>
      <c r="L4" s="368"/>
      <c r="M4" s="368"/>
      <c r="N4" s="368"/>
      <c r="O4" s="368"/>
      <c r="P4" s="368"/>
      <c r="Q4" s="368"/>
      <c r="R4" s="368"/>
      <c r="S4" s="368"/>
      <c r="T4" s="368"/>
      <c r="U4" s="366"/>
      <c r="V4" s="366"/>
      <c r="W4" s="366"/>
      <c r="X4" s="366"/>
      <c r="Y4" s="369"/>
      <c r="Z4" s="369"/>
      <c r="AA4" s="369"/>
      <c r="AB4" s="369"/>
      <c r="AC4" s="369"/>
      <c r="AD4" s="369"/>
      <c r="AE4" s="369"/>
      <c r="AF4" s="369"/>
      <c r="AG4" s="369"/>
      <c r="AH4" s="369"/>
      <c r="AI4" s="369"/>
      <c r="AJ4" s="369"/>
      <c r="AK4" s="369"/>
      <c r="AL4" s="369"/>
      <c r="AM4" s="369"/>
      <c r="AN4" s="369"/>
      <c r="AO4" s="369"/>
      <c r="AP4" s="369"/>
      <c r="AQ4" s="369"/>
      <c r="AR4" s="369"/>
      <c r="AS4" s="369"/>
      <c r="AT4" s="369"/>
      <c r="AU4" s="369"/>
      <c r="AV4" s="369"/>
      <c r="AW4" s="369"/>
      <c r="AX4" s="369"/>
    </row>
    <row r="5" spans="1:50" x14ac:dyDescent="0.2">
      <c r="A5" s="401" t="s">
        <v>152</v>
      </c>
      <c r="B5" s="402"/>
      <c r="C5" s="402"/>
      <c r="D5" s="344" t="s">
        <v>101</v>
      </c>
      <c r="E5" s="352" t="s">
        <v>152</v>
      </c>
      <c r="F5" s="146"/>
      <c r="G5" s="348"/>
      <c r="H5" s="313"/>
      <c r="I5" s="313"/>
      <c r="J5" s="313"/>
      <c r="K5" s="313"/>
      <c r="L5" s="313"/>
      <c r="M5" s="313"/>
      <c r="N5" s="313"/>
      <c r="O5" s="313"/>
      <c r="P5" s="313"/>
      <c r="Q5" s="313"/>
      <c r="R5" s="313"/>
      <c r="S5" s="313"/>
      <c r="T5" s="313"/>
      <c r="U5" s="313"/>
      <c r="V5" s="313"/>
      <c r="W5" s="313"/>
      <c r="X5" s="146"/>
      <c r="Y5" s="154"/>
      <c r="Z5" s="154"/>
      <c r="AA5" s="154"/>
      <c r="AB5" s="154"/>
      <c r="AC5" s="154"/>
      <c r="AD5" s="154"/>
      <c r="AE5" s="154"/>
      <c r="AF5" s="154"/>
      <c r="AG5" s="154"/>
      <c r="AH5" s="154"/>
      <c r="AI5" s="154"/>
      <c r="AJ5" s="154"/>
      <c r="AK5" s="154"/>
      <c r="AL5" s="154"/>
      <c r="AM5" s="154"/>
      <c r="AN5" s="154"/>
      <c r="AO5" s="154"/>
      <c r="AP5" s="154"/>
      <c r="AQ5" s="154"/>
      <c r="AR5" s="154"/>
      <c r="AS5" s="154"/>
      <c r="AT5" s="154"/>
      <c r="AU5" s="154"/>
      <c r="AV5" s="154"/>
      <c r="AW5" s="154"/>
      <c r="AX5" s="154"/>
    </row>
    <row r="6" spans="1:50" x14ac:dyDescent="0.2">
      <c r="A6" s="128">
        <v>1</v>
      </c>
      <c r="B6" s="129" t="s">
        <v>71</v>
      </c>
      <c r="C6" s="129">
        <f>E6*10000</f>
        <v>199</v>
      </c>
      <c r="D6" s="129">
        <f>C6/31</f>
        <v>6.419354838709677</v>
      </c>
      <c r="E6" s="354">
        <v>1.9900000000000001E-2</v>
      </c>
      <c r="F6" s="361" t="s">
        <v>137</v>
      </c>
      <c r="G6" s="362" t="s">
        <v>136</v>
      </c>
      <c r="H6" s="314"/>
      <c r="I6" s="314"/>
      <c r="J6" s="314"/>
      <c r="K6" s="314"/>
      <c r="L6" s="314"/>
      <c r="M6" s="314"/>
      <c r="N6" s="314"/>
      <c r="O6" s="314"/>
      <c r="P6" s="314"/>
      <c r="Q6" s="314"/>
      <c r="R6" s="314"/>
      <c r="S6" s="314"/>
      <c r="T6" s="314"/>
      <c r="U6" s="146"/>
      <c r="V6" s="146"/>
      <c r="W6" s="146"/>
      <c r="X6" s="146"/>
      <c r="Y6" s="154"/>
      <c r="Z6" s="154"/>
      <c r="AA6" s="154"/>
      <c r="AB6" s="154"/>
      <c r="AC6" s="154"/>
      <c r="AD6" s="154"/>
      <c r="AE6" s="154"/>
      <c r="AF6" s="154"/>
      <c r="AG6" s="154"/>
      <c r="AH6" s="154"/>
      <c r="AI6" s="154"/>
      <c r="AJ6" s="154"/>
      <c r="AK6" s="154"/>
      <c r="AL6" s="154"/>
      <c r="AM6" s="154"/>
      <c r="AN6" s="154"/>
      <c r="AO6" s="154"/>
      <c r="AP6" s="154"/>
      <c r="AQ6" s="154"/>
      <c r="AR6" s="154"/>
      <c r="AS6" s="154"/>
      <c r="AT6" s="154"/>
      <c r="AU6" s="154"/>
      <c r="AV6" s="154"/>
      <c r="AW6" s="154"/>
      <c r="AX6" s="154"/>
    </row>
    <row r="7" spans="1:50" x14ac:dyDescent="0.2">
      <c r="A7" s="128">
        <v>2</v>
      </c>
      <c r="B7" s="129" t="s">
        <v>72</v>
      </c>
      <c r="C7" s="129">
        <f t="shared" ref="C7:C17" si="0">E7*10000</f>
        <v>162</v>
      </c>
      <c r="D7" s="129">
        <f>C7/28.25</f>
        <v>5.7345132743362832</v>
      </c>
      <c r="E7" s="355">
        <v>1.6199999999999999E-2</v>
      </c>
      <c r="F7" s="313">
        <v>2.2987808881364698E-2</v>
      </c>
      <c r="G7" s="356">
        <v>7.80212968341397E-3</v>
      </c>
      <c r="H7" s="314"/>
      <c r="I7" s="314"/>
      <c r="J7" s="314"/>
      <c r="K7" s="314"/>
      <c r="L7" s="314"/>
      <c r="M7" s="314"/>
      <c r="N7" s="314"/>
      <c r="O7" s="314"/>
      <c r="P7" s="314"/>
      <c r="Q7" s="314"/>
      <c r="R7" s="314"/>
      <c r="S7" s="314"/>
      <c r="T7" s="314"/>
      <c r="U7" s="146"/>
      <c r="V7" s="146"/>
      <c r="W7" s="146"/>
      <c r="X7" s="146"/>
      <c r="Y7" s="154"/>
      <c r="Z7" s="154"/>
      <c r="AA7" s="154"/>
      <c r="AB7" s="154"/>
      <c r="AC7" s="154"/>
      <c r="AD7" s="154"/>
      <c r="AE7" s="154"/>
      <c r="AF7" s="154"/>
      <c r="AG7" s="154"/>
      <c r="AH7" s="154"/>
      <c r="AI7" s="154"/>
      <c r="AJ7" s="154"/>
      <c r="AK7" s="154"/>
      <c r="AL7" s="154"/>
      <c r="AM7" s="154"/>
      <c r="AN7" s="154"/>
      <c r="AO7" s="154"/>
      <c r="AP7" s="154"/>
      <c r="AQ7" s="154"/>
      <c r="AR7" s="154"/>
      <c r="AS7" s="154"/>
      <c r="AT7" s="154"/>
      <c r="AU7" s="154"/>
      <c r="AV7" s="154"/>
      <c r="AW7" s="154"/>
      <c r="AX7" s="154"/>
    </row>
    <row r="8" spans="1:50" x14ac:dyDescent="0.2">
      <c r="A8" s="128">
        <v>3</v>
      </c>
      <c r="B8" s="129" t="s">
        <v>73</v>
      </c>
      <c r="C8" s="129">
        <f t="shared" si="0"/>
        <v>150</v>
      </c>
      <c r="D8" s="129">
        <f>C8/31</f>
        <v>4.838709677419355</v>
      </c>
      <c r="E8" s="355">
        <v>1.4999999999999999E-2</v>
      </c>
      <c r="F8" s="313">
        <v>0</v>
      </c>
      <c r="G8" s="356">
        <v>2.4326154E-4</v>
      </c>
      <c r="H8" s="314"/>
      <c r="I8" s="314"/>
      <c r="J8" s="314"/>
      <c r="K8" s="314"/>
      <c r="L8" s="314"/>
      <c r="M8" s="314"/>
      <c r="N8" s="314"/>
      <c r="O8" s="314"/>
      <c r="P8" s="314"/>
      <c r="Q8" s="314"/>
      <c r="R8" s="314"/>
      <c r="S8" s="314"/>
      <c r="T8" s="314"/>
      <c r="U8" s="146"/>
      <c r="V8" s="146"/>
      <c r="W8" s="146"/>
      <c r="X8" s="146"/>
      <c r="Y8" s="154"/>
      <c r="Z8" s="154"/>
      <c r="AA8" s="154"/>
      <c r="AB8" s="154"/>
      <c r="AC8" s="154"/>
      <c r="AD8" s="154"/>
      <c r="AE8" s="154"/>
      <c r="AF8" s="154"/>
      <c r="AG8" s="154"/>
      <c r="AH8" s="154"/>
      <c r="AI8" s="154"/>
      <c r="AJ8" s="154"/>
      <c r="AK8" s="154"/>
      <c r="AL8" s="154"/>
      <c r="AM8" s="154"/>
      <c r="AN8" s="154"/>
      <c r="AO8" s="154"/>
      <c r="AP8" s="154"/>
      <c r="AQ8" s="154"/>
      <c r="AR8" s="154"/>
      <c r="AS8" s="154"/>
      <c r="AT8" s="154"/>
      <c r="AU8" s="154"/>
      <c r="AV8" s="154"/>
      <c r="AW8" s="154"/>
      <c r="AX8" s="154"/>
    </row>
    <row r="9" spans="1:50" x14ac:dyDescent="0.2">
      <c r="A9" s="128">
        <v>4</v>
      </c>
      <c r="B9" s="129" t="s">
        <v>74</v>
      </c>
      <c r="C9" s="129">
        <f t="shared" si="0"/>
        <v>108</v>
      </c>
      <c r="D9" s="129">
        <f>C9/30</f>
        <v>3.6</v>
      </c>
      <c r="E9" s="355">
        <v>1.0800000000000001E-2</v>
      </c>
      <c r="F9" s="313">
        <v>0.40454725138639203</v>
      </c>
      <c r="G9" s="356">
        <v>6.1669564867628804E-4</v>
      </c>
      <c r="H9" s="314"/>
      <c r="I9" s="314"/>
      <c r="J9" s="314"/>
      <c r="K9" s="314"/>
      <c r="L9" s="314"/>
      <c r="M9" s="314"/>
      <c r="N9" s="314"/>
      <c r="O9" s="314"/>
      <c r="P9" s="314"/>
      <c r="Q9" s="314"/>
      <c r="R9" s="314"/>
      <c r="S9" s="314"/>
      <c r="T9" s="314"/>
      <c r="U9" s="146"/>
      <c r="V9" s="146"/>
      <c r="W9" s="146"/>
      <c r="X9" s="146"/>
      <c r="Y9" s="154"/>
      <c r="Z9" s="154"/>
      <c r="AA9" s="154"/>
      <c r="AB9" s="154"/>
      <c r="AC9" s="154"/>
      <c r="AD9" s="154"/>
      <c r="AE9" s="154"/>
      <c r="AF9" s="154"/>
      <c r="AG9" s="154"/>
      <c r="AH9" s="154"/>
      <c r="AI9" s="154"/>
      <c r="AJ9" s="154"/>
      <c r="AK9" s="154"/>
      <c r="AL9" s="154"/>
      <c r="AM9" s="154"/>
      <c r="AN9" s="154"/>
      <c r="AO9" s="154"/>
      <c r="AP9" s="154"/>
      <c r="AQ9" s="154"/>
      <c r="AR9" s="154"/>
      <c r="AS9" s="154"/>
      <c r="AT9" s="154"/>
      <c r="AU9" s="154"/>
      <c r="AV9" s="154"/>
      <c r="AW9" s="154"/>
      <c r="AX9" s="154"/>
    </row>
    <row r="10" spans="1:50" x14ac:dyDescent="0.2">
      <c r="A10" s="128">
        <v>5</v>
      </c>
      <c r="B10" s="129" t="s">
        <v>75</v>
      </c>
      <c r="C10" s="129">
        <f t="shared" si="0"/>
        <v>75</v>
      </c>
      <c r="D10" s="129">
        <f>C10/31</f>
        <v>2.4193548387096775</v>
      </c>
      <c r="E10" s="355">
        <v>7.4999999999999997E-3</v>
      </c>
      <c r="F10" s="313">
        <v>0.35862847617556698</v>
      </c>
      <c r="G10" s="356">
        <v>2.0000000000000001E-4</v>
      </c>
      <c r="H10" s="314"/>
      <c r="I10" s="314"/>
      <c r="J10" s="314"/>
      <c r="K10" s="314"/>
      <c r="L10" s="314"/>
      <c r="M10" s="314"/>
      <c r="N10" s="314"/>
      <c r="O10" s="314"/>
      <c r="P10" s="314"/>
      <c r="Q10" s="314"/>
      <c r="R10" s="314"/>
      <c r="S10" s="314"/>
      <c r="T10" s="314"/>
      <c r="U10" s="146"/>
      <c r="V10" s="146"/>
      <c r="W10" s="146"/>
      <c r="X10" s="146"/>
      <c r="Y10" s="154"/>
      <c r="Z10" s="154"/>
      <c r="AA10" s="154"/>
      <c r="AB10" s="154"/>
      <c r="AC10" s="154"/>
      <c r="AD10" s="154"/>
      <c r="AE10" s="154"/>
      <c r="AF10" s="154"/>
      <c r="AG10" s="154"/>
      <c r="AH10" s="154"/>
      <c r="AI10" s="154"/>
      <c r="AJ10" s="154"/>
      <c r="AK10" s="154"/>
      <c r="AL10" s="154"/>
      <c r="AM10" s="154"/>
      <c r="AN10" s="154"/>
      <c r="AO10" s="154"/>
      <c r="AP10" s="154"/>
      <c r="AQ10" s="154"/>
      <c r="AR10" s="154"/>
      <c r="AS10" s="154"/>
      <c r="AT10" s="154"/>
      <c r="AU10" s="154"/>
      <c r="AV10" s="154"/>
      <c r="AW10" s="154"/>
      <c r="AX10" s="154"/>
    </row>
    <row r="11" spans="1:50" x14ac:dyDescent="0.2">
      <c r="A11" s="128">
        <v>6</v>
      </c>
      <c r="B11" s="129" t="s">
        <v>76</v>
      </c>
      <c r="C11" s="129">
        <f t="shared" si="0"/>
        <v>55</v>
      </c>
      <c r="D11" s="129">
        <f>C11/30</f>
        <v>1.8333333333333333</v>
      </c>
      <c r="E11" s="355">
        <v>5.4999999999999997E-3</v>
      </c>
      <c r="F11" s="351">
        <v>0.21383646355667599</v>
      </c>
      <c r="G11" s="356">
        <v>4.7624739322009099E-3</v>
      </c>
      <c r="H11" s="314"/>
      <c r="I11" s="314"/>
      <c r="J11" s="314"/>
      <c r="K11" s="314"/>
      <c r="L11" s="314"/>
      <c r="M11" s="314"/>
      <c r="N11" s="314"/>
      <c r="O11" s="314"/>
      <c r="P11" s="314"/>
      <c r="Q11" s="314"/>
      <c r="R11" s="314"/>
      <c r="S11" s="314"/>
      <c r="T11" s="314"/>
      <c r="U11" s="146"/>
      <c r="V11" s="146"/>
      <c r="W11" s="146"/>
      <c r="X11" s="146"/>
      <c r="Y11" s="154"/>
      <c r="Z11" s="154"/>
      <c r="AA11" s="154"/>
      <c r="AB11" s="154"/>
      <c r="AC11" s="154"/>
      <c r="AD11" s="154"/>
      <c r="AE11" s="154"/>
      <c r="AF11" s="154"/>
      <c r="AG11" s="154"/>
      <c r="AH11" s="154"/>
      <c r="AI11" s="154"/>
      <c r="AJ11" s="154"/>
      <c r="AK11" s="154"/>
      <c r="AL11" s="154"/>
      <c r="AM11" s="154"/>
      <c r="AN11" s="154"/>
      <c r="AO11" s="154"/>
      <c r="AP11" s="154"/>
      <c r="AQ11" s="154"/>
      <c r="AR11" s="154"/>
      <c r="AS11" s="154"/>
      <c r="AT11" s="154"/>
      <c r="AU11" s="154"/>
      <c r="AV11" s="154"/>
      <c r="AW11" s="154"/>
      <c r="AX11" s="154"/>
    </row>
    <row r="12" spans="1:50" x14ac:dyDescent="0.2">
      <c r="A12" s="128">
        <v>7</v>
      </c>
      <c r="B12" s="129" t="s">
        <v>77</v>
      </c>
      <c r="C12" s="129">
        <f t="shared" si="0"/>
        <v>67</v>
      </c>
      <c r="D12" s="129">
        <f>C12/31</f>
        <v>2.161290322580645</v>
      </c>
      <c r="E12" s="355">
        <v>6.7000000000000002E-3</v>
      </c>
      <c r="F12" s="314"/>
      <c r="G12" s="356">
        <v>4.8342505227826696E-3</v>
      </c>
      <c r="H12" s="314"/>
      <c r="I12" s="314"/>
      <c r="J12" s="314"/>
      <c r="K12" s="314"/>
      <c r="L12" s="314"/>
      <c r="M12" s="314"/>
      <c r="N12" s="314"/>
      <c r="O12" s="314"/>
      <c r="P12" s="314"/>
      <c r="Q12" s="314"/>
      <c r="R12" s="314"/>
      <c r="S12" s="314"/>
      <c r="T12" s="314"/>
      <c r="U12" s="146"/>
      <c r="V12" s="146"/>
      <c r="W12" s="146"/>
      <c r="X12" s="146"/>
      <c r="Y12" s="154"/>
      <c r="Z12" s="154"/>
      <c r="AA12" s="154"/>
      <c r="AB12" s="154"/>
      <c r="AC12" s="154"/>
      <c r="AD12" s="154"/>
      <c r="AE12" s="154"/>
      <c r="AF12" s="154"/>
      <c r="AG12" s="154"/>
      <c r="AH12" s="154"/>
      <c r="AI12" s="154"/>
      <c r="AJ12" s="154"/>
      <c r="AK12" s="154"/>
      <c r="AL12" s="154"/>
      <c r="AM12" s="154"/>
      <c r="AN12" s="154"/>
      <c r="AO12" s="154"/>
      <c r="AP12" s="154"/>
      <c r="AQ12" s="154"/>
      <c r="AR12" s="154"/>
      <c r="AS12" s="154"/>
      <c r="AT12" s="154"/>
      <c r="AU12" s="154"/>
      <c r="AV12" s="154"/>
      <c r="AW12" s="154"/>
      <c r="AX12" s="154"/>
    </row>
    <row r="13" spans="1:50" x14ac:dyDescent="0.2">
      <c r="A13" s="128">
        <v>8</v>
      </c>
      <c r="B13" s="129" t="s">
        <v>78</v>
      </c>
      <c r="C13" s="129">
        <f t="shared" si="0"/>
        <v>90</v>
      </c>
      <c r="D13" s="129">
        <f>C13/31</f>
        <v>2.903225806451613</v>
      </c>
      <c r="E13" s="355">
        <v>8.9999999999999993E-3</v>
      </c>
      <c r="F13" s="146"/>
      <c r="G13" s="356">
        <v>8.7752911268067999E-5</v>
      </c>
      <c r="H13" s="146"/>
      <c r="I13" s="146"/>
      <c r="J13" s="146"/>
      <c r="K13" s="310"/>
      <c r="L13" s="146"/>
      <c r="M13" s="146"/>
      <c r="N13" s="146"/>
      <c r="O13" s="146"/>
      <c r="P13" s="146"/>
      <c r="Q13" s="146"/>
      <c r="R13" s="146"/>
      <c r="S13" s="146"/>
      <c r="T13" s="146"/>
      <c r="U13" s="146"/>
      <c r="V13" s="146"/>
      <c r="W13" s="146"/>
      <c r="X13" s="146"/>
      <c r="Y13" s="154"/>
      <c r="Z13" s="154"/>
      <c r="AA13" s="154"/>
      <c r="AB13" s="154"/>
      <c r="AC13" s="154"/>
      <c r="AD13" s="154"/>
      <c r="AE13" s="154"/>
      <c r="AF13" s="154"/>
      <c r="AG13" s="154"/>
      <c r="AH13" s="154"/>
      <c r="AI13" s="154"/>
      <c r="AJ13" s="154"/>
      <c r="AK13" s="154"/>
      <c r="AL13" s="154"/>
      <c r="AM13" s="154"/>
      <c r="AN13" s="154"/>
      <c r="AO13" s="154"/>
      <c r="AP13" s="154"/>
      <c r="AQ13" s="154"/>
      <c r="AR13" s="154"/>
      <c r="AS13" s="154"/>
      <c r="AT13" s="154"/>
      <c r="AU13" s="154"/>
      <c r="AV13" s="154"/>
      <c r="AW13" s="154"/>
      <c r="AX13" s="154"/>
    </row>
    <row r="14" spans="1:50" x14ac:dyDescent="0.2">
      <c r="A14" s="128">
        <v>9</v>
      </c>
      <c r="B14" s="129" t="s">
        <v>79</v>
      </c>
      <c r="C14" s="129">
        <f t="shared" si="0"/>
        <v>107</v>
      </c>
      <c r="D14" s="129">
        <f>C14/30</f>
        <v>3.5666666666666669</v>
      </c>
      <c r="E14" s="355">
        <v>1.0699999999999999E-2</v>
      </c>
      <c r="F14" s="146"/>
      <c r="G14" s="356">
        <v>3.5799999999999998E-2</v>
      </c>
      <c r="H14" s="146"/>
      <c r="I14" s="146"/>
      <c r="J14" s="146"/>
      <c r="K14" s="310"/>
      <c r="L14" s="146"/>
      <c r="M14" s="146"/>
      <c r="N14" s="146"/>
      <c r="O14" s="146"/>
      <c r="P14" s="146"/>
      <c r="Q14" s="146"/>
      <c r="R14" s="146"/>
      <c r="S14" s="146"/>
      <c r="T14" s="146"/>
      <c r="U14" s="146"/>
      <c r="V14" s="146"/>
      <c r="W14" s="146"/>
      <c r="X14" s="146"/>
      <c r="Y14" s="154"/>
      <c r="Z14" s="154"/>
      <c r="AA14" s="154"/>
      <c r="AB14" s="154"/>
      <c r="AC14" s="154"/>
      <c r="AD14" s="154"/>
      <c r="AE14" s="154"/>
      <c r="AF14" s="154"/>
      <c r="AG14" s="154"/>
      <c r="AH14" s="154"/>
      <c r="AI14" s="154"/>
      <c r="AJ14" s="154"/>
      <c r="AK14" s="154"/>
      <c r="AL14" s="154"/>
      <c r="AM14" s="154"/>
      <c r="AN14" s="154"/>
      <c r="AO14" s="154"/>
      <c r="AP14" s="154"/>
      <c r="AQ14" s="154"/>
      <c r="AR14" s="154"/>
      <c r="AS14" s="154"/>
      <c r="AT14" s="154"/>
      <c r="AU14" s="154"/>
      <c r="AV14" s="154"/>
      <c r="AW14" s="154"/>
      <c r="AX14" s="154"/>
    </row>
    <row r="15" spans="1:50" x14ac:dyDescent="0.2">
      <c r="A15" s="128">
        <v>10</v>
      </c>
      <c r="B15" s="129" t="s">
        <v>80</v>
      </c>
      <c r="C15" s="129">
        <f t="shared" si="0"/>
        <v>152</v>
      </c>
      <c r="D15" s="129">
        <f>C15/31</f>
        <v>4.903225806451613</v>
      </c>
      <c r="E15" s="355">
        <v>1.52E-2</v>
      </c>
      <c r="F15" s="146"/>
      <c r="G15" s="356">
        <v>5.4400000000000004E-3</v>
      </c>
      <c r="H15" s="146"/>
      <c r="I15" s="146"/>
      <c r="J15" s="146"/>
      <c r="K15" s="310"/>
      <c r="L15" s="146"/>
      <c r="M15" s="146"/>
      <c r="N15" s="146"/>
      <c r="O15" s="146"/>
      <c r="P15" s="146"/>
      <c r="Q15" s="146"/>
      <c r="R15" s="146"/>
      <c r="S15" s="146"/>
      <c r="T15" s="146"/>
      <c r="U15" s="146"/>
      <c r="V15" s="146"/>
      <c r="W15" s="146"/>
      <c r="X15" s="146"/>
      <c r="Y15" s="154"/>
      <c r="Z15" s="154"/>
      <c r="AA15" s="154"/>
      <c r="AB15" s="154"/>
      <c r="AC15" s="154"/>
      <c r="AD15" s="154"/>
      <c r="AE15" s="154"/>
      <c r="AF15" s="154"/>
      <c r="AG15" s="154"/>
      <c r="AH15" s="154"/>
      <c r="AI15" s="154"/>
      <c r="AJ15" s="154"/>
      <c r="AK15" s="154"/>
      <c r="AL15" s="154"/>
      <c r="AM15" s="154"/>
      <c r="AN15" s="154"/>
      <c r="AO15" s="154"/>
      <c r="AP15" s="154"/>
      <c r="AQ15" s="154"/>
      <c r="AR15" s="154"/>
      <c r="AS15" s="154"/>
      <c r="AT15" s="154"/>
      <c r="AU15" s="154"/>
      <c r="AV15" s="154"/>
      <c r="AW15" s="154"/>
      <c r="AX15" s="154"/>
    </row>
    <row r="16" spans="1:50" x14ac:dyDescent="0.2">
      <c r="A16" s="128">
        <v>11</v>
      </c>
      <c r="B16" s="129" t="s">
        <v>81</v>
      </c>
      <c r="C16" s="129">
        <f t="shared" si="0"/>
        <v>182</v>
      </c>
      <c r="D16" s="129">
        <f>C16/30</f>
        <v>6.0666666666666664</v>
      </c>
      <c r="E16" s="355">
        <v>1.8200000000000001E-2</v>
      </c>
      <c r="F16" s="146"/>
      <c r="G16" s="357">
        <v>1.6389999999999998E-2</v>
      </c>
      <c r="H16" s="146"/>
      <c r="I16" s="146"/>
      <c r="J16" s="146"/>
      <c r="K16" s="310"/>
      <c r="L16" s="146"/>
      <c r="M16" s="146"/>
      <c r="N16" s="146"/>
      <c r="O16" s="146"/>
      <c r="P16" s="146"/>
      <c r="Q16" s="146"/>
      <c r="R16" s="146"/>
      <c r="S16" s="146"/>
      <c r="T16" s="146"/>
      <c r="U16" s="146"/>
      <c r="V16" s="146"/>
      <c r="W16" s="146"/>
      <c r="X16" s="146"/>
      <c r="Y16" s="154"/>
      <c r="Z16" s="154"/>
      <c r="AA16" s="154"/>
      <c r="AB16" s="154"/>
      <c r="AC16" s="154"/>
      <c r="AD16" s="154"/>
      <c r="AE16" s="154"/>
      <c r="AF16" s="154"/>
      <c r="AG16" s="154"/>
      <c r="AH16" s="154"/>
      <c r="AI16" s="154"/>
      <c r="AJ16" s="154"/>
      <c r="AK16" s="154"/>
      <c r="AL16" s="154"/>
      <c r="AM16" s="154"/>
      <c r="AN16" s="154"/>
      <c r="AO16" s="154"/>
      <c r="AP16" s="154"/>
      <c r="AQ16" s="154"/>
      <c r="AR16" s="154"/>
      <c r="AS16" s="154"/>
      <c r="AT16" s="154"/>
      <c r="AU16" s="154"/>
      <c r="AV16" s="154"/>
      <c r="AW16" s="154"/>
      <c r="AX16" s="154"/>
    </row>
    <row r="17" spans="1:50" ht="13.5" thickBot="1" x14ac:dyDescent="0.25">
      <c r="A17" s="130">
        <v>12</v>
      </c>
      <c r="B17" s="131" t="s">
        <v>82</v>
      </c>
      <c r="C17" s="131">
        <f t="shared" si="0"/>
        <v>196</v>
      </c>
      <c r="D17" s="131">
        <f>C17/31</f>
        <v>6.32258064516129</v>
      </c>
      <c r="E17" s="358">
        <v>1.9599999999999999E-2</v>
      </c>
      <c r="F17" s="146"/>
      <c r="G17" s="348"/>
      <c r="H17" s="146"/>
      <c r="I17" s="146"/>
      <c r="J17" s="146"/>
      <c r="K17" s="310"/>
      <c r="L17" s="146"/>
      <c r="M17" s="146"/>
      <c r="N17" s="146"/>
      <c r="O17" s="146"/>
      <c r="P17" s="146"/>
      <c r="Q17" s="146"/>
      <c r="R17" s="146"/>
      <c r="S17" s="146"/>
      <c r="T17" s="146"/>
      <c r="U17" s="146"/>
      <c r="V17" s="146"/>
      <c r="W17" s="146"/>
      <c r="X17" s="146"/>
      <c r="Y17" s="154"/>
      <c r="Z17" s="154"/>
      <c r="AA17" s="154"/>
      <c r="AB17" s="154"/>
      <c r="AC17" s="154"/>
      <c r="AD17" s="154"/>
      <c r="AE17" s="154"/>
      <c r="AF17" s="154"/>
      <c r="AG17" s="154"/>
      <c r="AH17" s="154"/>
      <c r="AI17" s="154"/>
      <c r="AJ17" s="154"/>
      <c r="AK17" s="154"/>
      <c r="AL17" s="154"/>
      <c r="AM17" s="154"/>
      <c r="AN17" s="154"/>
      <c r="AO17" s="154"/>
      <c r="AP17" s="154"/>
      <c r="AQ17" s="154"/>
      <c r="AR17" s="154"/>
      <c r="AS17" s="154"/>
      <c r="AT17" s="154"/>
      <c r="AU17" s="154"/>
      <c r="AV17" s="154"/>
      <c r="AW17" s="154"/>
      <c r="AX17" s="154"/>
    </row>
    <row r="18" spans="1:50" x14ac:dyDescent="0.2">
      <c r="E18" s="347"/>
      <c r="F18" s="146"/>
      <c r="G18" s="348"/>
      <c r="H18" s="146"/>
      <c r="I18" s="146"/>
      <c r="J18" s="146"/>
      <c r="K18" s="310"/>
      <c r="L18" s="146"/>
      <c r="M18" s="146"/>
      <c r="N18" s="146"/>
      <c r="O18" s="146"/>
      <c r="P18" s="146"/>
      <c r="Q18" s="146"/>
      <c r="R18" s="146"/>
      <c r="S18" s="146"/>
      <c r="T18" s="146"/>
      <c r="U18" s="146"/>
      <c r="V18" s="146"/>
      <c r="W18" s="146"/>
      <c r="X18" s="146"/>
      <c r="Y18" s="154"/>
      <c r="Z18" s="154"/>
      <c r="AA18" s="154"/>
      <c r="AB18" s="154"/>
      <c r="AC18" s="154"/>
      <c r="AD18" s="154"/>
      <c r="AE18" s="154"/>
      <c r="AF18" s="154"/>
      <c r="AG18" s="154"/>
      <c r="AH18" s="154"/>
      <c r="AI18" s="154"/>
      <c r="AJ18" s="154"/>
      <c r="AK18" s="154"/>
      <c r="AL18" s="154"/>
      <c r="AM18" s="154"/>
      <c r="AN18" s="154"/>
      <c r="AO18" s="154"/>
      <c r="AP18" s="154"/>
      <c r="AQ18" s="154"/>
      <c r="AR18" s="154"/>
      <c r="AS18" s="154"/>
      <c r="AT18" s="154"/>
      <c r="AU18" s="154"/>
      <c r="AV18" s="154"/>
      <c r="AW18" s="154"/>
      <c r="AX18" s="154"/>
    </row>
    <row r="19" spans="1:50" x14ac:dyDescent="0.2">
      <c r="E19" s="347"/>
      <c r="F19" s="146"/>
      <c r="G19" s="348"/>
      <c r="H19" s="146"/>
      <c r="I19" s="146"/>
      <c r="J19" s="146"/>
      <c r="K19" s="310"/>
      <c r="L19" s="146"/>
      <c r="M19" s="146"/>
      <c r="N19" s="146"/>
      <c r="O19" s="146"/>
      <c r="P19" s="146"/>
      <c r="Q19" s="146"/>
      <c r="R19" s="146"/>
      <c r="S19" s="146"/>
      <c r="T19" s="146"/>
      <c r="U19" s="146"/>
      <c r="V19" s="146"/>
      <c r="W19" s="146"/>
      <c r="X19" s="146"/>
      <c r="Y19" s="154"/>
      <c r="Z19" s="154"/>
      <c r="AA19" s="154"/>
      <c r="AB19" s="154"/>
      <c r="AC19" s="154"/>
      <c r="AD19" s="154"/>
      <c r="AE19" s="154"/>
      <c r="AF19" s="154"/>
      <c r="AG19" s="154"/>
      <c r="AH19" s="154"/>
      <c r="AI19" s="154"/>
      <c r="AJ19" s="154"/>
      <c r="AK19" s="154"/>
      <c r="AL19" s="154"/>
      <c r="AM19" s="154"/>
      <c r="AN19" s="154"/>
      <c r="AO19" s="154"/>
      <c r="AP19" s="154"/>
      <c r="AQ19" s="154"/>
      <c r="AR19" s="154"/>
      <c r="AS19" s="154"/>
      <c r="AT19" s="154"/>
      <c r="AU19" s="154"/>
      <c r="AV19" s="154"/>
      <c r="AW19" s="154"/>
      <c r="AX19" s="154"/>
    </row>
    <row r="20" spans="1:50" x14ac:dyDescent="0.2">
      <c r="A20" s="201" t="s">
        <v>102</v>
      </c>
      <c r="E20" s="352" t="s">
        <v>151</v>
      </c>
      <c r="F20" s="146"/>
      <c r="G20" s="348"/>
      <c r="H20" s="146"/>
      <c r="I20" s="146"/>
      <c r="J20" s="146"/>
      <c r="K20" s="310"/>
      <c r="L20" s="146"/>
      <c r="M20" s="146"/>
      <c r="N20" s="146"/>
      <c r="O20" s="146"/>
      <c r="P20" s="146"/>
      <c r="Q20" s="146"/>
      <c r="R20" s="146"/>
      <c r="S20" s="146"/>
      <c r="T20" s="146"/>
      <c r="U20" s="146"/>
      <c r="V20" s="146"/>
      <c r="W20" s="146"/>
      <c r="X20" s="146"/>
      <c r="Y20" s="154"/>
      <c r="Z20" s="154"/>
      <c r="AA20" s="154"/>
      <c r="AB20" s="154"/>
      <c r="AC20" s="154"/>
      <c r="AD20" s="154"/>
      <c r="AE20" s="154"/>
      <c r="AF20" s="154"/>
      <c r="AG20" s="154"/>
      <c r="AH20" s="154"/>
      <c r="AI20" s="154"/>
      <c r="AJ20" s="154"/>
      <c r="AK20" s="154"/>
      <c r="AL20" s="154"/>
      <c r="AM20" s="154"/>
      <c r="AN20" s="154"/>
      <c r="AO20" s="154"/>
      <c r="AP20" s="154"/>
      <c r="AQ20" s="154"/>
      <c r="AR20" s="154"/>
      <c r="AS20" s="154"/>
      <c r="AT20" s="154"/>
      <c r="AU20" s="154"/>
      <c r="AV20" s="154"/>
      <c r="AW20" s="154"/>
      <c r="AX20" s="154"/>
    </row>
    <row r="21" spans="1:50" ht="13.5" thickBot="1" x14ac:dyDescent="0.25">
      <c r="A21" s="203">
        <f>E21*1000000</f>
        <v>55726</v>
      </c>
      <c r="E21" s="359">
        <v>5.5725999999999998E-2</v>
      </c>
      <c r="F21" s="349"/>
      <c r="G21" s="350"/>
      <c r="H21" s="146"/>
      <c r="I21" s="146"/>
      <c r="J21" s="146"/>
      <c r="K21" s="310"/>
      <c r="L21" s="146"/>
      <c r="M21" s="146"/>
      <c r="N21" s="146"/>
      <c r="O21" s="146"/>
      <c r="P21" s="146"/>
      <c r="Q21" s="146"/>
      <c r="R21" s="146"/>
      <c r="S21" s="146"/>
      <c r="T21" s="146"/>
      <c r="U21" s="146"/>
      <c r="V21" s="146"/>
      <c r="W21" s="146"/>
      <c r="X21" s="146"/>
      <c r="Y21" s="154"/>
      <c r="Z21" s="154"/>
      <c r="AA21" s="154"/>
      <c r="AB21" s="154"/>
      <c r="AC21" s="154"/>
      <c r="AD21" s="154"/>
      <c r="AE21" s="154"/>
      <c r="AF21" s="154"/>
      <c r="AG21" s="154"/>
      <c r="AH21" s="154"/>
      <c r="AI21" s="154"/>
      <c r="AJ21" s="154"/>
      <c r="AK21" s="154"/>
      <c r="AL21" s="154"/>
      <c r="AM21" s="154"/>
      <c r="AN21" s="154"/>
      <c r="AO21" s="154"/>
      <c r="AP21" s="154"/>
      <c r="AQ21" s="154"/>
      <c r="AR21" s="154"/>
      <c r="AS21" s="154"/>
      <c r="AT21" s="154"/>
      <c r="AU21" s="154"/>
      <c r="AV21" s="154"/>
      <c r="AW21" s="154"/>
      <c r="AX21" s="154"/>
    </row>
    <row r="22" spans="1:50" x14ac:dyDescent="0.2">
      <c r="E22" s="154"/>
      <c r="F22" s="146"/>
      <c r="G22" s="146"/>
      <c r="H22" s="146"/>
      <c r="I22" s="146"/>
      <c r="J22" s="146"/>
      <c r="K22" s="310"/>
      <c r="L22" s="146"/>
      <c r="M22" s="146"/>
      <c r="N22" s="146"/>
      <c r="O22" s="146"/>
      <c r="P22" s="146"/>
      <c r="Q22" s="146"/>
      <c r="R22" s="146"/>
      <c r="S22" s="146"/>
      <c r="T22" s="146"/>
      <c r="U22" s="146"/>
      <c r="V22" s="146"/>
      <c r="W22" s="146"/>
      <c r="X22" s="146"/>
      <c r="Y22" s="154"/>
      <c r="Z22" s="154"/>
      <c r="AA22" s="154"/>
      <c r="AB22" s="154"/>
      <c r="AC22" s="154"/>
      <c r="AD22" s="154"/>
      <c r="AE22" s="154"/>
      <c r="AF22" s="154"/>
      <c r="AG22" s="154"/>
      <c r="AH22" s="154"/>
      <c r="AI22" s="154"/>
      <c r="AJ22" s="154"/>
      <c r="AK22" s="154"/>
      <c r="AL22" s="154"/>
      <c r="AM22" s="154"/>
      <c r="AN22" s="154"/>
      <c r="AO22" s="154"/>
      <c r="AP22" s="154"/>
      <c r="AQ22" s="154"/>
      <c r="AR22" s="154"/>
      <c r="AS22" s="154"/>
      <c r="AT22" s="154"/>
      <c r="AU22" s="154"/>
      <c r="AV22" s="154"/>
      <c r="AW22" s="154"/>
      <c r="AX22" s="154"/>
    </row>
    <row r="23" spans="1:50" x14ac:dyDescent="0.2">
      <c r="E23" s="154"/>
      <c r="F23" s="146"/>
      <c r="G23" s="146"/>
      <c r="H23" s="146"/>
      <c r="I23" s="146"/>
      <c r="J23" s="146"/>
      <c r="K23" s="310"/>
      <c r="L23" s="146"/>
      <c r="M23" s="146"/>
      <c r="N23" s="146"/>
      <c r="O23" s="146"/>
      <c r="P23" s="146"/>
      <c r="Q23" s="146"/>
      <c r="R23" s="146"/>
      <c r="S23" s="146"/>
      <c r="T23" s="146"/>
      <c r="U23" s="146"/>
      <c r="V23" s="146"/>
      <c r="W23" s="146"/>
      <c r="X23" s="146"/>
      <c r="Y23" s="154"/>
      <c r="Z23" s="154"/>
      <c r="AA23" s="154"/>
      <c r="AB23" s="154"/>
      <c r="AC23" s="154"/>
      <c r="AD23" s="154"/>
      <c r="AE23" s="154"/>
      <c r="AF23" s="154"/>
      <c r="AG23" s="154"/>
      <c r="AH23" s="154"/>
      <c r="AI23" s="154"/>
      <c r="AJ23" s="154"/>
      <c r="AK23" s="154"/>
      <c r="AL23" s="154"/>
      <c r="AM23" s="154"/>
      <c r="AN23" s="154"/>
      <c r="AO23" s="154"/>
      <c r="AP23" s="154"/>
      <c r="AQ23" s="154"/>
      <c r="AR23" s="154"/>
      <c r="AS23" s="154"/>
      <c r="AT23" s="154"/>
      <c r="AU23" s="154"/>
      <c r="AV23" s="154"/>
      <c r="AW23" s="154"/>
      <c r="AX23" s="154"/>
    </row>
    <row r="24" spans="1:50" x14ac:dyDescent="0.2">
      <c r="A24" s="360" t="s">
        <v>155</v>
      </c>
      <c r="B24" s="364" t="s">
        <v>159</v>
      </c>
      <c r="E24" s="154"/>
      <c r="F24" s="146"/>
      <c r="G24" s="146"/>
      <c r="H24" s="146"/>
      <c r="I24" s="146"/>
      <c r="J24" s="146"/>
      <c r="K24" s="310"/>
      <c r="L24" s="146"/>
      <c r="M24" s="146"/>
      <c r="N24" s="146"/>
      <c r="O24" s="146"/>
      <c r="P24" s="146"/>
      <c r="Q24" s="146"/>
      <c r="R24" s="146"/>
      <c r="S24" s="146"/>
      <c r="T24" s="146"/>
      <c r="U24" s="146"/>
      <c r="V24" s="146"/>
      <c r="W24" s="146"/>
      <c r="X24" s="146"/>
      <c r="Y24" s="154"/>
      <c r="Z24" s="154"/>
      <c r="AA24" s="154"/>
      <c r="AB24" s="154"/>
      <c r="AC24" s="154"/>
      <c r="AD24" s="154"/>
      <c r="AE24" s="154"/>
      <c r="AF24" s="154"/>
      <c r="AG24" s="154"/>
      <c r="AH24" s="154"/>
      <c r="AI24" s="154"/>
      <c r="AJ24" s="154"/>
      <c r="AK24" s="154"/>
      <c r="AL24" s="154"/>
      <c r="AM24" s="154"/>
      <c r="AN24" s="154"/>
      <c r="AO24" s="154"/>
      <c r="AP24" s="154"/>
      <c r="AQ24" s="154"/>
      <c r="AR24" s="154"/>
      <c r="AS24" s="154"/>
      <c r="AT24" s="154"/>
      <c r="AU24" s="154"/>
      <c r="AV24" s="154"/>
      <c r="AW24" s="154"/>
      <c r="AX24" s="154"/>
    </row>
    <row r="25" spans="1:50" x14ac:dyDescent="0.2">
      <c r="A25" s="351" t="s">
        <v>156</v>
      </c>
      <c r="B25" s="353">
        <v>92</v>
      </c>
      <c r="E25" s="154"/>
      <c r="F25" s="146"/>
      <c r="G25" s="146"/>
      <c r="H25" s="146"/>
      <c r="I25" s="146"/>
      <c r="J25" s="146"/>
      <c r="K25" s="310"/>
      <c r="L25" s="146"/>
      <c r="M25" s="146"/>
      <c r="N25" s="146"/>
      <c r="O25" s="146"/>
      <c r="P25" s="146"/>
      <c r="Q25" s="146"/>
      <c r="R25" s="146"/>
      <c r="S25" s="146"/>
      <c r="T25" s="146"/>
      <c r="U25" s="146"/>
      <c r="V25" s="146"/>
      <c r="W25" s="146"/>
      <c r="X25" s="146"/>
      <c r="Y25" s="154"/>
      <c r="Z25" s="154"/>
      <c r="AA25" s="154"/>
      <c r="AB25" s="154"/>
      <c r="AC25" s="154"/>
      <c r="AD25" s="154"/>
      <c r="AE25" s="154"/>
      <c r="AF25" s="154"/>
      <c r="AG25" s="154"/>
      <c r="AH25" s="154"/>
      <c r="AI25" s="154"/>
      <c r="AJ25" s="154"/>
      <c r="AK25" s="154"/>
      <c r="AL25" s="154"/>
      <c r="AM25" s="154"/>
      <c r="AN25" s="154"/>
      <c r="AO25" s="154"/>
      <c r="AP25" s="154"/>
      <c r="AQ25" s="154"/>
      <c r="AR25" s="154"/>
      <c r="AS25" s="154"/>
      <c r="AT25" s="154"/>
      <c r="AU25" s="154"/>
      <c r="AV25" s="154"/>
      <c r="AW25" s="154"/>
      <c r="AX25" s="154"/>
    </row>
    <row r="26" spans="1:50" x14ac:dyDescent="0.2">
      <c r="A26" s="201"/>
      <c r="E26" s="154"/>
      <c r="F26" s="146"/>
      <c r="G26" s="146"/>
      <c r="H26" s="146"/>
      <c r="I26" s="146"/>
      <c r="J26" s="146"/>
      <c r="K26" s="310"/>
      <c r="L26" s="146"/>
      <c r="M26" s="146"/>
      <c r="N26" s="146"/>
      <c r="O26" s="146"/>
      <c r="P26" s="146"/>
      <c r="Q26" s="146"/>
      <c r="R26" s="146"/>
      <c r="S26" s="146"/>
      <c r="T26" s="146"/>
      <c r="U26" s="146"/>
      <c r="V26" s="146"/>
      <c r="W26" s="146"/>
      <c r="X26" s="146"/>
      <c r="Y26" s="154"/>
      <c r="Z26" s="154"/>
      <c r="AA26" s="154"/>
      <c r="AB26" s="154"/>
      <c r="AC26" s="154"/>
      <c r="AD26" s="154"/>
      <c r="AE26" s="154"/>
      <c r="AF26" s="154"/>
      <c r="AG26" s="154"/>
      <c r="AH26" s="154"/>
      <c r="AI26" s="154"/>
      <c r="AJ26" s="154"/>
      <c r="AK26" s="154"/>
      <c r="AL26" s="154"/>
      <c r="AM26" s="154"/>
      <c r="AN26" s="154"/>
      <c r="AO26" s="154"/>
      <c r="AP26" s="154"/>
      <c r="AQ26" s="154"/>
      <c r="AR26" s="154"/>
      <c r="AS26" s="154"/>
      <c r="AT26" s="154"/>
      <c r="AU26" s="154"/>
      <c r="AV26" s="154"/>
      <c r="AW26" s="154"/>
      <c r="AX26" s="154"/>
    </row>
    <row r="27" spans="1:50" x14ac:dyDescent="0.2">
      <c r="A27" s="201"/>
      <c r="E27" s="154"/>
      <c r="F27" s="146"/>
      <c r="G27" s="146"/>
      <c r="H27" s="146"/>
      <c r="I27" s="146"/>
      <c r="J27" s="146"/>
      <c r="K27" s="310"/>
      <c r="L27" s="146"/>
      <c r="M27" s="146"/>
      <c r="N27" s="146"/>
      <c r="O27" s="146"/>
      <c r="P27" s="146"/>
      <c r="Q27" s="146"/>
      <c r="R27" s="146"/>
      <c r="S27" s="146"/>
      <c r="T27" s="146"/>
      <c r="U27" s="146"/>
      <c r="V27" s="146"/>
      <c r="W27" s="146"/>
      <c r="X27" s="146"/>
      <c r="Y27" s="154"/>
      <c r="Z27" s="154"/>
      <c r="AA27" s="154"/>
      <c r="AB27" s="154"/>
      <c r="AC27" s="154"/>
      <c r="AD27" s="154"/>
      <c r="AE27" s="154"/>
      <c r="AF27" s="154"/>
      <c r="AG27" s="154"/>
      <c r="AH27" s="154"/>
      <c r="AI27" s="154"/>
      <c r="AJ27" s="154"/>
      <c r="AK27" s="154"/>
      <c r="AL27" s="154"/>
      <c r="AM27" s="154"/>
      <c r="AN27" s="154"/>
      <c r="AO27" s="154"/>
      <c r="AP27" s="154"/>
      <c r="AQ27" s="154"/>
      <c r="AR27" s="154"/>
      <c r="AS27" s="154"/>
      <c r="AT27" s="154"/>
      <c r="AU27" s="154"/>
      <c r="AV27" s="154"/>
      <c r="AW27" s="154"/>
      <c r="AX27" s="154"/>
    </row>
    <row r="28" spans="1:50" x14ac:dyDescent="0.2">
      <c r="A28" s="201"/>
      <c r="E28" s="154"/>
      <c r="F28" s="146"/>
      <c r="G28" s="146"/>
      <c r="H28" s="146"/>
      <c r="I28" s="146"/>
      <c r="J28" s="146"/>
      <c r="K28" s="310"/>
      <c r="L28" s="146"/>
      <c r="M28" s="146"/>
      <c r="N28" s="146"/>
      <c r="O28" s="146"/>
      <c r="P28" s="146"/>
      <c r="Q28" s="146"/>
      <c r="R28" s="146"/>
      <c r="S28" s="146"/>
      <c r="T28" s="146"/>
      <c r="U28" s="146"/>
      <c r="V28" s="146"/>
      <c r="W28" s="146"/>
      <c r="X28" s="146"/>
      <c r="Y28" s="154"/>
      <c r="Z28" s="154"/>
      <c r="AA28" s="154"/>
      <c r="AB28" s="154"/>
      <c r="AC28" s="154"/>
      <c r="AD28" s="154"/>
      <c r="AE28" s="154"/>
      <c r="AF28" s="154"/>
      <c r="AG28" s="154"/>
      <c r="AH28" s="154"/>
      <c r="AI28" s="154"/>
      <c r="AJ28" s="154"/>
      <c r="AK28" s="154"/>
      <c r="AL28" s="154"/>
      <c r="AM28" s="154"/>
      <c r="AN28" s="154"/>
      <c r="AO28" s="154"/>
      <c r="AP28" s="154"/>
      <c r="AQ28" s="154"/>
      <c r="AR28" s="154"/>
      <c r="AS28" s="154"/>
      <c r="AT28" s="154"/>
      <c r="AU28" s="154"/>
      <c r="AV28" s="154"/>
      <c r="AW28" s="154"/>
      <c r="AX28" s="154"/>
    </row>
    <row r="29" spans="1:50" x14ac:dyDescent="0.2">
      <c r="E29" s="154"/>
      <c r="F29" s="146"/>
      <c r="G29" s="146"/>
      <c r="H29" s="146"/>
      <c r="I29" s="146"/>
      <c r="J29" s="146"/>
      <c r="K29" s="310"/>
      <c r="L29" s="146"/>
      <c r="M29" s="146"/>
      <c r="N29" s="146"/>
      <c r="O29" s="146"/>
      <c r="P29" s="146"/>
      <c r="Q29" s="146"/>
      <c r="R29" s="146"/>
      <c r="S29" s="146"/>
      <c r="T29" s="146"/>
      <c r="U29" s="146"/>
      <c r="V29" s="146"/>
      <c r="W29" s="146"/>
      <c r="X29" s="146"/>
      <c r="Y29" s="154"/>
      <c r="Z29" s="154"/>
      <c r="AA29" s="154"/>
      <c r="AB29" s="154"/>
      <c r="AC29" s="154"/>
      <c r="AD29" s="154"/>
      <c r="AE29" s="154"/>
      <c r="AF29" s="154"/>
      <c r="AG29" s="154"/>
      <c r="AH29" s="154"/>
      <c r="AI29" s="154"/>
      <c r="AJ29" s="154"/>
      <c r="AK29" s="154"/>
      <c r="AL29" s="154"/>
      <c r="AM29" s="154"/>
      <c r="AN29" s="154"/>
      <c r="AO29" s="154"/>
      <c r="AP29" s="154"/>
      <c r="AQ29" s="154"/>
      <c r="AR29" s="154"/>
      <c r="AS29" s="154"/>
      <c r="AT29" s="154"/>
      <c r="AU29" s="154"/>
      <c r="AV29" s="154"/>
      <c r="AW29" s="154"/>
      <c r="AX29" s="154"/>
    </row>
    <row r="30" spans="1:50" x14ac:dyDescent="0.2">
      <c r="E30" s="154"/>
      <c r="F30" s="146"/>
      <c r="G30" s="146"/>
      <c r="H30" s="146"/>
      <c r="I30" s="146"/>
      <c r="J30" s="146"/>
      <c r="K30" s="310"/>
      <c r="L30" s="146"/>
      <c r="M30" s="146"/>
      <c r="N30" s="146"/>
      <c r="O30" s="146"/>
      <c r="P30" s="146"/>
      <c r="Q30" s="146"/>
      <c r="R30" s="146"/>
      <c r="S30" s="146"/>
      <c r="T30" s="146"/>
      <c r="U30" s="146"/>
      <c r="V30" s="146"/>
      <c r="W30" s="146"/>
      <c r="X30" s="146"/>
      <c r="Y30" s="154"/>
      <c r="Z30" s="154"/>
      <c r="AA30" s="154"/>
      <c r="AB30" s="154"/>
      <c r="AC30" s="154"/>
      <c r="AD30" s="154"/>
      <c r="AE30" s="154"/>
      <c r="AF30" s="154"/>
      <c r="AG30" s="154"/>
      <c r="AH30" s="154"/>
      <c r="AI30" s="154"/>
      <c r="AJ30" s="154"/>
      <c r="AK30" s="154"/>
      <c r="AL30" s="154"/>
      <c r="AM30" s="154"/>
      <c r="AN30" s="154"/>
      <c r="AO30" s="154"/>
      <c r="AP30" s="154"/>
      <c r="AQ30" s="154"/>
      <c r="AR30" s="154"/>
      <c r="AS30" s="154"/>
      <c r="AT30" s="154"/>
      <c r="AU30" s="154"/>
      <c r="AV30" s="154"/>
      <c r="AW30" s="154"/>
      <c r="AX30" s="154"/>
    </row>
    <row r="31" spans="1:50" x14ac:dyDescent="0.2">
      <c r="E31" s="154"/>
      <c r="F31" s="146"/>
      <c r="G31" s="146"/>
      <c r="H31" s="146"/>
      <c r="I31" s="146"/>
      <c r="J31" s="146"/>
      <c r="K31" s="310"/>
      <c r="L31" s="146"/>
      <c r="M31" s="146"/>
      <c r="N31" s="146"/>
      <c r="O31" s="146"/>
      <c r="P31" s="146"/>
      <c r="Q31" s="146"/>
      <c r="R31" s="146"/>
      <c r="S31" s="146"/>
      <c r="T31" s="146"/>
      <c r="U31" s="146"/>
      <c r="V31" s="146"/>
      <c r="W31" s="146"/>
      <c r="X31" s="146"/>
      <c r="Y31" s="154"/>
      <c r="Z31" s="154"/>
      <c r="AA31" s="154"/>
      <c r="AB31" s="154"/>
      <c r="AC31" s="154"/>
      <c r="AD31" s="154"/>
      <c r="AE31" s="154"/>
      <c r="AF31" s="154"/>
      <c r="AG31" s="154"/>
      <c r="AH31" s="154"/>
      <c r="AI31" s="154"/>
      <c r="AJ31" s="154"/>
      <c r="AK31" s="154"/>
      <c r="AL31" s="154"/>
      <c r="AM31" s="154"/>
      <c r="AN31" s="154"/>
      <c r="AO31" s="154"/>
      <c r="AP31" s="154"/>
      <c r="AQ31" s="154"/>
      <c r="AR31" s="154"/>
      <c r="AS31" s="154"/>
      <c r="AT31" s="154"/>
      <c r="AU31" s="154"/>
      <c r="AV31" s="154"/>
      <c r="AW31" s="154"/>
      <c r="AX31" s="154"/>
    </row>
    <row r="32" spans="1:50" x14ac:dyDescent="0.2">
      <c r="F32" s="136"/>
      <c r="G32" s="136"/>
      <c r="H32" s="136"/>
      <c r="I32" s="136"/>
      <c r="J32" s="136"/>
      <c r="K32" s="315"/>
      <c r="L32" s="136"/>
      <c r="M32" s="136"/>
      <c r="N32" s="136"/>
      <c r="O32" s="136"/>
      <c r="P32" s="136"/>
      <c r="Q32" s="136"/>
      <c r="R32" s="136"/>
      <c r="S32" s="136"/>
      <c r="T32" s="136"/>
      <c r="U32" s="136"/>
      <c r="V32" s="136"/>
      <c r="W32" s="136"/>
      <c r="X32" s="136"/>
    </row>
    <row r="33" spans="6:24" x14ac:dyDescent="0.2">
      <c r="F33" s="136"/>
      <c r="G33" s="136"/>
      <c r="H33" s="136"/>
      <c r="I33" s="136"/>
      <c r="J33" s="136"/>
      <c r="K33" s="315"/>
      <c r="L33" s="136"/>
      <c r="M33" s="136"/>
      <c r="N33" s="136"/>
      <c r="O33" s="136"/>
      <c r="P33" s="136"/>
      <c r="Q33" s="136"/>
      <c r="R33" s="136"/>
      <c r="S33" s="136"/>
      <c r="T33" s="136"/>
      <c r="U33" s="136"/>
      <c r="V33" s="136"/>
      <c r="W33" s="136"/>
      <c r="X33" s="136"/>
    </row>
    <row r="34" spans="6:24" x14ac:dyDescent="0.2">
      <c r="F34" s="136"/>
      <c r="G34" s="136"/>
      <c r="H34" s="136"/>
      <c r="I34" s="136"/>
      <c r="J34" s="136"/>
      <c r="K34" s="315"/>
      <c r="L34" s="136"/>
      <c r="M34" s="136"/>
      <c r="N34" s="136"/>
      <c r="O34" s="136"/>
      <c r="P34" s="136"/>
      <c r="Q34" s="136"/>
      <c r="R34" s="136"/>
      <c r="S34" s="136"/>
      <c r="T34" s="136"/>
      <c r="U34" s="136"/>
      <c r="V34" s="136"/>
      <c r="W34" s="136"/>
      <c r="X34" s="136"/>
    </row>
    <row r="35" spans="6:24" x14ac:dyDescent="0.2">
      <c r="F35" s="136"/>
      <c r="G35" s="136"/>
      <c r="H35" s="136"/>
      <c r="I35" s="136"/>
      <c r="J35" s="136"/>
      <c r="K35" s="315"/>
      <c r="L35" s="136"/>
      <c r="M35" s="136"/>
      <c r="N35" s="136"/>
      <c r="O35" s="136"/>
      <c r="P35" s="136"/>
      <c r="Q35" s="136"/>
      <c r="R35" s="136"/>
      <c r="S35" s="136"/>
      <c r="T35" s="136"/>
      <c r="U35" s="136"/>
      <c r="V35" s="136"/>
      <c r="W35" s="136"/>
      <c r="X35" s="136"/>
    </row>
    <row r="36" spans="6:24" x14ac:dyDescent="0.2">
      <c r="F36" s="136"/>
      <c r="G36" s="136"/>
      <c r="H36" s="136"/>
      <c r="I36" s="136"/>
      <c r="J36" s="136"/>
      <c r="K36" s="315"/>
      <c r="L36" s="136"/>
      <c r="M36" s="136"/>
      <c r="N36" s="136"/>
      <c r="O36" s="136"/>
      <c r="P36" s="136"/>
      <c r="Q36" s="136"/>
      <c r="R36" s="136"/>
      <c r="S36" s="136"/>
      <c r="T36" s="136"/>
      <c r="U36" s="136"/>
      <c r="V36" s="136"/>
      <c r="W36" s="136"/>
      <c r="X36" s="136"/>
    </row>
    <row r="37" spans="6:24" x14ac:dyDescent="0.2">
      <c r="F37" s="136"/>
      <c r="G37" s="136"/>
      <c r="H37" s="136"/>
      <c r="I37" s="136"/>
      <c r="J37" s="136"/>
      <c r="K37" s="315"/>
      <c r="L37" s="136"/>
      <c r="M37" s="136"/>
      <c r="N37" s="136"/>
      <c r="O37" s="136"/>
      <c r="P37" s="136"/>
      <c r="Q37" s="136"/>
      <c r="R37" s="136"/>
      <c r="S37" s="136"/>
      <c r="T37" s="136"/>
      <c r="U37" s="136"/>
      <c r="V37" s="136"/>
      <c r="W37" s="136"/>
      <c r="X37" s="136"/>
    </row>
    <row r="38" spans="6:24" x14ac:dyDescent="0.2">
      <c r="F38" s="136"/>
      <c r="G38" s="136"/>
      <c r="H38" s="136"/>
      <c r="I38" s="136"/>
      <c r="J38" s="136"/>
      <c r="K38" s="315"/>
      <c r="L38" s="136"/>
      <c r="M38" s="136"/>
      <c r="N38" s="136"/>
      <c r="O38" s="136"/>
      <c r="P38" s="136"/>
      <c r="Q38" s="136"/>
      <c r="R38" s="136"/>
      <c r="S38" s="136"/>
      <c r="T38" s="136"/>
      <c r="U38" s="136"/>
      <c r="V38" s="136"/>
      <c r="W38" s="136"/>
      <c r="X38" s="136"/>
    </row>
    <row r="39" spans="6:24" x14ac:dyDescent="0.2">
      <c r="F39" s="136"/>
      <c r="G39" s="136"/>
      <c r="H39" s="136"/>
      <c r="I39" s="136"/>
      <c r="J39" s="136"/>
      <c r="K39" s="315"/>
      <c r="L39" s="136"/>
      <c r="M39" s="136"/>
      <c r="N39" s="136"/>
      <c r="O39" s="136"/>
      <c r="P39" s="136"/>
      <c r="Q39" s="136"/>
      <c r="R39" s="136"/>
      <c r="S39" s="136"/>
      <c r="T39" s="136"/>
      <c r="U39" s="136"/>
      <c r="V39" s="136"/>
      <c r="W39" s="136"/>
      <c r="X39" s="136"/>
    </row>
    <row r="40" spans="6:24" x14ac:dyDescent="0.2">
      <c r="F40" s="136"/>
      <c r="G40" s="136"/>
      <c r="H40" s="136"/>
      <c r="I40" s="136"/>
      <c r="J40" s="136"/>
      <c r="K40" s="315"/>
      <c r="L40" s="136"/>
      <c r="M40" s="136"/>
      <c r="N40" s="136"/>
      <c r="O40" s="136"/>
      <c r="P40" s="136"/>
      <c r="Q40" s="136"/>
      <c r="R40" s="136"/>
      <c r="S40" s="136"/>
      <c r="T40" s="136"/>
      <c r="U40" s="136"/>
      <c r="V40" s="136"/>
      <c r="W40" s="136"/>
      <c r="X40" s="136"/>
    </row>
    <row r="41" spans="6:24" x14ac:dyDescent="0.2">
      <c r="F41" s="136"/>
      <c r="G41" s="136"/>
      <c r="H41" s="136"/>
      <c r="I41" s="136"/>
      <c r="J41" s="136"/>
      <c r="K41" s="315"/>
      <c r="L41" s="136"/>
      <c r="M41" s="136"/>
      <c r="N41" s="136"/>
      <c r="O41" s="136"/>
      <c r="P41" s="136"/>
      <c r="Q41" s="136"/>
      <c r="R41" s="136"/>
      <c r="S41" s="136"/>
      <c r="T41" s="136"/>
      <c r="U41" s="136"/>
      <c r="V41" s="136"/>
      <c r="W41" s="136"/>
      <c r="X41" s="136"/>
    </row>
    <row r="42" spans="6:24" x14ac:dyDescent="0.2">
      <c r="F42" s="136"/>
      <c r="G42" s="136"/>
      <c r="H42" s="136"/>
      <c r="I42" s="136"/>
      <c r="J42" s="136"/>
      <c r="K42" s="315"/>
      <c r="L42" s="136"/>
      <c r="M42" s="136"/>
      <c r="N42" s="136"/>
      <c r="O42" s="136"/>
      <c r="P42" s="136"/>
      <c r="Q42" s="136"/>
      <c r="R42" s="136"/>
      <c r="S42" s="136"/>
      <c r="T42" s="136"/>
      <c r="U42" s="136"/>
      <c r="V42" s="136"/>
      <c r="W42" s="136"/>
      <c r="X42" s="136"/>
    </row>
    <row r="43" spans="6:24" x14ac:dyDescent="0.2">
      <c r="F43" s="136"/>
      <c r="G43" s="136"/>
      <c r="H43" s="136"/>
      <c r="I43" s="136"/>
      <c r="J43" s="136"/>
      <c r="K43" s="315"/>
      <c r="L43" s="136"/>
      <c r="M43" s="136"/>
      <c r="N43" s="136"/>
      <c r="O43" s="136"/>
      <c r="P43" s="136"/>
      <c r="Q43" s="136"/>
      <c r="R43" s="136"/>
      <c r="S43" s="136"/>
      <c r="T43" s="136"/>
      <c r="U43" s="136"/>
      <c r="V43" s="136"/>
      <c r="W43" s="136"/>
      <c r="X43" s="136"/>
    </row>
    <row r="44" spans="6:24" x14ac:dyDescent="0.2">
      <c r="F44" s="136"/>
      <c r="G44" s="136"/>
      <c r="H44" s="136"/>
      <c r="I44" s="136"/>
      <c r="J44" s="136"/>
      <c r="K44" s="315"/>
      <c r="L44" s="136"/>
      <c r="M44" s="136"/>
      <c r="N44" s="136"/>
      <c r="O44" s="136"/>
      <c r="P44" s="136"/>
      <c r="Q44" s="136"/>
      <c r="R44" s="136"/>
      <c r="S44" s="136"/>
      <c r="T44" s="136"/>
      <c r="U44" s="136"/>
      <c r="V44" s="136"/>
      <c r="W44" s="136"/>
      <c r="X44" s="136"/>
    </row>
    <row r="45" spans="6:24" x14ac:dyDescent="0.2">
      <c r="F45" s="136"/>
      <c r="G45" s="136"/>
      <c r="H45" s="136"/>
      <c r="I45" s="136"/>
      <c r="J45" s="136"/>
      <c r="K45" s="315"/>
      <c r="L45" s="136"/>
      <c r="M45" s="136"/>
      <c r="N45" s="136"/>
      <c r="O45" s="136"/>
      <c r="P45" s="136"/>
      <c r="Q45" s="136"/>
      <c r="R45" s="136"/>
      <c r="S45" s="136"/>
      <c r="T45" s="136"/>
      <c r="U45" s="136"/>
      <c r="V45" s="136"/>
      <c r="W45" s="136"/>
      <c r="X45" s="136"/>
    </row>
    <row r="46" spans="6:24" x14ac:dyDescent="0.2">
      <c r="F46" s="136"/>
      <c r="G46" s="136"/>
      <c r="H46" s="136"/>
      <c r="I46" s="136"/>
      <c r="J46" s="136"/>
      <c r="K46" s="315"/>
      <c r="L46" s="136"/>
      <c r="M46" s="136"/>
      <c r="N46" s="136"/>
      <c r="O46" s="136"/>
      <c r="P46" s="136"/>
      <c r="Q46" s="136"/>
      <c r="R46" s="136"/>
      <c r="S46" s="136"/>
      <c r="T46" s="136"/>
      <c r="U46" s="136"/>
      <c r="V46" s="136"/>
      <c r="W46" s="136"/>
      <c r="X46" s="136"/>
    </row>
    <row r="47" spans="6:24" x14ac:dyDescent="0.2">
      <c r="F47" s="136"/>
      <c r="G47" s="136"/>
      <c r="H47" s="136"/>
      <c r="I47" s="136"/>
      <c r="J47" s="136"/>
      <c r="K47" s="315"/>
      <c r="L47" s="136"/>
      <c r="M47" s="136"/>
      <c r="N47" s="136"/>
      <c r="O47" s="136"/>
      <c r="P47" s="136"/>
      <c r="Q47" s="136"/>
      <c r="R47" s="136"/>
      <c r="S47" s="136"/>
      <c r="T47" s="136"/>
      <c r="U47" s="136"/>
      <c r="V47" s="136"/>
      <c r="W47" s="136"/>
      <c r="X47" s="136"/>
    </row>
    <row r="48" spans="6:24" x14ac:dyDescent="0.2">
      <c r="F48" s="136"/>
      <c r="G48" s="136"/>
      <c r="H48" s="136"/>
      <c r="I48" s="136"/>
      <c r="J48" s="136"/>
      <c r="K48" s="315"/>
      <c r="L48" s="136"/>
      <c r="M48" s="136"/>
      <c r="N48" s="136"/>
      <c r="O48" s="136"/>
      <c r="P48" s="136"/>
      <c r="Q48" s="136"/>
      <c r="R48" s="136"/>
      <c r="S48" s="136"/>
      <c r="T48" s="136"/>
      <c r="U48" s="136"/>
      <c r="V48" s="136"/>
      <c r="W48" s="136"/>
      <c r="X48" s="136"/>
    </row>
    <row r="49" spans="6:24" x14ac:dyDescent="0.2">
      <c r="F49" s="136"/>
      <c r="G49" s="136"/>
      <c r="H49" s="136"/>
      <c r="I49" s="136"/>
      <c r="J49" s="136"/>
      <c r="K49" s="315"/>
      <c r="L49" s="136"/>
      <c r="M49" s="136"/>
      <c r="N49" s="136"/>
      <c r="O49" s="136"/>
      <c r="P49" s="136"/>
      <c r="Q49" s="136"/>
      <c r="R49" s="136"/>
      <c r="S49" s="136"/>
      <c r="T49" s="136"/>
      <c r="U49" s="136"/>
      <c r="V49" s="136"/>
      <c r="W49" s="136"/>
      <c r="X49" s="136"/>
    </row>
    <row r="50" spans="6:24" x14ac:dyDescent="0.2">
      <c r="F50" s="136"/>
      <c r="G50" s="136"/>
      <c r="H50" s="136"/>
      <c r="I50" s="136"/>
      <c r="J50" s="136"/>
      <c r="K50" s="315"/>
      <c r="L50" s="136"/>
      <c r="M50" s="136"/>
      <c r="N50" s="136"/>
      <c r="O50" s="136"/>
      <c r="P50" s="136"/>
      <c r="Q50" s="136"/>
      <c r="R50" s="136"/>
      <c r="S50" s="136"/>
      <c r="T50" s="136"/>
      <c r="U50" s="136"/>
      <c r="V50" s="136"/>
      <c r="W50" s="136"/>
      <c r="X50" s="136"/>
    </row>
    <row r="51" spans="6:24" x14ac:dyDescent="0.2">
      <c r="F51" s="136"/>
      <c r="G51" s="136"/>
      <c r="H51" s="136"/>
      <c r="I51" s="136"/>
      <c r="J51" s="136"/>
      <c r="K51" s="315"/>
      <c r="L51" s="136"/>
      <c r="M51" s="136"/>
      <c r="N51" s="136"/>
      <c r="O51" s="136"/>
      <c r="P51" s="136"/>
      <c r="Q51" s="136"/>
      <c r="R51" s="136"/>
      <c r="S51" s="136"/>
      <c r="T51" s="136"/>
      <c r="U51" s="136"/>
      <c r="V51" s="136"/>
      <c r="W51" s="136"/>
      <c r="X51" s="136"/>
    </row>
    <row r="52" spans="6:24" x14ac:dyDescent="0.2">
      <c r="F52" s="136"/>
      <c r="G52" s="136"/>
      <c r="H52" s="136"/>
      <c r="I52" s="136"/>
      <c r="J52" s="136"/>
      <c r="K52" s="315"/>
      <c r="L52" s="136"/>
      <c r="M52" s="136"/>
      <c r="N52" s="136"/>
      <c r="O52" s="136"/>
      <c r="P52" s="136"/>
      <c r="Q52" s="136"/>
      <c r="R52" s="136"/>
      <c r="S52" s="136"/>
      <c r="T52" s="136"/>
      <c r="U52" s="136"/>
      <c r="V52" s="136"/>
      <c r="W52" s="136"/>
      <c r="X52" s="136"/>
    </row>
    <row r="53" spans="6:24" x14ac:dyDescent="0.2">
      <c r="F53" s="136"/>
      <c r="G53" s="136"/>
      <c r="H53" s="136"/>
      <c r="I53" s="136"/>
      <c r="J53" s="136"/>
      <c r="K53" s="315"/>
      <c r="L53" s="136"/>
      <c r="M53" s="136"/>
      <c r="N53" s="136"/>
      <c r="O53" s="136"/>
      <c r="P53" s="136"/>
      <c r="Q53" s="136"/>
      <c r="R53" s="136"/>
      <c r="S53" s="136"/>
      <c r="T53" s="136"/>
      <c r="U53" s="136"/>
      <c r="V53" s="136"/>
      <c r="W53" s="136"/>
      <c r="X53" s="136"/>
    </row>
    <row r="54" spans="6:24" x14ac:dyDescent="0.2">
      <c r="F54" s="136"/>
      <c r="G54" s="136"/>
      <c r="H54" s="136"/>
      <c r="I54" s="136"/>
      <c r="J54" s="136"/>
      <c r="K54" s="315"/>
      <c r="L54" s="136"/>
      <c r="M54" s="136"/>
      <c r="N54" s="136"/>
      <c r="O54" s="136"/>
      <c r="P54" s="136"/>
      <c r="Q54" s="136"/>
      <c r="R54" s="136"/>
      <c r="S54" s="136"/>
      <c r="T54" s="136"/>
      <c r="U54" s="136"/>
      <c r="V54" s="136"/>
      <c r="W54" s="136"/>
      <c r="X54" s="136"/>
    </row>
    <row r="55" spans="6:24" x14ac:dyDescent="0.2">
      <c r="F55" s="136"/>
      <c r="G55" s="136"/>
      <c r="H55" s="136"/>
      <c r="I55" s="136"/>
      <c r="J55" s="136"/>
      <c r="K55" s="315"/>
      <c r="L55" s="136"/>
      <c r="M55" s="136"/>
      <c r="N55" s="136"/>
      <c r="O55" s="136"/>
      <c r="P55" s="136"/>
      <c r="Q55" s="136"/>
      <c r="R55" s="136"/>
      <c r="S55" s="136"/>
      <c r="T55" s="136"/>
      <c r="U55" s="136"/>
      <c r="V55" s="136"/>
      <c r="W55" s="136"/>
      <c r="X55" s="136"/>
    </row>
    <row r="56" spans="6:24" x14ac:dyDescent="0.2">
      <c r="F56" s="136"/>
      <c r="G56" s="136"/>
      <c r="H56" s="136"/>
      <c r="I56" s="136"/>
      <c r="J56" s="136"/>
      <c r="K56" s="315"/>
      <c r="L56" s="136"/>
      <c r="M56" s="136"/>
      <c r="N56" s="136"/>
      <c r="O56" s="136"/>
      <c r="P56" s="136"/>
      <c r="Q56" s="136"/>
      <c r="R56" s="136"/>
      <c r="S56" s="136"/>
      <c r="T56" s="136"/>
      <c r="U56" s="136"/>
      <c r="V56" s="136"/>
      <c r="W56" s="136"/>
      <c r="X56" s="136"/>
    </row>
    <row r="57" spans="6:24" x14ac:dyDescent="0.2">
      <c r="F57" s="136"/>
      <c r="G57" s="136"/>
      <c r="H57" s="136"/>
      <c r="I57" s="136"/>
      <c r="J57" s="136"/>
      <c r="K57" s="315"/>
      <c r="L57" s="136"/>
      <c r="M57" s="136"/>
      <c r="N57" s="136"/>
      <c r="O57" s="136"/>
      <c r="P57" s="136"/>
      <c r="Q57" s="136"/>
      <c r="R57" s="136"/>
      <c r="S57" s="136"/>
      <c r="T57" s="136"/>
      <c r="U57" s="136"/>
      <c r="V57" s="136"/>
      <c r="W57" s="136"/>
      <c r="X57" s="136"/>
    </row>
    <row r="58" spans="6:24" x14ac:dyDescent="0.2">
      <c r="K58" s="126"/>
    </row>
    <row r="59" spans="6:24" x14ac:dyDescent="0.2">
      <c r="K59" s="126"/>
    </row>
    <row r="60" spans="6:24" x14ac:dyDescent="0.2">
      <c r="K60" s="126"/>
    </row>
    <row r="61" spans="6:24" x14ac:dyDescent="0.2">
      <c r="K61" s="126"/>
    </row>
    <row r="62" spans="6:24" x14ac:dyDescent="0.2">
      <c r="K62" s="126"/>
    </row>
    <row r="63" spans="6:24" x14ac:dyDescent="0.2">
      <c r="K63" s="126"/>
    </row>
    <row r="64" spans="6:24" x14ac:dyDescent="0.2">
      <c r="K64" s="126"/>
    </row>
    <row r="65" spans="11:11" x14ac:dyDescent="0.2">
      <c r="K65" s="126"/>
    </row>
    <row r="66" spans="11:11" x14ac:dyDescent="0.2">
      <c r="K66" s="126"/>
    </row>
    <row r="67" spans="11:11" x14ac:dyDescent="0.2">
      <c r="K67" s="126"/>
    </row>
    <row r="68" spans="11:11" x14ac:dyDescent="0.2">
      <c r="K68" s="126"/>
    </row>
    <row r="69" spans="11:11" x14ac:dyDescent="0.2">
      <c r="K69" s="126"/>
    </row>
    <row r="70" spans="11:11" x14ac:dyDescent="0.2">
      <c r="K70" s="126"/>
    </row>
    <row r="71" spans="11:11" x14ac:dyDescent="0.2">
      <c r="K71" s="126"/>
    </row>
    <row r="72" spans="11:11" x14ac:dyDescent="0.2">
      <c r="K72" s="126"/>
    </row>
    <row r="73" spans="11:11" x14ac:dyDescent="0.2">
      <c r="K73" s="126"/>
    </row>
    <row r="74" spans="11:11" x14ac:dyDescent="0.2">
      <c r="K74" s="126"/>
    </row>
    <row r="75" spans="11:11" x14ac:dyDescent="0.2">
      <c r="K75" s="126"/>
    </row>
    <row r="76" spans="11:11" x14ac:dyDescent="0.2">
      <c r="K76" s="126"/>
    </row>
    <row r="77" spans="11:11" x14ac:dyDescent="0.2">
      <c r="K77" s="126"/>
    </row>
    <row r="78" spans="11:11" x14ac:dyDescent="0.2">
      <c r="K78" s="126"/>
    </row>
    <row r="79" spans="11:11" x14ac:dyDescent="0.2">
      <c r="K79" s="126"/>
    </row>
    <row r="80" spans="11:11" x14ac:dyDescent="0.2">
      <c r="K80" s="126"/>
    </row>
    <row r="81" spans="11:11" x14ac:dyDescent="0.2">
      <c r="K81" s="126"/>
    </row>
    <row r="82" spans="11:11" x14ac:dyDescent="0.2">
      <c r="K82" s="126"/>
    </row>
    <row r="83" spans="11:11" x14ac:dyDescent="0.2">
      <c r="K83" s="126"/>
    </row>
    <row r="84" spans="11:11" x14ac:dyDescent="0.2">
      <c r="K84" s="126"/>
    </row>
    <row r="85" spans="11:11" x14ac:dyDescent="0.2">
      <c r="K85" s="126"/>
    </row>
    <row r="86" spans="11:11" x14ac:dyDescent="0.2">
      <c r="K86" s="126"/>
    </row>
    <row r="87" spans="11:11" x14ac:dyDescent="0.2">
      <c r="K87" s="126"/>
    </row>
    <row r="88" spans="11:11" x14ac:dyDescent="0.2">
      <c r="K88" s="126"/>
    </row>
    <row r="89" spans="11:11" x14ac:dyDescent="0.2">
      <c r="K89" s="126"/>
    </row>
    <row r="90" spans="11:11" x14ac:dyDescent="0.2">
      <c r="K90" s="126"/>
    </row>
    <row r="91" spans="11:11" x14ac:dyDescent="0.2">
      <c r="K91" s="126"/>
    </row>
    <row r="92" spans="11:11" x14ac:dyDescent="0.2">
      <c r="K92" s="126"/>
    </row>
    <row r="93" spans="11:11" x14ac:dyDescent="0.2">
      <c r="K93" s="126"/>
    </row>
    <row r="94" spans="11:11" x14ac:dyDescent="0.2">
      <c r="K94" s="126"/>
    </row>
    <row r="95" spans="11:11" x14ac:dyDescent="0.2">
      <c r="K95" s="126"/>
    </row>
    <row r="96" spans="11:11" x14ac:dyDescent="0.2">
      <c r="K96" s="126"/>
    </row>
    <row r="97" spans="11:11" x14ac:dyDescent="0.2">
      <c r="K97" s="126"/>
    </row>
    <row r="98" spans="11:11" x14ac:dyDescent="0.2">
      <c r="K98" s="126"/>
    </row>
    <row r="99" spans="11:11" x14ac:dyDescent="0.2">
      <c r="K99" s="126"/>
    </row>
    <row r="100" spans="11:11" x14ac:dyDescent="0.2">
      <c r="K100" s="126"/>
    </row>
    <row r="101" spans="11:11" x14ac:dyDescent="0.2">
      <c r="K101" s="126"/>
    </row>
    <row r="102" spans="11:11" x14ac:dyDescent="0.2">
      <c r="K102" s="126"/>
    </row>
    <row r="103" spans="11:11" x14ac:dyDescent="0.2">
      <c r="K103" s="126"/>
    </row>
    <row r="104" spans="11:11" x14ac:dyDescent="0.2">
      <c r="K104" s="126"/>
    </row>
    <row r="105" spans="11:11" x14ac:dyDescent="0.2">
      <c r="K105" s="126"/>
    </row>
    <row r="106" spans="11:11" x14ac:dyDescent="0.2">
      <c r="K106" s="126"/>
    </row>
    <row r="107" spans="11:11" x14ac:dyDescent="0.2">
      <c r="K107" s="126"/>
    </row>
    <row r="108" spans="11:11" x14ac:dyDescent="0.2">
      <c r="K108" s="126"/>
    </row>
    <row r="109" spans="11:11" x14ac:dyDescent="0.2">
      <c r="K109" s="126"/>
    </row>
    <row r="110" spans="11:11" x14ac:dyDescent="0.2">
      <c r="K110" s="126"/>
    </row>
    <row r="111" spans="11:11" x14ac:dyDescent="0.2">
      <c r="K111" s="126"/>
    </row>
    <row r="112" spans="11:11" x14ac:dyDescent="0.2">
      <c r="K112" s="126"/>
    </row>
    <row r="113" spans="11:11" x14ac:dyDescent="0.2">
      <c r="K113" s="126"/>
    </row>
    <row r="114" spans="11:11" x14ac:dyDescent="0.2">
      <c r="K114" s="126"/>
    </row>
    <row r="115" spans="11:11" x14ac:dyDescent="0.2">
      <c r="K115" s="126"/>
    </row>
    <row r="116" spans="11:11" x14ac:dyDescent="0.2">
      <c r="K116" s="126"/>
    </row>
    <row r="117" spans="11:11" x14ac:dyDescent="0.2">
      <c r="K117" s="126"/>
    </row>
    <row r="118" spans="11:11" x14ac:dyDescent="0.2">
      <c r="K118" s="126"/>
    </row>
    <row r="119" spans="11:11" x14ac:dyDescent="0.2">
      <c r="K119" s="126"/>
    </row>
    <row r="120" spans="11:11" x14ac:dyDescent="0.2">
      <c r="K120" s="126"/>
    </row>
    <row r="121" spans="11:11" x14ac:dyDescent="0.2">
      <c r="K121" s="126"/>
    </row>
    <row r="122" spans="11:11" x14ac:dyDescent="0.2">
      <c r="K122" s="126"/>
    </row>
    <row r="123" spans="11:11" x14ac:dyDescent="0.2">
      <c r="K123" s="126"/>
    </row>
    <row r="124" spans="11:11" x14ac:dyDescent="0.2">
      <c r="K124" s="126"/>
    </row>
    <row r="125" spans="11:11" x14ac:dyDescent="0.2">
      <c r="K125" s="126"/>
    </row>
    <row r="126" spans="11:11" x14ac:dyDescent="0.2">
      <c r="K126" s="126"/>
    </row>
    <row r="127" spans="11:11" x14ac:dyDescent="0.2">
      <c r="K127" s="126"/>
    </row>
    <row r="128" spans="11:11" x14ac:dyDescent="0.2">
      <c r="K128" s="126"/>
    </row>
    <row r="129" spans="11:11" x14ac:dyDescent="0.2">
      <c r="K129" s="126"/>
    </row>
    <row r="130" spans="11:11" x14ac:dyDescent="0.2">
      <c r="K130" s="126"/>
    </row>
    <row r="131" spans="11:11" x14ac:dyDescent="0.2">
      <c r="K131" s="126"/>
    </row>
    <row r="132" spans="11:11" x14ac:dyDescent="0.2">
      <c r="K132" s="126"/>
    </row>
    <row r="133" spans="11:11" x14ac:dyDescent="0.2">
      <c r="K133" s="126"/>
    </row>
    <row r="134" spans="11:11" x14ac:dyDescent="0.2">
      <c r="K134" s="126"/>
    </row>
    <row r="135" spans="11:11" x14ac:dyDescent="0.2">
      <c r="K135" s="126"/>
    </row>
    <row r="136" spans="11:11" x14ac:dyDescent="0.2">
      <c r="K136" s="126"/>
    </row>
    <row r="137" spans="11:11" x14ac:dyDescent="0.2">
      <c r="K137" s="126"/>
    </row>
    <row r="138" spans="11:11" x14ac:dyDescent="0.2">
      <c r="K138" s="126"/>
    </row>
    <row r="139" spans="11:11" x14ac:dyDescent="0.2">
      <c r="K139" s="126"/>
    </row>
    <row r="140" spans="11:11" x14ac:dyDescent="0.2">
      <c r="K140" s="126"/>
    </row>
    <row r="141" spans="11:11" x14ac:dyDescent="0.2">
      <c r="K141" s="126"/>
    </row>
    <row r="142" spans="11:11" x14ac:dyDescent="0.2">
      <c r="K142" s="126"/>
    </row>
    <row r="143" spans="11:11" x14ac:dyDescent="0.2">
      <c r="K143" s="126"/>
    </row>
    <row r="144" spans="11:11" x14ac:dyDescent="0.2">
      <c r="K144" s="126"/>
    </row>
    <row r="145" spans="11:11" x14ac:dyDescent="0.2">
      <c r="K145" s="126"/>
    </row>
    <row r="146" spans="11:11" x14ac:dyDescent="0.2">
      <c r="K146" s="126"/>
    </row>
    <row r="147" spans="11:11" x14ac:dyDescent="0.2">
      <c r="K147" s="126"/>
    </row>
    <row r="148" spans="11:11" x14ac:dyDescent="0.2">
      <c r="K148" s="126"/>
    </row>
    <row r="149" spans="11:11" x14ac:dyDescent="0.2">
      <c r="K149" s="126"/>
    </row>
    <row r="150" spans="11:11" x14ac:dyDescent="0.2">
      <c r="K150" s="126"/>
    </row>
    <row r="151" spans="11:11" x14ac:dyDescent="0.2">
      <c r="K151" s="126"/>
    </row>
    <row r="152" spans="11:11" x14ac:dyDescent="0.2">
      <c r="K152" s="126"/>
    </row>
    <row r="153" spans="11:11" x14ac:dyDescent="0.2">
      <c r="K153" s="126"/>
    </row>
    <row r="154" spans="11:11" x14ac:dyDescent="0.2">
      <c r="K154" s="126"/>
    </row>
    <row r="155" spans="11:11" x14ac:dyDescent="0.2">
      <c r="K155" s="126"/>
    </row>
    <row r="156" spans="11:11" x14ac:dyDescent="0.2">
      <c r="K156" s="126"/>
    </row>
    <row r="157" spans="11:11" x14ac:dyDescent="0.2">
      <c r="K157" s="126"/>
    </row>
    <row r="158" spans="11:11" x14ac:dyDescent="0.2">
      <c r="K158" s="126"/>
    </row>
    <row r="159" spans="11:11" x14ac:dyDescent="0.2">
      <c r="K159" s="126"/>
    </row>
    <row r="160" spans="11:11" x14ac:dyDescent="0.2">
      <c r="K160" s="126"/>
    </row>
    <row r="161" spans="11:11" x14ac:dyDescent="0.2">
      <c r="K161" s="126"/>
    </row>
    <row r="162" spans="11:11" x14ac:dyDescent="0.2">
      <c r="K162" s="126"/>
    </row>
    <row r="163" spans="11:11" x14ac:dyDescent="0.2">
      <c r="K163" s="126"/>
    </row>
    <row r="164" spans="11:11" x14ac:dyDescent="0.2">
      <c r="K164" s="126"/>
    </row>
    <row r="165" spans="11:11" x14ac:dyDescent="0.2">
      <c r="K165" s="126"/>
    </row>
    <row r="166" spans="11:11" x14ac:dyDescent="0.2">
      <c r="K166" s="126"/>
    </row>
    <row r="167" spans="11:11" x14ac:dyDescent="0.2">
      <c r="K167" s="126"/>
    </row>
    <row r="168" spans="11:11" x14ac:dyDescent="0.2">
      <c r="K168" s="126"/>
    </row>
    <row r="169" spans="11:11" x14ac:dyDescent="0.2">
      <c r="K169" s="126"/>
    </row>
    <row r="170" spans="11:11" x14ac:dyDescent="0.2">
      <c r="K170" s="126"/>
    </row>
    <row r="171" spans="11:11" x14ac:dyDescent="0.2">
      <c r="K171" s="126"/>
    </row>
    <row r="172" spans="11:11" x14ac:dyDescent="0.2">
      <c r="K172" s="126"/>
    </row>
    <row r="173" spans="11:11" x14ac:dyDescent="0.2">
      <c r="K173" s="126"/>
    </row>
    <row r="174" spans="11:11" x14ac:dyDescent="0.2">
      <c r="K174" s="126"/>
    </row>
    <row r="175" spans="11:11" x14ac:dyDescent="0.2">
      <c r="K175" s="126"/>
    </row>
    <row r="176" spans="11:11" x14ac:dyDescent="0.2">
      <c r="K176" s="126"/>
    </row>
    <row r="177" spans="11:11" x14ac:dyDescent="0.2">
      <c r="K177" s="126"/>
    </row>
    <row r="178" spans="11:11" x14ac:dyDescent="0.2">
      <c r="K178" s="126"/>
    </row>
    <row r="179" spans="11:11" x14ac:dyDescent="0.2">
      <c r="K179" s="126"/>
    </row>
    <row r="180" spans="11:11" x14ac:dyDescent="0.2">
      <c r="K180" s="126"/>
    </row>
    <row r="181" spans="11:11" x14ac:dyDescent="0.2">
      <c r="K181" s="126"/>
    </row>
    <row r="182" spans="11:11" x14ac:dyDescent="0.2">
      <c r="K182" s="126"/>
    </row>
    <row r="183" spans="11:11" x14ac:dyDescent="0.2">
      <c r="K183" s="126"/>
    </row>
    <row r="184" spans="11:11" x14ac:dyDescent="0.2">
      <c r="K184" s="126"/>
    </row>
    <row r="185" spans="11:11" x14ac:dyDescent="0.2">
      <c r="K185" s="126"/>
    </row>
    <row r="186" spans="11:11" x14ac:dyDescent="0.2">
      <c r="K186" s="126"/>
    </row>
    <row r="187" spans="11:11" x14ac:dyDescent="0.2">
      <c r="K187" s="126"/>
    </row>
    <row r="188" spans="11:11" x14ac:dyDescent="0.2">
      <c r="K188" s="126"/>
    </row>
    <row r="189" spans="11:11" x14ac:dyDescent="0.2">
      <c r="K189" s="126"/>
    </row>
    <row r="190" spans="11:11" x14ac:dyDescent="0.2">
      <c r="K190" s="126"/>
    </row>
    <row r="191" spans="11:11" x14ac:dyDescent="0.2">
      <c r="K191" s="126"/>
    </row>
    <row r="192" spans="11:11" x14ac:dyDescent="0.2">
      <c r="K192" s="126"/>
    </row>
    <row r="193" spans="11:11" x14ac:dyDescent="0.2">
      <c r="K193" s="126"/>
    </row>
    <row r="194" spans="11:11" x14ac:dyDescent="0.2">
      <c r="K194" s="126"/>
    </row>
    <row r="195" spans="11:11" x14ac:dyDescent="0.2">
      <c r="K195" s="126"/>
    </row>
    <row r="196" spans="11:11" x14ac:dyDescent="0.2">
      <c r="K196" s="126"/>
    </row>
    <row r="197" spans="11:11" x14ac:dyDescent="0.2">
      <c r="K197" s="126"/>
    </row>
    <row r="198" spans="11:11" x14ac:dyDescent="0.2">
      <c r="K198" s="126"/>
    </row>
    <row r="199" spans="11:11" x14ac:dyDescent="0.2">
      <c r="K199" s="126"/>
    </row>
    <row r="200" spans="11:11" x14ac:dyDescent="0.2">
      <c r="K200" s="126"/>
    </row>
    <row r="201" spans="11:11" x14ac:dyDescent="0.2">
      <c r="K201" s="126"/>
    </row>
    <row r="202" spans="11:11" x14ac:dyDescent="0.2">
      <c r="K202" s="126"/>
    </row>
    <row r="203" spans="11:11" x14ac:dyDescent="0.2">
      <c r="K203" s="126"/>
    </row>
    <row r="204" spans="11:11" x14ac:dyDescent="0.2">
      <c r="K204" s="126"/>
    </row>
    <row r="205" spans="11:11" x14ac:dyDescent="0.2">
      <c r="K205" s="126"/>
    </row>
    <row r="206" spans="11:11" x14ac:dyDescent="0.2">
      <c r="K206" s="126"/>
    </row>
    <row r="207" spans="11:11" x14ac:dyDescent="0.2">
      <c r="K207" s="126"/>
    </row>
    <row r="208" spans="11:11" x14ac:dyDescent="0.2">
      <c r="K208" s="126"/>
    </row>
    <row r="209" spans="11:11" x14ac:dyDescent="0.2">
      <c r="K209" s="126"/>
    </row>
    <row r="210" spans="11:11" x14ac:dyDescent="0.2">
      <c r="K210" s="126"/>
    </row>
    <row r="211" spans="11:11" x14ac:dyDescent="0.2">
      <c r="K211" s="126"/>
    </row>
    <row r="212" spans="11:11" x14ac:dyDescent="0.2">
      <c r="K212" s="126"/>
    </row>
    <row r="213" spans="11:11" x14ac:dyDescent="0.2">
      <c r="K213" s="126"/>
    </row>
    <row r="214" spans="11:11" x14ac:dyDescent="0.2">
      <c r="K214" s="126"/>
    </row>
    <row r="215" spans="11:11" x14ac:dyDescent="0.2">
      <c r="K215" s="126"/>
    </row>
    <row r="216" spans="11:11" x14ac:dyDescent="0.2">
      <c r="K216" s="126"/>
    </row>
    <row r="217" spans="11:11" x14ac:dyDescent="0.2">
      <c r="K217" s="126"/>
    </row>
    <row r="218" spans="11:11" x14ac:dyDescent="0.2">
      <c r="K218" s="126"/>
    </row>
    <row r="219" spans="11:11" x14ac:dyDescent="0.2">
      <c r="K219" s="126"/>
    </row>
    <row r="220" spans="11:11" x14ac:dyDescent="0.2">
      <c r="K220" s="126"/>
    </row>
    <row r="221" spans="11:11" x14ac:dyDescent="0.2">
      <c r="K221" s="126"/>
    </row>
    <row r="222" spans="11:11" x14ac:dyDescent="0.2">
      <c r="K222" s="126"/>
    </row>
    <row r="223" spans="11:11" x14ac:dyDescent="0.2">
      <c r="K223" s="126"/>
    </row>
    <row r="224" spans="11:11" x14ac:dyDescent="0.2">
      <c r="K224" s="126"/>
    </row>
    <row r="225" spans="11:11" x14ac:dyDescent="0.2">
      <c r="K225" s="126"/>
    </row>
    <row r="226" spans="11:11" x14ac:dyDescent="0.2">
      <c r="K226" s="126"/>
    </row>
    <row r="227" spans="11:11" x14ac:dyDescent="0.2">
      <c r="K227" s="126"/>
    </row>
    <row r="228" spans="11:11" x14ac:dyDescent="0.2">
      <c r="K228" s="126"/>
    </row>
    <row r="229" spans="11:11" x14ac:dyDescent="0.2">
      <c r="K229" s="126"/>
    </row>
    <row r="230" spans="11:11" x14ac:dyDescent="0.2">
      <c r="K230" s="126"/>
    </row>
    <row r="231" spans="11:11" x14ac:dyDescent="0.2">
      <c r="K231" s="126"/>
    </row>
    <row r="232" spans="11:11" x14ac:dyDescent="0.2">
      <c r="K232" s="126"/>
    </row>
    <row r="233" spans="11:11" x14ac:dyDescent="0.2">
      <c r="K233" s="126"/>
    </row>
    <row r="234" spans="11:11" x14ac:dyDescent="0.2">
      <c r="K234" s="126"/>
    </row>
    <row r="235" spans="11:11" x14ac:dyDescent="0.2">
      <c r="K235" s="126"/>
    </row>
    <row r="236" spans="11:11" x14ac:dyDescent="0.2">
      <c r="K236" s="126"/>
    </row>
    <row r="237" spans="11:11" x14ac:dyDescent="0.2">
      <c r="K237" s="126"/>
    </row>
    <row r="238" spans="11:11" x14ac:dyDescent="0.2">
      <c r="K238" s="126"/>
    </row>
    <row r="239" spans="11:11" x14ac:dyDescent="0.2">
      <c r="K239" s="126"/>
    </row>
    <row r="240" spans="11:11" x14ac:dyDescent="0.2">
      <c r="K240" s="126"/>
    </row>
    <row r="241" spans="11:11" x14ac:dyDescent="0.2">
      <c r="K241" s="126"/>
    </row>
    <row r="242" spans="11:11" x14ac:dyDescent="0.2">
      <c r="K242" s="126"/>
    </row>
    <row r="243" spans="11:11" x14ac:dyDescent="0.2">
      <c r="K243" s="126"/>
    </row>
    <row r="244" spans="11:11" x14ac:dyDescent="0.2">
      <c r="K244" s="126"/>
    </row>
    <row r="245" spans="11:11" x14ac:dyDescent="0.2">
      <c r="K245" s="126"/>
    </row>
    <row r="246" spans="11:11" x14ac:dyDescent="0.2">
      <c r="K246" s="126"/>
    </row>
    <row r="247" spans="11:11" x14ac:dyDescent="0.2">
      <c r="K247" s="126"/>
    </row>
    <row r="248" spans="11:11" x14ac:dyDescent="0.2">
      <c r="K248" s="126"/>
    </row>
    <row r="249" spans="11:11" x14ac:dyDescent="0.2">
      <c r="K249" s="126"/>
    </row>
    <row r="250" spans="11:11" x14ac:dyDescent="0.2">
      <c r="K250" s="126"/>
    </row>
    <row r="251" spans="11:11" x14ac:dyDescent="0.2">
      <c r="K251" s="126"/>
    </row>
    <row r="252" spans="11:11" x14ac:dyDescent="0.2">
      <c r="K252" s="126"/>
    </row>
    <row r="253" spans="11:11" x14ac:dyDescent="0.2">
      <c r="K253" s="126"/>
    </row>
    <row r="254" spans="11:11" x14ac:dyDescent="0.2">
      <c r="K254" s="126"/>
    </row>
    <row r="255" spans="11:11" x14ac:dyDescent="0.2">
      <c r="K255" s="126"/>
    </row>
    <row r="256" spans="11:11" x14ac:dyDescent="0.2">
      <c r="K256" s="126"/>
    </row>
    <row r="257" spans="11:11" x14ac:dyDescent="0.2">
      <c r="K257" s="126"/>
    </row>
    <row r="258" spans="11:11" x14ac:dyDescent="0.2">
      <c r="K258" s="126"/>
    </row>
    <row r="259" spans="11:11" x14ac:dyDescent="0.2">
      <c r="K259" s="126"/>
    </row>
    <row r="260" spans="11:11" x14ac:dyDescent="0.2">
      <c r="K260" s="126"/>
    </row>
    <row r="261" spans="11:11" x14ac:dyDescent="0.2">
      <c r="K261" s="126"/>
    </row>
    <row r="262" spans="11:11" x14ac:dyDescent="0.2">
      <c r="K262" s="126"/>
    </row>
    <row r="263" spans="11:11" x14ac:dyDescent="0.2">
      <c r="K263" s="126"/>
    </row>
    <row r="264" spans="11:11" x14ac:dyDescent="0.2">
      <c r="K264" s="126"/>
    </row>
    <row r="265" spans="11:11" x14ac:dyDescent="0.2">
      <c r="K265" s="126"/>
    </row>
    <row r="266" spans="11:11" x14ac:dyDescent="0.2">
      <c r="K266" s="126"/>
    </row>
    <row r="267" spans="11:11" x14ac:dyDescent="0.2">
      <c r="K267" s="126"/>
    </row>
    <row r="268" spans="11:11" x14ac:dyDescent="0.2">
      <c r="K268" s="126"/>
    </row>
    <row r="269" spans="11:11" x14ac:dyDescent="0.2">
      <c r="K269" s="126"/>
    </row>
    <row r="270" spans="11:11" x14ac:dyDescent="0.2">
      <c r="K270" s="126"/>
    </row>
    <row r="271" spans="11:11" x14ac:dyDescent="0.2">
      <c r="K271" s="126"/>
    </row>
    <row r="272" spans="11:11" x14ac:dyDescent="0.2">
      <c r="K272" s="126"/>
    </row>
    <row r="273" spans="11:11" x14ac:dyDescent="0.2">
      <c r="K273" s="126"/>
    </row>
    <row r="274" spans="11:11" x14ac:dyDescent="0.2">
      <c r="K274" s="126"/>
    </row>
    <row r="275" spans="11:11" x14ac:dyDescent="0.2">
      <c r="K275" s="126"/>
    </row>
    <row r="276" spans="11:11" x14ac:dyDescent="0.2">
      <c r="K276" s="126"/>
    </row>
    <row r="277" spans="11:11" x14ac:dyDescent="0.2">
      <c r="K277" s="126"/>
    </row>
    <row r="278" spans="11:11" x14ac:dyDescent="0.2">
      <c r="K278" s="126"/>
    </row>
    <row r="279" spans="11:11" x14ac:dyDescent="0.2">
      <c r="K279" s="126"/>
    </row>
    <row r="280" spans="11:11" x14ac:dyDescent="0.2">
      <c r="K280" s="126"/>
    </row>
    <row r="281" spans="11:11" x14ac:dyDescent="0.2">
      <c r="K281" s="126"/>
    </row>
    <row r="282" spans="11:11" x14ac:dyDescent="0.2">
      <c r="K282" s="126"/>
    </row>
    <row r="283" spans="11:11" x14ac:dyDescent="0.2">
      <c r="K283" s="126"/>
    </row>
    <row r="284" spans="11:11" x14ac:dyDescent="0.2">
      <c r="K284" s="126"/>
    </row>
    <row r="285" spans="11:11" x14ac:dyDescent="0.2">
      <c r="K285" s="126"/>
    </row>
    <row r="286" spans="11:11" x14ac:dyDescent="0.2">
      <c r="K286" s="126"/>
    </row>
    <row r="287" spans="11:11" x14ac:dyDescent="0.2">
      <c r="K287" s="126"/>
    </row>
    <row r="288" spans="11:11" x14ac:dyDescent="0.2">
      <c r="K288" s="126"/>
    </row>
    <row r="289" spans="11:11" x14ac:dyDescent="0.2">
      <c r="K289" s="126"/>
    </row>
    <row r="290" spans="11:11" x14ac:dyDescent="0.2">
      <c r="K290" s="126"/>
    </row>
    <row r="291" spans="11:11" x14ac:dyDescent="0.2">
      <c r="K291" s="126"/>
    </row>
    <row r="292" spans="11:11" x14ac:dyDescent="0.2">
      <c r="K292" s="126"/>
    </row>
    <row r="293" spans="11:11" x14ac:dyDescent="0.2">
      <c r="K293" s="126"/>
    </row>
    <row r="294" spans="11:11" x14ac:dyDescent="0.2">
      <c r="K294" s="126"/>
    </row>
    <row r="295" spans="11:11" x14ac:dyDescent="0.2">
      <c r="K295" s="126"/>
    </row>
    <row r="296" spans="11:11" x14ac:dyDescent="0.2">
      <c r="K296" s="126"/>
    </row>
    <row r="297" spans="11:11" x14ac:dyDescent="0.2">
      <c r="K297" s="126"/>
    </row>
    <row r="298" spans="11:11" x14ac:dyDescent="0.2">
      <c r="K298" s="126"/>
    </row>
    <row r="299" spans="11:11" x14ac:dyDescent="0.2">
      <c r="K299" s="126"/>
    </row>
    <row r="300" spans="11:11" x14ac:dyDescent="0.2">
      <c r="K300" s="126"/>
    </row>
    <row r="301" spans="11:11" x14ac:dyDescent="0.2">
      <c r="K301" s="126"/>
    </row>
    <row r="302" spans="11:11" x14ac:dyDescent="0.2">
      <c r="K302" s="126"/>
    </row>
    <row r="303" spans="11:11" x14ac:dyDescent="0.2">
      <c r="K303" s="126"/>
    </row>
    <row r="304" spans="11:11" x14ac:dyDescent="0.2">
      <c r="K304" s="126"/>
    </row>
    <row r="305" spans="11:11" x14ac:dyDescent="0.2">
      <c r="K305" s="126"/>
    </row>
    <row r="306" spans="11:11" x14ac:dyDescent="0.2">
      <c r="K306" s="126"/>
    </row>
    <row r="307" spans="11:11" x14ac:dyDescent="0.2">
      <c r="K307" s="126"/>
    </row>
    <row r="308" spans="11:11" x14ac:dyDescent="0.2">
      <c r="K308" s="126"/>
    </row>
    <row r="309" spans="11:11" x14ac:dyDescent="0.2">
      <c r="K309" s="126"/>
    </row>
    <row r="310" spans="11:11" x14ac:dyDescent="0.2">
      <c r="K310" s="126"/>
    </row>
    <row r="311" spans="11:11" x14ac:dyDescent="0.2">
      <c r="K311" s="126"/>
    </row>
    <row r="312" spans="11:11" x14ac:dyDescent="0.2">
      <c r="K312" s="126"/>
    </row>
    <row r="313" spans="11:11" x14ac:dyDescent="0.2">
      <c r="K313" s="126"/>
    </row>
    <row r="314" spans="11:11" x14ac:dyDescent="0.2">
      <c r="K314" s="126"/>
    </row>
    <row r="315" spans="11:11" x14ac:dyDescent="0.2">
      <c r="K315" s="126"/>
    </row>
    <row r="316" spans="11:11" x14ac:dyDescent="0.2">
      <c r="K316" s="126"/>
    </row>
    <row r="317" spans="11:11" x14ac:dyDescent="0.2">
      <c r="K317" s="126"/>
    </row>
    <row r="318" spans="11:11" x14ac:dyDescent="0.2">
      <c r="K318" s="126"/>
    </row>
    <row r="319" spans="11:11" x14ac:dyDescent="0.2">
      <c r="K319" s="126"/>
    </row>
    <row r="320" spans="11:11" x14ac:dyDescent="0.2">
      <c r="K320" s="126"/>
    </row>
    <row r="321" spans="11:11" x14ac:dyDescent="0.2">
      <c r="K321" s="126"/>
    </row>
    <row r="322" spans="11:11" x14ac:dyDescent="0.2">
      <c r="K322" s="126"/>
    </row>
    <row r="323" spans="11:11" x14ac:dyDescent="0.2">
      <c r="K323" s="126"/>
    </row>
    <row r="324" spans="11:11" x14ac:dyDescent="0.2">
      <c r="K324" s="126"/>
    </row>
    <row r="325" spans="11:11" x14ac:dyDescent="0.2">
      <c r="K325" s="126"/>
    </row>
    <row r="326" spans="11:11" x14ac:dyDescent="0.2">
      <c r="K326" s="126"/>
    </row>
    <row r="327" spans="11:11" x14ac:dyDescent="0.2">
      <c r="K327" s="126"/>
    </row>
    <row r="328" spans="11:11" x14ac:dyDescent="0.2">
      <c r="K328" s="126"/>
    </row>
    <row r="329" spans="11:11" x14ac:dyDescent="0.2">
      <c r="K329" s="126"/>
    </row>
    <row r="330" spans="11:11" x14ac:dyDescent="0.2">
      <c r="K330" s="126"/>
    </row>
    <row r="331" spans="11:11" x14ac:dyDescent="0.2">
      <c r="K331" s="126"/>
    </row>
    <row r="332" spans="11:11" x14ac:dyDescent="0.2">
      <c r="K332" s="126"/>
    </row>
    <row r="333" spans="11:11" x14ac:dyDescent="0.2">
      <c r="K333" s="126"/>
    </row>
    <row r="334" spans="11:11" x14ac:dyDescent="0.2">
      <c r="K334" s="126"/>
    </row>
    <row r="335" spans="11:11" x14ac:dyDescent="0.2">
      <c r="K335" s="126"/>
    </row>
    <row r="336" spans="11:11" x14ac:dyDescent="0.2">
      <c r="K336" s="126"/>
    </row>
    <row r="337" spans="11:11" x14ac:dyDescent="0.2">
      <c r="K337" s="126"/>
    </row>
    <row r="338" spans="11:11" x14ac:dyDescent="0.2">
      <c r="K338" s="126"/>
    </row>
    <row r="339" spans="11:11" x14ac:dyDescent="0.2">
      <c r="K339" s="126"/>
    </row>
    <row r="340" spans="11:11" x14ac:dyDescent="0.2">
      <c r="K340" s="126"/>
    </row>
    <row r="341" spans="11:11" x14ac:dyDescent="0.2">
      <c r="K341" s="126"/>
    </row>
    <row r="342" spans="11:11" x14ac:dyDescent="0.2">
      <c r="K342" s="126"/>
    </row>
    <row r="343" spans="11:11" x14ac:dyDescent="0.2">
      <c r="K343" s="126"/>
    </row>
    <row r="344" spans="11:11" x14ac:dyDescent="0.2">
      <c r="K344" s="126"/>
    </row>
    <row r="345" spans="11:11" x14ac:dyDescent="0.2">
      <c r="K345" s="126"/>
    </row>
    <row r="346" spans="11:11" x14ac:dyDescent="0.2">
      <c r="K346" s="126"/>
    </row>
    <row r="347" spans="11:11" x14ac:dyDescent="0.2">
      <c r="K347" s="126"/>
    </row>
    <row r="348" spans="11:11" x14ac:dyDescent="0.2">
      <c r="K348" s="126"/>
    </row>
    <row r="349" spans="11:11" x14ac:dyDescent="0.2">
      <c r="K349" s="126"/>
    </row>
    <row r="350" spans="11:11" x14ac:dyDescent="0.2">
      <c r="K350" s="126"/>
    </row>
    <row r="351" spans="11:11" x14ac:dyDescent="0.2">
      <c r="K351" s="126"/>
    </row>
    <row r="352" spans="11:11" x14ac:dyDescent="0.2">
      <c r="K352" s="126"/>
    </row>
    <row r="353" spans="11:11" x14ac:dyDescent="0.2">
      <c r="K353" s="126"/>
    </row>
    <row r="354" spans="11:11" x14ac:dyDescent="0.2">
      <c r="K354" s="126"/>
    </row>
    <row r="355" spans="11:11" x14ac:dyDescent="0.2">
      <c r="K355" s="126"/>
    </row>
    <row r="356" spans="11:11" x14ac:dyDescent="0.2">
      <c r="K356" s="126"/>
    </row>
    <row r="357" spans="11:11" x14ac:dyDescent="0.2">
      <c r="K357" s="126"/>
    </row>
    <row r="358" spans="11:11" x14ac:dyDescent="0.2">
      <c r="K358" s="126"/>
    </row>
    <row r="359" spans="11:11" x14ac:dyDescent="0.2">
      <c r="K359" s="126"/>
    </row>
    <row r="360" spans="11:11" x14ac:dyDescent="0.2">
      <c r="K360" s="126"/>
    </row>
    <row r="361" spans="11:11" x14ac:dyDescent="0.2">
      <c r="K361" s="126"/>
    </row>
    <row r="362" spans="11:11" x14ac:dyDescent="0.2">
      <c r="K362" s="126"/>
    </row>
    <row r="363" spans="11:11" x14ac:dyDescent="0.2">
      <c r="K363" s="126"/>
    </row>
    <row r="364" spans="11:11" x14ac:dyDescent="0.2">
      <c r="K364" s="126"/>
    </row>
    <row r="365" spans="11:11" x14ac:dyDescent="0.2">
      <c r="K365" s="126"/>
    </row>
    <row r="366" spans="11:11" x14ac:dyDescent="0.2">
      <c r="K366" s="126"/>
    </row>
    <row r="367" spans="11:11" x14ac:dyDescent="0.2">
      <c r="K367" s="126"/>
    </row>
    <row r="368" spans="11:11" x14ac:dyDescent="0.2">
      <c r="K368" s="126"/>
    </row>
    <row r="369" spans="11:11" x14ac:dyDescent="0.2">
      <c r="K369" s="126"/>
    </row>
    <row r="370" spans="11:11" x14ac:dyDescent="0.2">
      <c r="K370" s="126"/>
    </row>
    <row r="371" spans="11:11" x14ac:dyDescent="0.2">
      <c r="K371" s="126"/>
    </row>
    <row r="372" spans="11:11" x14ac:dyDescent="0.2">
      <c r="K372" s="126"/>
    </row>
    <row r="373" spans="11:11" x14ac:dyDescent="0.2">
      <c r="K373" s="126"/>
    </row>
    <row r="374" spans="11:11" x14ac:dyDescent="0.2">
      <c r="K374" s="126"/>
    </row>
    <row r="375" spans="11:11" x14ac:dyDescent="0.2">
      <c r="K375" s="126"/>
    </row>
    <row r="376" spans="11:11" x14ac:dyDescent="0.2">
      <c r="K376" s="126"/>
    </row>
    <row r="377" spans="11:11" x14ac:dyDescent="0.2">
      <c r="K377" s="126"/>
    </row>
    <row r="378" spans="11:11" x14ac:dyDescent="0.2">
      <c r="K378" s="126"/>
    </row>
    <row r="379" spans="11:11" x14ac:dyDescent="0.2">
      <c r="K379" s="126"/>
    </row>
    <row r="380" spans="11:11" x14ac:dyDescent="0.2">
      <c r="K380" s="126"/>
    </row>
    <row r="381" spans="11:11" x14ac:dyDescent="0.2">
      <c r="K381" s="126"/>
    </row>
    <row r="382" spans="11:11" x14ac:dyDescent="0.2">
      <c r="K382" s="126"/>
    </row>
    <row r="383" spans="11:11" x14ac:dyDescent="0.2">
      <c r="K383" s="126"/>
    </row>
    <row r="384" spans="11:11" x14ac:dyDescent="0.2">
      <c r="K384" s="126"/>
    </row>
    <row r="385" spans="11:11" x14ac:dyDescent="0.2">
      <c r="K385" s="126"/>
    </row>
    <row r="386" spans="11:11" x14ac:dyDescent="0.2">
      <c r="K386" s="126"/>
    </row>
    <row r="387" spans="11:11" x14ac:dyDescent="0.2">
      <c r="K387" s="126"/>
    </row>
    <row r="388" spans="11:11" x14ac:dyDescent="0.2">
      <c r="K388" s="126"/>
    </row>
    <row r="389" spans="11:11" x14ac:dyDescent="0.2">
      <c r="K389" s="126"/>
    </row>
    <row r="390" spans="11:11" x14ac:dyDescent="0.2">
      <c r="K390" s="126"/>
    </row>
    <row r="391" spans="11:11" x14ac:dyDescent="0.2">
      <c r="K391" s="126"/>
    </row>
    <row r="392" spans="11:11" x14ac:dyDescent="0.2">
      <c r="K392" s="126"/>
    </row>
    <row r="393" spans="11:11" x14ac:dyDescent="0.2">
      <c r="K393" s="126"/>
    </row>
    <row r="394" spans="11:11" x14ac:dyDescent="0.2">
      <c r="K394" s="126"/>
    </row>
    <row r="395" spans="11:11" x14ac:dyDescent="0.2">
      <c r="K395" s="126"/>
    </row>
    <row r="396" spans="11:11" x14ac:dyDescent="0.2">
      <c r="K396" s="126"/>
    </row>
    <row r="397" spans="11:11" x14ac:dyDescent="0.2">
      <c r="K397" s="126"/>
    </row>
    <row r="398" spans="11:11" x14ac:dyDescent="0.2">
      <c r="K398" s="126"/>
    </row>
    <row r="399" spans="11:11" x14ac:dyDescent="0.2">
      <c r="K399" s="126"/>
    </row>
    <row r="400" spans="11:11" x14ac:dyDescent="0.2">
      <c r="K400" s="126"/>
    </row>
    <row r="401" spans="11:11" x14ac:dyDescent="0.2">
      <c r="K401" s="126"/>
    </row>
    <row r="402" spans="11:11" x14ac:dyDescent="0.2">
      <c r="K402" s="126"/>
    </row>
    <row r="403" spans="11:11" x14ac:dyDescent="0.2">
      <c r="K403" s="126"/>
    </row>
    <row r="404" spans="11:11" x14ac:dyDescent="0.2">
      <c r="K404" s="126"/>
    </row>
    <row r="405" spans="11:11" x14ac:dyDescent="0.2">
      <c r="K405" s="126"/>
    </row>
    <row r="406" spans="11:11" x14ac:dyDescent="0.2">
      <c r="K406" s="126"/>
    </row>
    <row r="407" spans="11:11" x14ac:dyDescent="0.2">
      <c r="K407" s="126"/>
    </row>
    <row r="408" spans="11:11" x14ac:dyDescent="0.2">
      <c r="K408" s="126"/>
    </row>
    <row r="409" spans="11:11" x14ac:dyDescent="0.2">
      <c r="K409" s="126"/>
    </row>
    <row r="410" spans="11:11" x14ac:dyDescent="0.2">
      <c r="K410" s="126"/>
    </row>
    <row r="411" spans="11:11" x14ac:dyDescent="0.2">
      <c r="K411" s="126"/>
    </row>
    <row r="412" spans="11:11" x14ac:dyDescent="0.2">
      <c r="K412" s="126"/>
    </row>
    <row r="413" spans="11:11" x14ac:dyDescent="0.2">
      <c r="K413" s="126"/>
    </row>
    <row r="414" spans="11:11" x14ac:dyDescent="0.2">
      <c r="K414" s="126"/>
    </row>
    <row r="415" spans="11:11" x14ac:dyDescent="0.2">
      <c r="K415" s="126"/>
    </row>
    <row r="416" spans="11:11" x14ac:dyDescent="0.2">
      <c r="K416" s="126"/>
    </row>
    <row r="417" spans="11:11" x14ac:dyDescent="0.2">
      <c r="K417" s="126"/>
    </row>
    <row r="418" spans="11:11" x14ac:dyDescent="0.2">
      <c r="K418" s="126"/>
    </row>
    <row r="419" spans="11:11" x14ac:dyDescent="0.2">
      <c r="K419" s="126"/>
    </row>
    <row r="420" spans="11:11" x14ac:dyDescent="0.2">
      <c r="K420" s="126"/>
    </row>
    <row r="421" spans="11:11" x14ac:dyDescent="0.2">
      <c r="K421" s="126"/>
    </row>
    <row r="422" spans="11:11" x14ac:dyDescent="0.2">
      <c r="K422" s="126"/>
    </row>
    <row r="423" spans="11:11" x14ac:dyDescent="0.2">
      <c r="K423" s="126"/>
    </row>
    <row r="424" spans="11:11" x14ac:dyDescent="0.2">
      <c r="K424" s="126"/>
    </row>
    <row r="425" spans="11:11" x14ac:dyDescent="0.2">
      <c r="K425" s="126"/>
    </row>
    <row r="426" spans="11:11" x14ac:dyDescent="0.2">
      <c r="K426" s="126"/>
    </row>
    <row r="427" spans="11:11" x14ac:dyDescent="0.2">
      <c r="K427" s="126"/>
    </row>
    <row r="428" spans="11:11" x14ac:dyDescent="0.2">
      <c r="K428" s="126"/>
    </row>
    <row r="429" spans="11:11" x14ac:dyDescent="0.2">
      <c r="K429" s="126"/>
    </row>
    <row r="430" spans="11:11" x14ac:dyDescent="0.2">
      <c r="K430" s="126"/>
    </row>
    <row r="431" spans="11:11" x14ac:dyDescent="0.2">
      <c r="K431" s="126"/>
    </row>
    <row r="432" spans="11:11" x14ac:dyDescent="0.2">
      <c r="K432" s="126"/>
    </row>
    <row r="433" spans="11:11" x14ac:dyDescent="0.2">
      <c r="K433" s="126"/>
    </row>
    <row r="434" spans="11:11" x14ac:dyDescent="0.2">
      <c r="K434" s="126"/>
    </row>
    <row r="435" spans="11:11" x14ac:dyDescent="0.2">
      <c r="K435" s="126"/>
    </row>
    <row r="436" spans="11:11" x14ac:dyDescent="0.2">
      <c r="K436" s="126"/>
    </row>
    <row r="437" spans="11:11" x14ac:dyDescent="0.2">
      <c r="K437" s="126"/>
    </row>
    <row r="438" spans="11:11" x14ac:dyDescent="0.2">
      <c r="K438" s="126"/>
    </row>
    <row r="439" spans="11:11" x14ac:dyDescent="0.2">
      <c r="K439" s="126"/>
    </row>
    <row r="440" spans="11:11" x14ac:dyDescent="0.2">
      <c r="K440" s="126"/>
    </row>
    <row r="441" spans="11:11" x14ac:dyDescent="0.2">
      <c r="K441" s="126"/>
    </row>
    <row r="442" spans="11:11" x14ac:dyDescent="0.2">
      <c r="K442" s="126"/>
    </row>
    <row r="443" spans="11:11" x14ac:dyDescent="0.2">
      <c r="K443" s="126"/>
    </row>
    <row r="444" spans="11:11" x14ac:dyDescent="0.2">
      <c r="K444" s="126"/>
    </row>
    <row r="445" spans="11:11" x14ac:dyDescent="0.2">
      <c r="K445" s="126"/>
    </row>
    <row r="446" spans="11:11" x14ac:dyDescent="0.2">
      <c r="K446" s="126"/>
    </row>
    <row r="447" spans="11:11" x14ac:dyDescent="0.2">
      <c r="K447" s="126"/>
    </row>
    <row r="448" spans="11:11" x14ac:dyDescent="0.2">
      <c r="K448" s="126"/>
    </row>
    <row r="449" spans="11:11" x14ac:dyDescent="0.2">
      <c r="K449" s="126"/>
    </row>
    <row r="450" spans="11:11" x14ac:dyDescent="0.2">
      <c r="K450" s="126"/>
    </row>
    <row r="451" spans="11:11" x14ac:dyDescent="0.2">
      <c r="K451" s="126"/>
    </row>
    <row r="452" spans="11:11" x14ac:dyDescent="0.2">
      <c r="K452" s="126"/>
    </row>
    <row r="453" spans="11:11" x14ac:dyDescent="0.2">
      <c r="K453" s="126"/>
    </row>
    <row r="454" spans="11:11" x14ac:dyDescent="0.2">
      <c r="K454" s="126"/>
    </row>
    <row r="455" spans="11:11" x14ac:dyDescent="0.2">
      <c r="K455" s="126"/>
    </row>
    <row r="456" spans="11:11" x14ac:dyDescent="0.2">
      <c r="K456" s="126"/>
    </row>
    <row r="457" spans="11:11" x14ac:dyDescent="0.2">
      <c r="K457" s="126"/>
    </row>
    <row r="458" spans="11:11" x14ac:dyDescent="0.2">
      <c r="K458" s="126"/>
    </row>
    <row r="459" spans="11:11" x14ac:dyDescent="0.2">
      <c r="K459" s="126"/>
    </row>
    <row r="460" spans="11:11" x14ac:dyDescent="0.2">
      <c r="K460" s="126"/>
    </row>
    <row r="461" spans="11:11" x14ac:dyDescent="0.2">
      <c r="K461" s="126"/>
    </row>
    <row r="462" spans="11:11" x14ac:dyDescent="0.2">
      <c r="K462" s="126"/>
    </row>
    <row r="463" spans="11:11" x14ac:dyDescent="0.2">
      <c r="K463" s="126"/>
    </row>
    <row r="464" spans="11:11" x14ac:dyDescent="0.2">
      <c r="K464" s="126"/>
    </row>
    <row r="465" spans="11:11" x14ac:dyDescent="0.2">
      <c r="K465" s="126"/>
    </row>
    <row r="466" spans="11:11" x14ac:dyDescent="0.2">
      <c r="K466" s="126"/>
    </row>
    <row r="467" spans="11:11" x14ac:dyDescent="0.2">
      <c r="K467" s="126"/>
    </row>
    <row r="468" spans="11:11" x14ac:dyDescent="0.2">
      <c r="K468" s="126"/>
    </row>
    <row r="469" spans="11:11" x14ac:dyDescent="0.2">
      <c r="K469" s="126"/>
    </row>
    <row r="470" spans="11:11" x14ac:dyDescent="0.2">
      <c r="K470" s="126"/>
    </row>
    <row r="471" spans="11:11" x14ac:dyDescent="0.2">
      <c r="K471" s="126"/>
    </row>
    <row r="472" spans="11:11" x14ac:dyDescent="0.2">
      <c r="K472" s="126"/>
    </row>
    <row r="473" spans="11:11" x14ac:dyDescent="0.2">
      <c r="K473" s="126"/>
    </row>
    <row r="474" spans="11:11" x14ac:dyDescent="0.2">
      <c r="K474" s="126"/>
    </row>
    <row r="475" spans="11:11" x14ac:dyDescent="0.2">
      <c r="K475" s="126"/>
    </row>
    <row r="476" spans="11:11" x14ac:dyDescent="0.2">
      <c r="K476" s="126"/>
    </row>
    <row r="477" spans="11:11" x14ac:dyDescent="0.2">
      <c r="K477" s="126"/>
    </row>
    <row r="478" spans="11:11" x14ac:dyDescent="0.2">
      <c r="K478" s="126"/>
    </row>
    <row r="479" spans="11:11" x14ac:dyDescent="0.2">
      <c r="K479" s="126"/>
    </row>
    <row r="480" spans="11:11" x14ac:dyDescent="0.2">
      <c r="K480" s="126"/>
    </row>
    <row r="481" spans="11:11" x14ac:dyDescent="0.2">
      <c r="K481" s="126"/>
    </row>
    <row r="482" spans="11:11" x14ac:dyDescent="0.2">
      <c r="K482" s="126"/>
    </row>
    <row r="483" spans="11:11" x14ac:dyDescent="0.2">
      <c r="K483" s="126"/>
    </row>
    <row r="484" spans="11:11" x14ac:dyDescent="0.2">
      <c r="K484" s="126"/>
    </row>
    <row r="485" spans="11:11" x14ac:dyDescent="0.2">
      <c r="K485" s="126"/>
    </row>
    <row r="486" spans="11:11" x14ac:dyDescent="0.2">
      <c r="K486" s="126"/>
    </row>
    <row r="487" spans="11:11" x14ac:dyDescent="0.2">
      <c r="K487" s="126"/>
    </row>
    <row r="488" spans="11:11" x14ac:dyDescent="0.2">
      <c r="K488" s="126"/>
    </row>
    <row r="489" spans="11:11" x14ac:dyDescent="0.2">
      <c r="K489" s="126"/>
    </row>
    <row r="490" spans="11:11" x14ac:dyDescent="0.2">
      <c r="K490" s="126"/>
    </row>
    <row r="491" spans="11:11" x14ac:dyDescent="0.2">
      <c r="K491" s="126"/>
    </row>
    <row r="492" spans="11:11" x14ac:dyDescent="0.2">
      <c r="K492" s="126"/>
    </row>
    <row r="493" spans="11:11" x14ac:dyDescent="0.2">
      <c r="K493" s="126"/>
    </row>
    <row r="494" spans="11:11" x14ac:dyDescent="0.2">
      <c r="K494" s="126"/>
    </row>
    <row r="495" spans="11:11" x14ac:dyDescent="0.2">
      <c r="K495" s="126"/>
    </row>
    <row r="496" spans="11:11" x14ac:dyDescent="0.2">
      <c r="K496" s="126"/>
    </row>
    <row r="497" spans="11:11" x14ac:dyDescent="0.2">
      <c r="K497" s="126"/>
    </row>
    <row r="498" spans="11:11" x14ac:dyDescent="0.2">
      <c r="K498" s="126"/>
    </row>
    <row r="499" spans="11:11" x14ac:dyDescent="0.2">
      <c r="K499" s="126"/>
    </row>
    <row r="500" spans="11:11" x14ac:dyDescent="0.2">
      <c r="K500" s="126"/>
    </row>
    <row r="501" spans="11:11" x14ac:dyDescent="0.2">
      <c r="K501" s="126"/>
    </row>
    <row r="502" spans="11:11" x14ac:dyDescent="0.2">
      <c r="K502" s="126"/>
    </row>
    <row r="503" spans="11:11" x14ac:dyDescent="0.2">
      <c r="K503" s="126"/>
    </row>
    <row r="504" spans="11:11" x14ac:dyDescent="0.2">
      <c r="K504" s="126"/>
    </row>
    <row r="505" spans="11:11" x14ac:dyDescent="0.2">
      <c r="K505" s="126"/>
    </row>
    <row r="506" spans="11:11" x14ac:dyDescent="0.2">
      <c r="K506" s="126"/>
    </row>
    <row r="507" spans="11:11" x14ac:dyDescent="0.2">
      <c r="K507" s="126"/>
    </row>
    <row r="508" spans="11:11" x14ac:dyDescent="0.2">
      <c r="K508" s="126"/>
    </row>
    <row r="509" spans="11:11" x14ac:dyDescent="0.2">
      <c r="K509" s="126"/>
    </row>
    <row r="510" spans="11:11" x14ac:dyDescent="0.2">
      <c r="K510" s="126"/>
    </row>
    <row r="511" spans="11:11" x14ac:dyDescent="0.2">
      <c r="K511" s="126"/>
    </row>
    <row r="512" spans="11:11" x14ac:dyDescent="0.2">
      <c r="K512" s="126"/>
    </row>
    <row r="513" spans="11:11" x14ac:dyDescent="0.2">
      <c r="K513" s="126"/>
    </row>
    <row r="514" spans="11:11" x14ac:dyDescent="0.2">
      <c r="K514" s="126"/>
    </row>
    <row r="515" spans="11:11" x14ac:dyDescent="0.2">
      <c r="K515" s="126"/>
    </row>
    <row r="516" spans="11:11" x14ac:dyDescent="0.2">
      <c r="K516" s="126"/>
    </row>
    <row r="517" spans="11:11" x14ac:dyDescent="0.2">
      <c r="K517" s="126"/>
    </row>
    <row r="518" spans="11:11" x14ac:dyDescent="0.2">
      <c r="K518" s="126"/>
    </row>
    <row r="519" spans="11:11" x14ac:dyDescent="0.2">
      <c r="K519" s="126"/>
    </row>
    <row r="520" spans="11:11" x14ac:dyDescent="0.2">
      <c r="K520" s="126"/>
    </row>
    <row r="521" spans="11:11" x14ac:dyDescent="0.2">
      <c r="K521" s="126"/>
    </row>
    <row r="522" spans="11:11" x14ac:dyDescent="0.2">
      <c r="K522" s="126"/>
    </row>
    <row r="523" spans="11:11" x14ac:dyDescent="0.2">
      <c r="K523" s="126"/>
    </row>
    <row r="524" spans="11:11" x14ac:dyDescent="0.2">
      <c r="K524" s="126"/>
    </row>
    <row r="525" spans="11:11" x14ac:dyDescent="0.2">
      <c r="K525" s="126"/>
    </row>
    <row r="526" spans="11:11" x14ac:dyDescent="0.2">
      <c r="K526" s="126"/>
    </row>
    <row r="527" spans="11:11" x14ac:dyDescent="0.2">
      <c r="K527" s="126"/>
    </row>
    <row r="528" spans="11:11" x14ac:dyDescent="0.2">
      <c r="K528" s="126"/>
    </row>
    <row r="529" spans="11:11" x14ac:dyDescent="0.2">
      <c r="K529" s="126"/>
    </row>
    <row r="530" spans="11:11" x14ac:dyDescent="0.2">
      <c r="K530" s="126"/>
    </row>
    <row r="531" spans="11:11" x14ac:dyDescent="0.2">
      <c r="K531" s="126"/>
    </row>
    <row r="532" spans="11:11" x14ac:dyDescent="0.2">
      <c r="K532" s="126"/>
    </row>
    <row r="533" spans="11:11" x14ac:dyDescent="0.2">
      <c r="K533" s="126"/>
    </row>
    <row r="534" spans="11:11" x14ac:dyDescent="0.2">
      <c r="K534" s="126"/>
    </row>
    <row r="535" spans="11:11" x14ac:dyDescent="0.2">
      <c r="K535" s="126"/>
    </row>
    <row r="536" spans="11:11" x14ac:dyDescent="0.2">
      <c r="K536" s="126"/>
    </row>
    <row r="537" spans="11:11" x14ac:dyDescent="0.2">
      <c r="K537" s="126"/>
    </row>
    <row r="538" spans="11:11" x14ac:dyDescent="0.2">
      <c r="K538" s="126"/>
    </row>
    <row r="539" spans="11:11" x14ac:dyDescent="0.2">
      <c r="K539" s="126"/>
    </row>
    <row r="540" spans="11:11" x14ac:dyDescent="0.2">
      <c r="K540" s="126"/>
    </row>
    <row r="541" spans="11:11" x14ac:dyDescent="0.2">
      <c r="K541" s="126"/>
    </row>
    <row r="542" spans="11:11" x14ac:dyDescent="0.2">
      <c r="K542" s="126"/>
    </row>
    <row r="543" spans="11:11" x14ac:dyDescent="0.2">
      <c r="K543" s="126"/>
    </row>
    <row r="544" spans="11:11" x14ac:dyDescent="0.2">
      <c r="K544" s="126"/>
    </row>
    <row r="545" spans="11:11" x14ac:dyDescent="0.2">
      <c r="K545" s="126"/>
    </row>
    <row r="546" spans="11:11" x14ac:dyDescent="0.2">
      <c r="K546" s="126"/>
    </row>
    <row r="547" spans="11:11" x14ac:dyDescent="0.2">
      <c r="K547" s="126"/>
    </row>
    <row r="548" spans="11:11" x14ac:dyDescent="0.2">
      <c r="K548" s="126"/>
    </row>
    <row r="549" spans="11:11" x14ac:dyDescent="0.2">
      <c r="K549" s="126"/>
    </row>
    <row r="550" spans="11:11" x14ac:dyDescent="0.2">
      <c r="K550" s="126"/>
    </row>
    <row r="551" spans="11:11" x14ac:dyDescent="0.2">
      <c r="K551" s="126"/>
    </row>
    <row r="552" spans="11:11" x14ac:dyDescent="0.2">
      <c r="K552" s="126"/>
    </row>
    <row r="553" spans="11:11" x14ac:dyDescent="0.2">
      <c r="K553" s="126"/>
    </row>
    <row r="554" spans="11:11" x14ac:dyDescent="0.2">
      <c r="K554" s="126"/>
    </row>
    <row r="555" spans="11:11" x14ac:dyDescent="0.2">
      <c r="K555" s="126"/>
    </row>
    <row r="556" spans="11:11" x14ac:dyDescent="0.2">
      <c r="K556" s="126"/>
    </row>
    <row r="557" spans="11:11" x14ac:dyDescent="0.2">
      <c r="K557" s="126"/>
    </row>
    <row r="558" spans="11:11" x14ac:dyDescent="0.2">
      <c r="K558" s="126"/>
    </row>
    <row r="559" spans="11:11" x14ac:dyDescent="0.2">
      <c r="K559" s="126"/>
    </row>
    <row r="560" spans="11:11" x14ac:dyDescent="0.2">
      <c r="K560" s="126"/>
    </row>
    <row r="561" spans="11:11" x14ac:dyDescent="0.2">
      <c r="K561" s="126"/>
    </row>
    <row r="562" spans="11:11" x14ac:dyDescent="0.2">
      <c r="K562" s="126"/>
    </row>
    <row r="563" spans="11:11" x14ac:dyDescent="0.2">
      <c r="K563" s="126"/>
    </row>
    <row r="564" spans="11:11" x14ac:dyDescent="0.2">
      <c r="K564" s="126"/>
    </row>
    <row r="565" spans="11:11" x14ac:dyDescent="0.2">
      <c r="K565" s="126"/>
    </row>
    <row r="566" spans="11:11" x14ac:dyDescent="0.2">
      <c r="K566" s="126"/>
    </row>
    <row r="567" spans="11:11" x14ac:dyDescent="0.2">
      <c r="K567" s="126"/>
    </row>
    <row r="568" spans="11:11" x14ac:dyDescent="0.2">
      <c r="K568" s="126"/>
    </row>
    <row r="569" spans="11:11" x14ac:dyDescent="0.2">
      <c r="K569" s="126"/>
    </row>
    <row r="570" spans="11:11" x14ac:dyDescent="0.2">
      <c r="K570" s="126"/>
    </row>
    <row r="571" spans="11:11" x14ac:dyDescent="0.2">
      <c r="K571" s="126"/>
    </row>
    <row r="572" spans="11:11" x14ac:dyDescent="0.2">
      <c r="K572" s="126"/>
    </row>
    <row r="573" spans="11:11" x14ac:dyDescent="0.2">
      <c r="K573" s="126"/>
    </row>
    <row r="574" spans="11:11" x14ac:dyDescent="0.2">
      <c r="K574" s="126"/>
    </row>
    <row r="575" spans="11:11" x14ac:dyDescent="0.2">
      <c r="K575" s="126"/>
    </row>
    <row r="576" spans="11:11" x14ac:dyDescent="0.2">
      <c r="K576" s="126"/>
    </row>
    <row r="577" spans="11:11" x14ac:dyDescent="0.2">
      <c r="K577" s="126"/>
    </row>
    <row r="578" spans="11:11" x14ac:dyDescent="0.2">
      <c r="K578" s="126"/>
    </row>
    <row r="579" spans="11:11" x14ac:dyDescent="0.2">
      <c r="K579" s="126"/>
    </row>
    <row r="580" spans="11:11" x14ac:dyDescent="0.2">
      <c r="K580" s="126"/>
    </row>
    <row r="581" spans="11:11" x14ac:dyDescent="0.2">
      <c r="K581" s="126"/>
    </row>
    <row r="582" spans="11:11" x14ac:dyDescent="0.2">
      <c r="K582" s="126"/>
    </row>
    <row r="583" spans="11:11" x14ac:dyDescent="0.2">
      <c r="K583" s="126"/>
    </row>
    <row r="584" spans="11:11" x14ac:dyDescent="0.2">
      <c r="K584" s="126"/>
    </row>
    <row r="585" spans="11:11" x14ac:dyDescent="0.2">
      <c r="K585" s="126"/>
    </row>
    <row r="586" spans="11:11" x14ac:dyDescent="0.2">
      <c r="K586" s="126"/>
    </row>
    <row r="587" spans="11:11" x14ac:dyDescent="0.2">
      <c r="K587" s="126"/>
    </row>
    <row r="588" spans="11:11" x14ac:dyDescent="0.2">
      <c r="K588" s="126"/>
    </row>
    <row r="589" spans="11:11" x14ac:dyDescent="0.2">
      <c r="K589" s="126"/>
    </row>
    <row r="590" spans="11:11" x14ac:dyDescent="0.2">
      <c r="K590" s="126"/>
    </row>
    <row r="591" spans="11:11" x14ac:dyDescent="0.2">
      <c r="K591" s="126"/>
    </row>
    <row r="592" spans="11:11" x14ac:dyDescent="0.2">
      <c r="K592" s="126"/>
    </row>
    <row r="593" spans="11:11" x14ac:dyDescent="0.2">
      <c r="K593" s="126"/>
    </row>
    <row r="594" spans="11:11" x14ac:dyDescent="0.2">
      <c r="K594" s="126"/>
    </row>
    <row r="595" spans="11:11" x14ac:dyDescent="0.2">
      <c r="K595" s="126"/>
    </row>
    <row r="596" spans="11:11" x14ac:dyDescent="0.2">
      <c r="K596" s="126"/>
    </row>
    <row r="597" spans="11:11" x14ac:dyDescent="0.2">
      <c r="K597" s="126"/>
    </row>
    <row r="598" spans="11:11" x14ac:dyDescent="0.2">
      <c r="K598" s="126"/>
    </row>
    <row r="599" spans="11:11" x14ac:dyDescent="0.2">
      <c r="K599" s="126"/>
    </row>
    <row r="600" spans="11:11" x14ac:dyDescent="0.2">
      <c r="K600" s="126"/>
    </row>
    <row r="601" spans="11:11" x14ac:dyDescent="0.2">
      <c r="K601" s="126"/>
    </row>
    <row r="602" spans="11:11" x14ac:dyDescent="0.2">
      <c r="K602" s="126"/>
    </row>
    <row r="603" spans="11:11" x14ac:dyDescent="0.2">
      <c r="K603" s="126"/>
    </row>
    <row r="604" spans="11:11" x14ac:dyDescent="0.2">
      <c r="K604" s="126"/>
    </row>
    <row r="605" spans="11:11" x14ac:dyDescent="0.2">
      <c r="K605" s="126"/>
    </row>
    <row r="606" spans="11:11" x14ac:dyDescent="0.2">
      <c r="K606" s="126"/>
    </row>
    <row r="607" spans="11:11" x14ac:dyDescent="0.2">
      <c r="K607" s="126"/>
    </row>
    <row r="608" spans="11:11" x14ac:dyDescent="0.2">
      <c r="K608" s="126"/>
    </row>
    <row r="609" spans="11:11" x14ac:dyDescent="0.2">
      <c r="K609" s="126"/>
    </row>
    <row r="610" spans="11:11" x14ac:dyDescent="0.2">
      <c r="K610" s="126"/>
    </row>
    <row r="611" spans="11:11" x14ac:dyDescent="0.2">
      <c r="K611" s="126"/>
    </row>
    <row r="612" spans="11:11" x14ac:dyDescent="0.2">
      <c r="K612" s="126"/>
    </row>
    <row r="613" spans="11:11" x14ac:dyDescent="0.2">
      <c r="K613" s="126"/>
    </row>
    <row r="614" spans="11:11" x14ac:dyDescent="0.2">
      <c r="K614" s="126"/>
    </row>
    <row r="615" spans="11:11" x14ac:dyDescent="0.2">
      <c r="K615" s="126"/>
    </row>
    <row r="616" spans="11:11" x14ac:dyDescent="0.2">
      <c r="K616" s="126"/>
    </row>
    <row r="617" spans="11:11" x14ac:dyDescent="0.2">
      <c r="K617" s="126"/>
    </row>
    <row r="618" spans="11:11" x14ac:dyDescent="0.2">
      <c r="K618" s="126"/>
    </row>
    <row r="619" spans="11:11" x14ac:dyDescent="0.2">
      <c r="K619" s="126"/>
    </row>
    <row r="620" spans="11:11" x14ac:dyDescent="0.2">
      <c r="K620" s="126"/>
    </row>
    <row r="621" spans="11:11" x14ac:dyDescent="0.2">
      <c r="K621" s="126"/>
    </row>
    <row r="622" spans="11:11" x14ac:dyDescent="0.2">
      <c r="K622" s="126"/>
    </row>
    <row r="623" spans="11:11" x14ac:dyDescent="0.2">
      <c r="K623" s="126"/>
    </row>
    <row r="624" spans="11:11" x14ac:dyDescent="0.2">
      <c r="K624" s="126"/>
    </row>
    <row r="625" spans="11:11" x14ac:dyDescent="0.2">
      <c r="K625" s="126"/>
    </row>
    <row r="626" spans="11:11" x14ac:dyDescent="0.2">
      <c r="K626" s="126"/>
    </row>
    <row r="627" spans="11:11" x14ac:dyDescent="0.2">
      <c r="K627" s="126"/>
    </row>
    <row r="628" spans="11:11" x14ac:dyDescent="0.2">
      <c r="K628" s="126"/>
    </row>
    <row r="629" spans="11:11" x14ac:dyDescent="0.2">
      <c r="K629" s="126"/>
    </row>
    <row r="630" spans="11:11" x14ac:dyDescent="0.2">
      <c r="K630" s="126"/>
    </row>
    <row r="631" spans="11:11" x14ac:dyDescent="0.2">
      <c r="K631" s="126"/>
    </row>
    <row r="632" spans="11:11" x14ac:dyDescent="0.2">
      <c r="K632" s="126"/>
    </row>
    <row r="633" spans="11:11" x14ac:dyDescent="0.2">
      <c r="K633" s="126"/>
    </row>
    <row r="634" spans="11:11" x14ac:dyDescent="0.2">
      <c r="K634" s="126"/>
    </row>
    <row r="635" spans="11:11" x14ac:dyDescent="0.2">
      <c r="K635" s="126"/>
    </row>
    <row r="636" spans="11:11" x14ac:dyDescent="0.2">
      <c r="K636" s="126"/>
    </row>
    <row r="637" spans="11:11" x14ac:dyDescent="0.2">
      <c r="K637" s="126"/>
    </row>
    <row r="638" spans="11:11" x14ac:dyDescent="0.2">
      <c r="K638" s="126"/>
    </row>
    <row r="639" spans="11:11" x14ac:dyDescent="0.2">
      <c r="K639" s="126"/>
    </row>
    <row r="640" spans="11:11" x14ac:dyDescent="0.2">
      <c r="K640" s="126"/>
    </row>
    <row r="641" spans="11:11" x14ac:dyDescent="0.2">
      <c r="K641" s="126"/>
    </row>
    <row r="642" spans="11:11" x14ac:dyDescent="0.2">
      <c r="K642" s="126"/>
    </row>
    <row r="643" spans="11:11" x14ac:dyDescent="0.2">
      <c r="K643" s="126"/>
    </row>
    <row r="644" spans="11:11" x14ac:dyDescent="0.2">
      <c r="K644" s="126"/>
    </row>
    <row r="645" spans="11:11" x14ac:dyDescent="0.2">
      <c r="K645" s="126"/>
    </row>
    <row r="646" spans="11:11" x14ac:dyDescent="0.2">
      <c r="K646" s="126"/>
    </row>
    <row r="647" spans="11:11" x14ac:dyDescent="0.2">
      <c r="K647" s="126"/>
    </row>
    <row r="648" spans="11:11" x14ac:dyDescent="0.2">
      <c r="K648" s="126"/>
    </row>
    <row r="649" spans="11:11" x14ac:dyDescent="0.2">
      <c r="K649" s="126"/>
    </row>
    <row r="650" spans="11:11" x14ac:dyDescent="0.2">
      <c r="K650" s="126"/>
    </row>
    <row r="651" spans="11:11" x14ac:dyDescent="0.2">
      <c r="K651" s="126"/>
    </row>
    <row r="652" spans="11:11" x14ac:dyDescent="0.2">
      <c r="K652" s="126"/>
    </row>
    <row r="653" spans="11:11" x14ac:dyDescent="0.2">
      <c r="K653" s="126"/>
    </row>
    <row r="654" spans="11:11" x14ac:dyDescent="0.2">
      <c r="K654" s="126"/>
    </row>
    <row r="655" spans="11:11" x14ac:dyDescent="0.2">
      <c r="K655" s="126"/>
    </row>
    <row r="656" spans="11:11" x14ac:dyDescent="0.2">
      <c r="K656" s="126"/>
    </row>
    <row r="657" spans="11:11" x14ac:dyDescent="0.2">
      <c r="K657" s="126"/>
    </row>
    <row r="658" spans="11:11" x14ac:dyDescent="0.2">
      <c r="K658" s="126"/>
    </row>
    <row r="659" spans="11:11" x14ac:dyDescent="0.2">
      <c r="K659" s="126"/>
    </row>
    <row r="660" spans="11:11" x14ac:dyDescent="0.2">
      <c r="K660" s="126"/>
    </row>
    <row r="661" spans="11:11" x14ac:dyDescent="0.2">
      <c r="K661" s="126"/>
    </row>
    <row r="662" spans="11:11" x14ac:dyDescent="0.2">
      <c r="K662" s="126"/>
    </row>
    <row r="663" spans="11:11" x14ac:dyDescent="0.2">
      <c r="K663" s="126"/>
    </row>
    <row r="664" spans="11:11" x14ac:dyDescent="0.2">
      <c r="K664" s="126"/>
    </row>
    <row r="665" spans="11:11" x14ac:dyDescent="0.2">
      <c r="K665" s="126"/>
    </row>
    <row r="666" spans="11:11" x14ac:dyDescent="0.2">
      <c r="K666" s="126"/>
    </row>
    <row r="667" spans="11:11" x14ac:dyDescent="0.2">
      <c r="K667" s="126"/>
    </row>
    <row r="668" spans="11:11" x14ac:dyDescent="0.2">
      <c r="K668" s="126"/>
    </row>
    <row r="669" spans="11:11" x14ac:dyDescent="0.2">
      <c r="K669" s="126"/>
    </row>
    <row r="670" spans="11:11" x14ac:dyDescent="0.2">
      <c r="K670" s="126"/>
    </row>
    <row r="671" spans="11:11" x14ac:dyDescent="0.2">
      <c r="K671" s="126"/>
    </row>
    <row r="672" spans="11:11" x14ac:dyDescent="0.2">
      <c r="K672" s="126"/>
    </row>
    <row r="673" spans="11:11" x14ac:dyDescent="0.2">
      <c r="K673" s="126"/>
    </row>
    <row r="674" spans="11:11" x14ac:dyDescent="0.2">
      <c r="K674" s="126"/>
    </row>
    <row r="675" spans="11:11" x14ac:dyDescent="0.2">
      <c r="K675" s="126"/>
    </row>
    <row r="676" spans="11:11" x14ac:dyDescent="0.2">
      <c r="K676" s="126"/>
    </row>
    <row r="677" spans="11:11" x14ac:dyDescent="0.2">
      <c r="K677" s="126"/>
    </row>
    <row r="678" spans="11:11" x14ac:dyDescent="0.2">
      <c r="K678" s="126"/>
    </row>
    <row r="679" spans="11:11" x14ac:dyDescent="0.2">
      <c r="K679" s="126"/>
    </row>
    <row r="680" spans="11:11" x14ac:dyDescent="0.2">
      <c r="K680" s="126"/>
    </row>
    <row r="681" spans="11:11" x14ac:dyDescent="0.2">
      <c r="K681" s="126"/>
    </row>
    <row r="682" spans="11:11" x14ac:dyDescent="0.2">
      <c r="K682" s="126"/>
    </row>
    <row r="683" spans="11:11" x14ac:dyDescent="0.2">
      <c r="K683" s="126"/>
    </row>
    <row r="684" spans="11:11" x14ac:dyDescent="0.2">
      <c r="K684" s="126"/>
    </row>
    <row r="685" spans="11:11" x14ac:dyDescent="0.2">
      <c r="K685" s="126"/>
    </row>
    <row r="686" spans="11:11" x14ac:dyDescent="0.2">
      <c r="K686" s="126"/>
    </row>
    <row r="687" spans="11:11" x14ac:dyDescent="0.2">
      <c r="K687" s="126"/>
    </row>
    <row r="688" spans="11:11" x14ac:dyDescent="0.2">
      <c r="K688" s="126"/>
    </row>
    <row r="689" spans="11:11" x14ac:dyDescent="0.2">
      <c r="K689" s="126"/>
    </row>
    <row r="690" spans="11:11" x14ac:dyDescent="0.2">
      <c r="K690" s="126"/>
    </row>
    <row r="691" spans="11:11" x14ac:dyDescent="0.2">
      <c r="K691" s="126"/>
    </row>
    <row r="692" spans="11:11" x14ac:dyDescent="0.2">
      <c r="K692" s="126"/>
    </row>
    <row r="693" spans="11:11" x14ac:dyDescent="0.2">
      <c r="K693" s="126"/>
    </row>
    <row r="694" spans="11:11" x14ac:dyDescent="0.2">
      <c r="K694" s="126"/>
    </row>
    <row r="695" spans="11:11" x14ac:dyDescent="0.2">
      <c r="K695" s="126"/>
    </row>
    <row r="696" spans="11:11" x14ac:dyDescent="0.2">
      <c r="K696" s="126"/>
    </row>
    <row r="697" spans="11:11" x14ac:dyDescent="0.2">
      <c r="K697" s="126"/>
    </row>
    <row r="698" spans="11:11" x14ac:dyDescent="0.2">
      <c r="K698" s="126"/>
    </row>
    <row r="699" spans="11:11" x14ac:dyDescent="0.2">
      <c r="K699" s="126"/>
    </row>
    <row r="700" spans="11:11" x14ac:dyDescent="0.2">
      <c r="K700" s="126"/>
    </row>
    <row r="701" spans="11:11" x14ac:dyDescent="0.2">
      <c r="K701" s="126"/>
    </row>
    <row r="702" spans="11:11" x14ac:dyDescent="0.2">
      <c r="K702" s="126"/>
    </row>
    <row r="703" spans="11:11" x14ac:dyDescent="0.2">
      <c r="K703" s="126"/>
    </row>
    <row r="704" spans="11:11" x14ac:dyDescent="0.2">
      <c r="K704" s="126"/>
    </row>
    <row r="705" spans="11:11" x14ac:dyDescent="0.2">
      <c r="K705" s="126"/>
    </row>
    <row r="706" spans="11:11" x14ac:dyDescent="0.2">
      <c r="K706" s="126"/>
    </row>
    <row r="707" spans="11:11" x14ac:dyDescent="0.2">
      <c r="K707" s="126"/>
    </row>
    <row r="708" spans="11:11" x14ac:dyDescent="0.2">
      <c r="K708" s="126"/>
    </row>
    <row r="709" spans="11:11" x14ac:dyDescent="0.2">
      <c r="K709" s="126"/>
    </row>
    <row r="710" spans="11:11" x14ac:dyDescent="0.2">
      <c r="K710" s="126"/>
    </row>
    <row r="711" spans="11:11" x14ac:dyDescent="0.2">
      <c r="K711" s="126"/>
    </row>
    <row r="712" spans="11:11" x14ac:dyDescent="0.2">
      <c r="K712" s="126"/>
    </row>
    <row r="713" spans="11:11" x14ac:dyDescent="0.2">
      <c r="K713" s="126"/>
    </row>
    <row r="714" spans="11:11" x14ac:dyDescent="0.2">
      <c r="K714" s="126"/>
    </row>
    <row r="715" spans="11:11" x14ac:dyDescent="0.2">
      <c r="K715" s="126"/>
    </row>
    <row r="716" spans="11:11" x14ac:dyDescent="0.2">
      <c r="K716" s="126"/>
    </row>
    <row r="717" spans="11:11" x14ac:dyDescent="0.2">
      <c r="K717" s="126"/>
    </row>
    <row r="718" spans="11:11" x14ac:dyDescent="0.2">
      <c r="K718" s="126"/>
    </row>
    <row r="719" spans="11:11" x14ac:dyDescent="0.2">
      <c r="K719" s="126"/>
    </row>
    <row r="720" spans="11:11" x14ac:dyDescent="0.2">
      <c r="K720" s="126"/>
    </row>
    <row r="721" spans="11:11" x14ac:dyDescent="0.2">
      <c r="K721" s="126"/>
    </row>
    <row r="722" spans="11:11" x14ac:dyDescent="0.2">
      <c r="K722" s="126"/>
    </row>
    <row r="723" spans="11:11" x14ac:dyDescent="0.2">
      <c r="K723" s="126"/>
    </row>
    <row r="724" spans="11:11" x14ac:dyDescent="0.2">
      <c r="K724" s="126"/>
    </row>
    <row r="725" spans="11:11" x14ac:dyDescent="0.2">
      <c r="K725" s="126"/>
    </row>
    <row r="726" spans="11:11" x14ac:dyDescent="0.2">
      <c r="K726" s="126"/>
    </row>
    <row r="727" spans="11:11" x14ac:dyDescent="0.2">
      <c r="K727" s="126"/>
    </row>
    <row r="728" spans="11:11" x14ac:dyDescent="0.2">
      <c r="K728" s="126"/>
    </row>
    <row r="729" spans="11:11" x14ac:dyDescent="0.2">
      <c r="K729" s="126"/>
    </row>
    <row r="730" spans="11:11" x14ac:dyDescent="0.2">
      <c r="K730" s="126"/>
    </row>
    <row r="731" spans="11:11" x14ac:dyDescent="0.2">
      <c r="K731" s="126"/>
    </row>
    <row r="732" spans="11:11" x14ac:dyDescent="0.2">
      <c r="K732" s="126"/>
    </row>
    <row r="733" spans="11:11" x14ac:dyDescent="0.2">
      <c r="K733" s="126"/>
    </row>
    <row r="734" spans="11:11" x14ac:dyDescent="0.2">
      <c r="K734" s="126"/>
    </row>
    <row r="735" spans="11:11" x14ac:dyDescent="0.2">
      <c r="K735" s="126"/>
    </row>
    <row r="736" spans="11:11" x14ac:dyDescent="0.2">
      <c r="K736" s="126"/>
    </row>
  </sheetData>
  <mergeCells count="2">
    <mergeCell ref="A5:C5"/>
    <mergeCell ref="E2:G2"/>
  </mergeCells>
  <pageMargins left="0.511811024" right="0.511811024" top="0.78740157499999996" bottom="0.78740157499999996" header="0.31496062000000002" footer="0.31496062000000002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4"/>
  <dimension ref="A1:J308"/>
  <sheetViews>
    <sheetView topLeftCell="A23" workbookViewId="0">
      <selection activeCell="F37" sqref="F37:F308"/>
    </sheetView>
  </sheetViews>
  <sheetFormatPr defaultColWidth="11.42578125" defaultRowHeight="12.75" x14ac:dyDescent="0.2"/>
  <cols>
    <col min="1" max="1" width="11.42578125" style="337"/>
    <col min="2" max="2" width="14.42578125" style="336" customWidth="1"/>
    <col min="3" max="3" width="5.42578125" style="336" customWidth="1"/>
    <col min="4" max="6" width="8.7109375" style="313" customWidth="1"/>
    <col min="7" max="7" width="5.42578125" style="336" customWidth="1"/>
    <col min="8" max="8" width="12.28515625" style="336" customWidth="1"/>
    <col min="9" max="16384" width="11.42578125" style="336"/>
  </cols>
  <sheetData>
    <row r="1" spans="1:10" s="318" customFormat="1" ht="12.75" customHeight="1" x14ac:dyDescent="0.2">
      <c r="A1" s="316" t="s">
        <v>112</v>
      </c>
      <c r="B1" s="320"/>
      <c r="D1" s="313"/>
      <c r="E1" s="313"/>
      <c r="F1" s="313"/>
    </row>
    <row r="2" spans="1:10" s="319" customFormat="1" x14ac:dyDescent="0.2">
      <c r="A2" s="243"/>
      <c r="B2" s="408" t="s">
        <v>115</v>
      </c>
      <c r="C2" s="321"/>
      <c r="D2" s="406" t="s">
        <v>113</v>
      </c>
      <c r="E2" s="406"/>
      <c r="F2" s="406"/>
      <c r="H2" s="407" t="s">
        <v>114</v>
      </c>
      <c r="J2" s="410" t="s">
        <v>153</v>
      </c>
    </row>
    <row r="3" spans="1:10" s="319" customFormat="1" x14ac:dyDescent="0.2">
      <c r="A3" s="334"/>
      <c r="B3" s="409"/>
      <c r="C3" s="323"/>
      <c r="D3" s="324" t="s">
        <v>116</v>
      </c>
      <c r="E3" s="324" t="s">
        <v>117</v>
      </c>
      <c r="F3" s="325" t="s">
        <v>118</v>
      </c>
      <c r="H3" s="407"/>
      <c r="J3" s="410"/>
    </row>
    <row r="4" spans="1:10" s="319" customFormat="1" x14ac:dyDescent="0.2">
      <c r="A4" s="338">
        <f t="shared" ref="A4:A35" si="0">A5-1</f>
        <v>42426</v>
      </c>
      <c r="B4" s="317">
        <v>3.9</v>
      </c>
      <c r="C4" s="318"/>
      <c r="D4" s="329"/>
      <c r="E4" s="329"/>
      <c r="F4" s="329"/>
      <c r="H4" s="327">
        <v>777.36546287369697</v>
      </c>
      <c r="J4" s="330">
        <f>A4</f>
        <v>42426</v>
      </c>
    </row>
    <row r="5" spans="1:10" s="319" customFormat="1" x14ac:dyDescent="0.2">
      <c r="A5" s="338">
        <f t="shared" si="0"/>
        <v>42427</v>
      </c>
      <c r="B5" s="317">
        <v>14.85</v>
      </c>
      <c r="C5" s="318"/>
      <c r="D5" s="329"/>
      <c r="E5" s="329"/>
      <c r="F5" s="329"/>
      <c r="H5" s="317">
        <v>1041.38518966268</v>
      </c>
      <c r="J5" s="330">
        <f t="shared" ref="J5:J36" si="1">A5</f>
        <v>42427</v>
      </c>
    </row>
    <row r="6" spans="1:10" s="319" customFormat="1" x14ac:dyDescent="0.2">
      <c r="A6" s="338">
        <f t="shared" si="0"/>
        <v>42428</v>
      </c>
      <c r="B6" s="317">
        <v>3.05</v>
      </c>
      <c r="C6" s="318"/>
      <c r="D6" s="329"/>
      <c r="E6" s="329"/>
      <c r="F6" s="329"/>
      <c r="H6" s="317">
        <v>1128.6026205929199</v>
      </c>
      <c r="J6" s="330">
        <f t="shared" si="1"/>
        <v>42428</v>
      </c>
    </row>
    <row r="7" spans="1:10" s="319" customFormat="1" x14ac:dyDescent="0.2">
      <c r="A7" s="338">
        <f t="shared" si="0"/>
        <v>42429</v>
      </c>
      <c r="B7" s="317">
        <v>0.46</v>
      </c>
      <c r="C7" s="318"/>
      <c r="D7" s="329"/>
      <c r="E7" s="329"/>
      <c r="F7" s="329"/>
      <c r="H7" s="317">
        <v>1035.03556978713</v>
      </c>
      <c r="J7" s="330">
        <f t="shared" si="1"/>
        <v>42429</v>
      </c>
    </row>
    <row r="8" spans="1:10" s="319" customFormat="1" x14ac:dyDescent="0.2">
      <c r="A8" s="338">
        <f t="shared" si="0"/>
        <v>42430</v>
      </c>
      <c r="B8" s="317">
        <v>0.24</v>
      </c>
      <c r="C8" s="318"/>
      <c r="D8" s="329"/>
      <c r="E8" s="329"/>
      <c r="F8" s="329"/>
      <c r="H8" s="317">
        <v>894.423546771171</v>
      </c>
      <c r="J8" s="330">
        <f t="shared" si="1"/>
        <v>42430</v>
      </c>
    </row>
    <row r="9" spans="1:10" s="319" customFormat="1" x14ac:dyDescent="0.2">
      <c r="A9" s="338">
        <f t="shared" si="0"/>
        <v>42431</v>
      </c>
      <c r="B9" s="317">
        <v>9.3000000000000007</v>
      </c>
      <c r="C9" s="318"/>
      <c r="D9" s="329"/>
      <c r="E9" s="329"/>
      <c r="F9" s="329"/>
      <c r="H9" s="317">
        <v>770.51679494953601</v>
      </c>
      <c r="J9" s="330">
        <f t="shared" si="1"/>
        <v>42431</v>
      </c>
    </row>
    <row r="10" spans="1:10" s="319" customFormat="1" x14ac:dyDescent="0.2">
      <c r="A10" s="338">
        <f t="shared" si="0"/>
        <v>42432</v>
      </c>
      <c r="B10" s="317">
        <v>31.29</v>
      </c>
      <c r="C10" s="318"/>
      <c r="D10" s="329"/>
      <c r="E10" s="329"/>
      <c r="F10" s="329"/>
      <c r="H10" s="317">
        <v>2008.20300002503</v>
      </c>
      <c r="J10" s="330">
        <f t="shared" si="1"/>
        <v>42432</v>
      </c>
    </row>
    <row r="11" spans="1:10" s="319" customFormat="1" x14ac:dyDescent="0.2">
      <c r="A11" s="338">
        <f t="shared" si="0"/>
        <v>42433</v>
      </c>
      <c r="B11" s="317">
        <v>4.3499999999999996</v>
      </c>
      <c r="C11" s="318"/>
      <c r="D11" s="329"/>
      <c r="E11" s="329"/>
      <c r="F11" s="329"/>
      <c r="H11" s="317">
        <v>2064.5436128544702</v>
      </c>
      <c r="J11" s="330">
        <f t="shared" si="1"/>
        <v>42433</v>
      </c>
    </row>
    <row r="12" spans="1:10" s="319" customFormat="1" x14ac:dyDescent="0.2">
      <c r="A12" s="338">
        <f t="shared" si="0"/>
        <v>42434</v>
      </c>
      <c r="B12" s="317">
        <v>1.32</v>
      </c>
      <c r="C12" s="318"/>
      <c r="D12" s="329"/>
      <c r="E12" s="329"/>
      <c r="F12" s="329"/>
      <c r="H12" s="317">
        <v>1933.3914916014901</v>
      </c>
      <c r="J12" s="330">
        <f t="shared" si="1"/>
        <v>42434</v>
      </c>
    </row>
    <row r="13" spans="1:10" s="319" customFormat="1" x14ac:dyDescent="0.2">
      <c r="A13" s="338">
        <f t="shared" si="0"/>
        <v>42435</v>
      </c>
      <c r="B13" s="317">
        <v>0.41</v>
      </c>
      <c r="C13" s="318"/>
      <c r="D13" s="329"/>
      <c r="E13" s="329"/>
      <c r="F13" s="329"/>
      <c r="H13" s="317">
        <v>1700.6263589523101</v>
      </c>
      <c r="J13" s="330">
        <f t="shared" si="1"/>
        <v>42435</v>
      </c>
    </row>
    <row r="14" spans="1:10" s="319" customFormat="1" x14ac:dyDescent="0.2">
      <c r="A14" s="338">
        <f t="shared" si="0"/>
        <v>42436</v>
      </c>
      <c r="B14" s="317">
        <v>0.32</v>
      </c>
      <c r="C14" s="318"/>
      <c r="D14" s="329"/>
      <c r="E14" s="329"/>
      <c r="F14" s="329"/>
      <c r="H14" s="317">
        <v>1339.08532292257</v>
      </c>
      <c r="J14" s="330">
        <f t="shared" si="1"/>
        <v>42436</v>
      </c>
    </row>
    <row r="15" spans="1:10" s="319" customFormat="1" x14ac:dyDescent="0.2">
      <c r="A15" s="338">
        <f t="shared" si="0"/>
        <v>42437</v>
      </c>
      <c r="B15" s="317">
        <v>7.0000000000000007E-2</v>
      </c>
      <c r="C15" s="318"/>
      <c r="D15" s="329"/>
      <c r="E15" s="329"/>
      <c r="F15" s="329"/>
      <c r="H15" s="317">
        <v>1099.2439515618901</v>
      </c>
      <c r="J15" s="330">
        <f t="shared" si="1"/>
        <v>42437</v>
      </c>
    </row>
    <row r="16" spans="1:10" s="319" customFormat="1" x14ac:dyDescent="0.2">
      <c r="A16" s="338">
        <f t="shared" si="0"/>
        <v>42438</v>
      </c>
      <c r="B16" s="317">
        <v>9.34</v>
      </c>
      <c r="C16" s="318"/>
      <c r="D16" s="329"/>
      <c r="E16" s="329"/>
      <c r="F16" s="329"/>
      <c r="H16" s="317">
        <v>1180.2527855814201</v>
      </c>
      <c r="J16" s="330">
        <f t="shared" si="1"/>
        <v>42438</v>
      </c>
    </row>
    <row r="17" spans="1:10" s="319" customFormat="1" x14ac:dyDescent="0.2">
      <c r="A17" s="338">
        <f t="shared" si="0"/>
        <v>42439</v>
      </c>
      <c r="B17" s="317">
        <v>23.52</v>
      </c>
      <c r="C17" s="318"/>
      <c r="D17" s="329"/>
      <c r="E17" s="329"/>
      <c r="F17" s="329"/>
      <c r="H17" s="317">
        <v>1709.14781201286</v>
      </c>
      <c r="J17" s="330">
        <f t="shared" si="1"/>
        <v>42439</v>
      </c>
    </row>
    <row r="18" spans="1:10" s="319" customFormat="1" x14ac:dyDescent="0.2">
      <c r="A18" s="338">
        <f t="shared" si="0"/>
        <v>42440</v>
      </c>
      <c r="B18" s="317">
        <v>3.09</v>
      </c>
      <c r="C18" s="318"/>
      <c r="D18" s="329"/>
      <c r="E18" s="329"/>
      <c r="F18" s="329"/>
      <c r="H18" s="317">
        <v>2064.19808210052</v>
      </c>
      <c r="J18" s="330">
        <f t="shared" si="1"/>
        <v>42440</v>
      </c>
    </row>
    <row r="19" spans="1:10" s="319" customFormat="1" x14ac:dyDescent="0.2">
      <c r="A19" s="338">
        <f t="shared" si="0"/>
        <v>42441</v>
      </c>
      <c r="B19" s="317">
        <v>2.86</v>
      </c>
      <c r="C19" s="318"/>
      <c r="D19" s="329"/>
      <c r="E19" s="329"/>
      <c r="F19" s="329"/>
      <c r="H19" s="317">
        <v>2041.8017553371501</v>
      </c>
      <c r="J19" s="330">
        <f t="shared" si="1"/>
        <v>42441</v>
      </c>
    </row>
    <row r="20" spans="1:10" s="319" customFormat="1" x14ac:dyDescent="0.2">
      <c r="A20" s="338">
        <f t="shared" si="0"/>
        <v>42442</v>
      </c>
      <c r="B20" s="317">
        <v>0.73</v>
      </c>
      <c r="C20" s="318"/>
      <c r="D20" s="329"/>
      <c r="E20" s="329"/>
      <c r="F20" s="329"/>
      <c r="H20" s="317">
        <v>1897.4468000433001</v>
      </c>
      <c r="J20" s="330">
        <f t="shared" si="1"/>
        <v>42442</v>
      </c>
    </row>
    <row r="21" spans="1:10" s="319" customFormat="1" x14ac:dyDescent="0.2">
      <c r="A21" s="338">
        <f t="shared" si="0"/>
        <v>42443</v>
      </c>
      <c r="B21" s="317">
        <v>0.59</v>
      </c>
      <c r="C21" s="318"/>
      <c r="D21" s="329"/>
      <c r="E21" s="329"/>
      <c r="F21" s="329"/>
      <c r="H21" s="317">
        <v>1561.3107932038799</v>
      </c>
      <c r="J21" s="330">
        <f t="shared" si="1"/>
        <v>42443</v>
      </c>
    </row>
    <row r="22" spans="1:10" s="319" customFormat="1" x14ac:dyDescent="0.2">
      <c r="A22" s="338">
        <f t="shared" si="0"/>
        <v>42444</v>
      </c>
      <c r="B22" s="317">
        <v>7.0000000000000007E-2</v>
      </c>
      <c r="C22" s="318"/>
      <c r="D22" s="329"/>
      <c r="E22" s="329"/>
      <c r="F22" s="329"/>
      <c r="H22" s="317">
        <v>1289.2214994701901</v>
      </c>
      <c r="J22" s="330">
        <f t="shared" si="1"/>
        <v>42444</v>
      </c>
    </row>
    <row r="23" spans="1:10" s="319" customFormat="1" x14ac:dyDescent="0.2">
      <c r="A23" s="338">
        <f t="shared" si="0"/>
        <v>42445</v>
      </c>
      <c r="B23" s="317">
        <v>0.13</v>
      </c>
      <c r="C23" s="318"/>
      <c r="D23" s="329"/>
      <c r="E23" s="329"/>
      <c r="F23" s="329"/>
      <c r="H23" s="317">
        <v>1090.66473545695</v>
      </c>
      <c r="J23" s="330">
        <f t="shared" si="1"/>
        <v>42445</v>
      </c>
    </row>
    <row r="24" spans="1:10" s="319" customFormat="1" x14ac:dyDescent="0.2">
      <c r="A24" s="338">
        <f t="shared" si="0"/>
        <v>42446</v>
      </c>
      <c r="B24" s="317">
        <v>0.06</v>
      </c>
      <c r="C24" s="318"/>
      <c r="D24" s="329"/>
      <c r="E24" s="329"/>
      <c r="F24" s="329"/>
      <c r="H24" s="317">
        <v>929.17803163181395</v>
      </c>
      <c r="J24" s="330">
        <f t="shared" si="1"/>
        <v>42446</v>
      </c>
    </row>
    <row r="25" spans="1:10" s="319" customFormat="1" x14ac:dyDescent="0.2">
      <c r="A25" s="338">
        <f t="shared" si="0"/>
        <v>42447</v>
      </c>
      <c r="B25" s="317">
        <v>0.1</v>
      </c>
      <c r="C25" s="318"/>
      <c r="D25" s="329"/>
      <c r="E25" s="329"/>
      <c r="F25" s="329"/>
      <c r="H25" s="317">
        <v>832.586682242763</v>
      </c>
      <c r="J25" s="330">
        <f t="shared" si="1"/>
        <v>42447</v>
      </c>
    </row>
    <row r="26" spans="1:10" s="319" customFormat="1" x14ac:dyDescent="0.2">
      <c r="A26" s="338">
        <f t="shared" si="0"/>
        <v>42448</v>
      </c>
      <c r="B26" s="317">
        <v>12.71</v>
      </c>
      <c r="C26" s="318"/>
      <c r="D26" s="329"/>
      <c r="E26" s="329"/>
      <c r="F26" s="329"/>
      <c r="H26" s="317">
        <v>760.89026976625405</v>
      </c>
      <c r="J26" s="330">
        <f t="shared" si="1"/>
        <v>42448</v>
      </c>
    </row>
    <row r="27" spans="1:10" s="319" customFormat="1" x14ac:dyDescent="0.2">
      <c r="A27" s="338">
        <f t="shared" si="0"/>
        <v>42449</v>
      </c>
      <c r="B27" s="317">
        <v>2.7</v>
      </c>
      <c r="C27" s="318"/>
      <c r="D27" s="329"/>
      <c r="E27" s="329"/>
      <c r="F27" s="329"/>
      <c r="H27" s="317">
        <v>671.57040358134805</v>
      </c>
      <c r="J27" s="330">
        <f t="shared" si="1"/>
        <v>42449</v>
      </c>
    </row>
    <row r="28" spans="1:10" s="319" customFormat="1" x14ac:dyDescent="0.2">
      <c r="A28" s="338">
        <f t="shared" si="0"/>
        <v>42450</v>
      </c>
      <c r="B28" s="317">
        <v>24.95</v>
      </c>
      <c r="C28" s="318"/>
      <c r="D28" s="329"/>
      <c r="E28" s="329"/>
      <c r="F28" s="329"/>
      <c r="H28" s="317">
        <v>907.67806605403598</v>
      </c>
      <c r="J28" s="330">
        <f t="shared" si="1"/>
        <v>42450</v>
      </c>
    </row>
    <row r="29" spans="1:10" s="319" customFormat="1" x14ac:dyDescent="0.2">
      <c r="A29" s="338">
        <f t="shared" si="0"/>
        <v>42451</v>
      </c>
      <c r="B29" s="317">
        <v>18.13</v>
      </c>
      <c r="C29" s="318"/>
      <c r="D29" s="329"/>
      <c r="E29" s="329"/>
      <c r="F29" s="329"/>
      <c r="H29" s="317">
        <v>2079.9068913917499</v>
      </c>
      <c r="J29" s="330">
        <f t="shared" si="1"/>
        <v>42451</v>
      </c>
    </row>
    <row r="30" spans="1:10" s="319" customFormat="1" x14ac:dyDescent="0.2">
      <c r="A30" s="338">
        <f t="shared" si="0"/>
        <v>42452</v>
      </c>
      <c r="B30" s="317">
        <v>0.83</v>
      </c>
      <c r="C30" s="318"/>
      <c r="D30" s="329"/>
      <c r="E30" s="329"/>
      <c r="F30" s="329"/>
      <c r="H30" s="317">
        <v>2114</v>
      </c>
      <c r="J30" s="330">
        <f t="shared" si="1"/>
        <v>42452</v>
      </c>
    </row>
    <row r="31" spans="1:10" s="319" customFormat="1" x14ac:dyDescent="0.2">
      <c r="A31" s="338">
        <f t="shared" si="0"/>
        <v>42453</v>
      </c>
      <c r="B31" s="317">
        <v>0.12</v>
      </c>
      <c r="C31" s="318"/>
      <c r="D31" s="329"/>
      <c r="E31" s="329"/>
      <c r="F31" s="329"/>
      <c r="H31" s="317">
        <v>1609</v>
      </c>
      <c r="J31" s="330">
        <f t="shared" si="1"/>
        <v>42453</v>
      </c>
    </row>
    <row r="32" spans="1:10" s="319" customFormat="1" x14ac:dyDescent="0.2">
      <c r="A32" s="338">
        <f t="shared" si="0"/>
        <v>42454</v>
      </c>
      <c r="B32" s="317">
        <v>16.02</v>
      </c>
      <c r="C32" s="318"/>
      <c r="D32" s="329"/>
      <c r="E32" s="329"/>
      <c r="F32" s="329"/>
      <c r="H32" s="317">
        <v>1553</v>
      </c>
      <c r="J32" s="330">
        <f t="shared" si="1"/>
        <v>42454</v>
      </c>
    </row>
    <row r="33" spans="1:10" s="319" customFormat="1" x14ac:dyDescent="0.2">
      <c r="A33" s="338">
        <f t="shared" si="0"/>
        <v>42455</v>
      </c>
      <c r="B33" s="317">
        <v>37.82</v>
      </c>
      <c r="C33" s="318"/>
      <c r="D33" s="329"/>
      <c r="E33" s="329"/>
      <c r="F33" s="329"/>
      <c r="H33" s="317">
        <v>2283</v>
      </c>
      <c r="J33" s="330">
        <f t="shared" si="1"/>
        <v>42455</v>
      </c>
    </row>
    <row r="34" spans="1:10" s="319" customFormat="1" x14ac:dyDescent="0.2">
      <c r="A34" s="338">
        <f t="shared" si="0"/>
        <v>42456</v>
      </c>
      <c r="B34" s="317">
        <v>4.7</v>
      </c>
      <c r="C34" s="318"/>
      <c r="D34" s="329"/>
      <c r="E34" s="329"/>
      <c r="F34" s="329"/>
      <c r="H34" s="317">
        <v>2411</v>
      </c>
      <c r="J34" s="330">
        <f t="shared" si="1"/>
        <v>42456</v>
      </c>
    </row>
    <row r="35" spans="1:10" s="319" customFormat="1" x14ac:dyDescent="0.2">
      <c r="A35" s="338">
        <f t="shared" si="0"/>
        <v>42457</v>
      </c>
      <c r="B35" s="317">
        <v>1.23</v>
      </c>
      <c r="C35" s="318"/>
      <c r="D35" s="329"/>
      <c r="E35" s="329"/>
      <c r="F35" s="329"/>
      <c r="H35" s="328">
        <v>2110</v>
      </c>
      <c r="J35" s="330">
        <f t="shared" si="1"/>
        <v>42457</v>
      </c>
    </row>
    <row r="36" spans="1:10" s="319" customFormat="1" x14ac:dyDescent="0.2">
      <c r="A36" s="338">
        <f>Botoes!B5</f>
        <v>42458</v>
      </c>
      <c r="B36" s="328">
        <v>0.25</v>
      </c>
      <c r="C36" s="318"/>
      <c r="D36" s="329"/>
      <c r="E36" s="329"/>
      <c r="F36" s="329"/>
      <c r="H36" s="329"/>
      <c r="J36" s="330">
        <f t="shared" si="1"/>
        <v>42458</v>
      </c>
    </row>
    <row r="37" spans="1:10" s="319" customFormat="1" x14ac:dyDescent="0.2">
      <c r="A37" s="338">
        <f>A36+1</f>
        <v>42459</v>
      </c>
      <c r="B37" s="326"/>
      <c r="C37" s="318"/>
      <c r="D37" s="335">
        <v>0.04</v>
      </c>
      <c r="E37" s="327">
        <v>0.02</v>
      </c>
      <c r="F37" s="327">
        <v>0.11</v>
      </c>
      <c r="H37" s="322"/>
    </row>
    <row r="38" spans="1:10" s="319" customFormat="1" x14ac:dyDescent="0.2">
      <c r="A38" s="338">
        <f t="shared" ref="A38:A101" si="2">A37+1</f>
        <v>42460</v>
      </c>
      <c r="B38" s="326"/>
      <c r="C38" s="318"/>
      <c r="D38" s="331">
        <v>0.12</v>
      </c>
      <c r="E38" s="317">
        <v>0.36</v>
      </c>
      <c r="F38" s="317">
        <v>1.03</v>
      </c>
      <c r="H38" s="322"/>
    </row>
    <row r="39" spans="1:10" s="319" customFormat="1" x14ac:dyDescent="0.2">
      <c r="A39" s="338">
        <f t="shared" si="2"/>
        <v>42461</v>
      </c>
      <c r="B39" s="326"/>
      <c r="C39" s="318"/>
      <c r="D39" s="331">
        <v>0.25</v>
      </c>
      <c r="E39" s="317">
        <v>2.0299999999999998</v>
      </c>
      <c r="F39" s="317">
        <v>1.37</v>
      </c>
      <c r="H39" s="322"/>
    </row>
    <row r="40" spans="1:10" s="319" customFormat="1" x14ac:dyDescent="0.2">
      <c r="A40" s="338">
        <f t="shared" si="2"/>
        <v>42462</v>
      </c>
      <c r="B40" s="326"/>
      <c r="C40" s="318"/>
      <c r="D40" s="331">
        <v>0.49</v>
      </c>
      <c r="E40" s="317">
        <v>1.4</v>
      </c>
      <c r="F40" s="317">
        <v>1.26</v>
      </c>
      <c r="H40" s="322"/>
    </row>
    <row r="41" spans="1:10" s="319" customFormat="1" x14ac:dyDescent="0.2">
      <c r="A41" s="338">
        <f t="shared" si="2"/>
        <v>42463</v>
      </c>
      <c r="B41" s="326"/>
      <c r="C41" s="318"/>
      <c r="D41" s="331">
        <v>11.54</v>
      </c>
      <c r="E41" s="317">
        <v>1.1599999999999999</v>
      </c>
      <c r="F41" s="317">
        <v>13.26</v>
      </c>
      <c r="H41" s="322"/>
    </row>
    <row r="42" spans="1:10" s="319" customFormat="1" x14ac:dyDescent="0.2">
      <c r="A42" s="338">
        <f t="shared" si="2"/>
        <v>42464</v>
      </c>
      <c r="B42" s="326"/>
      <c r="C42" s="318"/>
      <c r="D42" s="331">
        <v>12.39</v>
      </c>
      <c r="E42" s="317">
        <v>31.37</v>
      </c>
      <c r="F42" s="317">
        <v>18.54</v>
      </c>
      <c r="H42" s="322"/>
    </row>
    <row r="43" spans="1:10" s="319" customFormat="1" x14ac:dyDescent="0.2">
      <c r="A43" s="338">
        <f t="shared" si="2"/>
        <v>42465</v>
      </c>
      <c r="B43" s="326"/>
      <c r="C43" s="318"/>
      <c r="D43" s="331">
        <v>2.25</v>
      </c>
      <c r="E43" s="317">
        <v>10.64</v>
      </c>
      <c r="F43" s="317">
        <v>15.07</v>
      </c>
      <c r="H43" s="322"/>
    </row>
    <row r="44" spans="1:10" s="319" customFormat="1" x14ac:dyDescent="0.2">
      <c r="A44" s="338">
        <f t="shared" si="2"/>
        <v>42466</v>
      </c>
      <c r="B44" s="326"/>
      <c r="C44" s="318"/>
      <c r="D44" s="331">
        <v>11.93</v>
      </c>
      <c r="E44" s="317">
        <v>11.79</v>
      </c>
      <c r="F44" s="317">
        <v>1.98</v>
      </c>
      <c r="H44" s="322"/>
    </row>
    <row r="45" spans="1:10" s="319" customFormat="1" x14ac:dyDescent="0.2">
      <c r="A45" s="338">
        <f t="shared" si="2"/>
        <v>42467</v>
      </c>
      <c r="B45" s="326"/>
      <c r="C45" s="318"/>
      <c r="D45" s="331">
        <v>4.37</v>
      </c>
      <c r="E45" s="317">
        <v>20.09</v>
      </c>
      <c r="F45" s="317">
        <v>2.5</v>
      </c>
      <c r="H45" s="322"/>
    </row>
    <row r="46" spans="1:10" s="319" customFormat="1" x14ac:dyDescent="0.2">
      <c r="A46" s="338">
        <f t="shared" si="2"/>
        <v>42468</v>
      </c>
      <c r="B46" s="326"/>
      <c r="C46" s="318"/>
      <c r="D46" s="332">
        <v>0.06</v>
      </c>
      <c r="E46" s="317">
        <v>28.69</v>
      </c>
      <c r="F46" s="317">
        <v>7.4</v>
      </c>
      <c r="H46" s="322"/>
    </row>
    <row r="47" spans="1:10" s="319" customFormat="1" x14ac:dyDescent="0.2">
      <c r="A47" s="338">
        <f t="shared" si="2"/>
        <v>42469</v>
      </c>
      <c r="B47" s="326"/>
      <c r="C47" s="318"/>
      <c r="D47" s="329"/>
      <c r="E47" s="317">
        <v>2.25</v>
      </c>
      <c r="F47" s="317">
        <v>10.83</v>
      </c>
      <c r="H47" s="322"/>
    </row>
    <row r="48" spans="1:10" s="319" customFormat="1" x14ac:dyDescent="0.2">
      <c r="A48" s="338">
        <f t="shared" si="2"/>
        <v>42470</v>
      </c>
      <c r="B48" s="326"/>
      <c r="C48" s="318"/>
      <c r="D48" s="329"/>
      <c r="E48" s="317">
        <v>3.95</v>
      </c>
      <c r="F48" s="317">
        <v>0.22</v>
      </c>
      <c r="H48" s="322"/>
    </row>
    <row r="49" spans="1:8" s="319" customFormat="1" x14ac:dyDescent="0.2">
      <c r="A49" s="338">
        <f t="shared" si="2"/>
        <v>42471</v>
      </c>
      <c r="B49" s="326"/>
      <c r="C49" s="318"/>
      <c r="D49" s="329"/>
      <c r="E49" s="317">
        <v>27.59</v>
      </c>
      <c r="F49" s="317">
        <v>4.17</v>
      </c>
      <c r="H49" s="322"/>
    </row>
    <row r="50" spans="1:8" s="319" customFormat="1" x14ac:dyDescent="0.2">
      <c r="A50" s="338">
        <f t="shared" si="2"/>
        <v>42472</v>
      </c>
      <c r="B50" s="326"/>
      <c r="C50" s="318"/>
      <c r="D50" s="329"/>
      <c r="E50" s="317">
        <v>5.98</v>
      </c>
      <c r="F50" s="317">
        <v>18.170000000000002</v>
      </c>
      <c r="H50" s="322"/>
    </row>
    <row r="51" spans="1:8" s="319" customFormat="1" x14ac:dyDescent="0.2">
      <c r="A51" s="338">
        <f t="shared" si="2"/>
        <v>42473</v>
      </c>
      <c r="B51" s="326"/>
      <c r="C51" s="318"/>
      <c r="D51" s="329"/>
      <c r="E51" s="328">
        <v>7.7</v>
      </c>
      <c r="F51" s="317">
        <v>0.97</v>
      </c>
      <c r="H51" s="322"/>
    </row>
    <row r="52" spans="1:8" s="319" customFormat="1" x14ac:dyDescent="0.2">
      <c r="A52" s="338">
        <f t="shared" si="2"/>
        <v>42474</v>
      </c>
      <c r="B52" s="326"/>
      <c r="C52" s="318"/>
      <c r="D52" s="329"/>
      <c r="E52" s="333"/>
      <c r="F52" s="317">
        <v>0.12</v>
      </c>
      <c r="H52" s="322"/>
    </row>
    <row r="53" spans="1:8" s="319" customFormat="1" x14ac:dyDescent="0.2">
      <c r="A53" s="338">
        <f t="shared" si="2"/>
        <v>42475</v>
      </c>
      <c r="B53" s="326"/>
      <c r="C53" s="318"/>
      <c r="D53" s="329"/>
      <c r="E53" s="329"/>
      <c r="F53" s="317">
        <v>0.14000000000000001</v>
      </c>
      <c r="H53" s="322"/>
    </row>
    <row r="54" spans="1:8" s="319" customFormat="1" x14ac:dyDescent="0.2">
      <c r="A54" s="338">
        <f t="shared" si="2"/>
        <v>42476</v>
      </c>
      <c r="B54" s="326"/>
      <c r="C54" s="318"/>
      <c r="D54" s="329"/>
      <c r="E54" s="329"/>
      <c r="F54" s="317">
        <v>0.22</v>
      </c>
      <c r="H54" s="322"/>
    </row>
    <row r="55" spans="1:8" s="319" customFormat="1" x14ac:dyDescent="0.2">
      <c r="A55" s="338">
        <f t="shared" si="2"/>
        <v>42477</v>
      </c>
      <c r="B55" s="326"/>
      <c r="C55" s="318"/>
      <c r="D55" s="329"/>
      <c r="E55" s="329"/>
      <c r="F55" s="317">
        <v>2.54</v>
      </c>
      <c r="H55" s="322"/>
    </row>
    <row r="56" spans="1:8" s="319" customFormat="1" x14ac:dyDescent="0.2">
      <c r="A56" s="338">
        <f t="shared" si="2"/>
        <v>42478</v>
      </c>
      <c r="B56" s="326"/>
      <c r="C56" s="318"/>
      <c r="D56" s="329"/>
      <c r="E56" s="329"/>
      <c r="F56" s="317">
        <v>13.51</v>
      </c>
      <c r="H56" s="322"/>
    </row>
    <row r="57" spans="1:8" s="319" customFormat="1" x14ac:dyDescent="0.2">
      <c r="A57" s="338">
        <f t="shared" si="2"/>
        <v>42479</v>
      </c>
      <c r="B57" s="326"/>
      <c r="C57" s="318"/>
      <c r="D57" s="329"/>
      <c r="E57" s="329"/>
      <c r="F57" s="317">
        <v>38.770000000000003</v>
      </c>
      <c r="H57" s="322"/>
    </row>
    <row r="58" spans="1:8" s="319" customFormat="1" x14ac:dyDescent="0.2">
      <c r="A58" s="338">
        <f t="shared" si="2"/>
        <v>42480</v>
      </c>
      <c r="B58" s="326"/>
      <c r="C58" s="318"/>
      <c r="D58" s="329"/>
      <c r="E58" s="329"/>
      <c r="F58" s="317">
        <v>26.48</v>
      </c>
      <c r="H58" s="322"/>
    </row>
    <row r="59" spans="1:8" s="319" customFormat="1" x14ac:dyDescent="0.2">
      <c r="A59" s="338">
        <f t="shared" si="2"/>
        <v>42481</v>
      </c>
      <c r="B59" s="326"/>
      <c r="C59" s="318"/>
      <c r="D59" s="329"/>
      <c r="E59" s="329"/>
      <c r="F59" s="317">
        <v>7.0000000000000007E-2</v>
      </c>
      <c r="H59" s="322"/>
    </row>
    <row r="60" spans="1:8" s="319" customFormat="1" x14ac:dyDescent="0.2">
      <c r="A60" s="338">
        <f t="shared" si="2"/>
        <v>42482</v>
      </c>
      <c r="B60" s="326"/>
      <c r="C60" s="318"/>
      <c r="D60" s="329"/>
      <c r="E60" s="329"/>
      <c r="F60" s="317">
        <v>0.04</v>
      </c>
      <c r="H60" s="322"/>
    </row>
    <row r="61" spans="1:8" s="319" customFormat="1" x14ac:dyDescent="0.2">
      <c r="A61" s="338">
        <f t="shared" si="2"/>
        <v>42483</v>
      </c>
      <c r="B61" s="326"/>
      <c r="C61" s="318"/>
      <c r="D61" s="329"/>
      <c r="E61" s="329"/>
      <c r="F61" s="317">
        <v>0.06</v>
      </c>
      <c r="H61" s="322"/>
    </row>
    <row r="62" spans="1:8" s="319" customFormat="1" x14ac:dyDescent="0.2">
      <c r="A62" s="338">
        <f t="shared" si="2"/>
        <v>42484</v>
      </c>
      <c r="B62" s="326"/>
      <c r="C62" s="318"/>
      <c r="D62" s="329"/>
      <c r="E62" s="329"/>
      <c r="F62" s="317">
        <v>0.12</v>
      </c>
      <c r="H62" s="322"/>
    </row>
    <row r="63" spans="1:8" s="319" customFormat="1" x14ac:dyDescent="0.2">
      <c r="A63" s="338">
        <f t="shared" si="2"/>
        <v>42485</v>
      </c>
      <c r="B63" s="326"/>
      <c r="C63" s="318"/>
      <c r="D63" s="329"/>
      <c r="E63" s="329"/>
      <c r="F63" s="317">
        <v>0.01</v>
      </c>
      <c r="H63" s="322"/>
    </row>
    <row r="64" spans="1:8" s="319" customFormat="1" x14ac:dyDescent="0.2">
      <c r="A64" s="338">
        <f t="shared" si="2"/>
        <v>42486</v>
      </c>
      <c r="B64" s="326"/>
      <c r="C64" s="318"/>
      <c r="D64" s="329"/>
      <c r="E64" s="329"/>
      <c r="F64" s="317">
        <v>0.13</v>
      </c>
      <c r="H64" s="322"/>
    </row>
    <row r="65" spans="1:8" s="319" customFormat="1" x14ac:dyDescent="0.2">
      <c r="A65" s="338">
        <f t="shared" si="2"/>
        <v>42487</v>
      </c>
      <c r="B65" s="326"/>
      <c r="C65" s="318"/>
      <c r="D65" s="329"/>
      <c r="E65" s="329"/>
      <c r="F65" s="317">
        <v>0.02</v>
      </c>
      <c r="H65" s="322"/>
    </row>
    <row r="66" spans="1:8" s="319" customFormat="1" x14ac:dyDescent="0.2">
      <c r="A66" s="338">
        <f t="shared" si="2"/>
        <v>42488</v>
      </c>
      <c r="B66" s="326"/>
      <c r="C66" s="318"/>
      <c r="D66" s="329"/>
      <c r="E66" s="329"/>
      <c r="F66" s="317">
        <v>0.03</v>
      </c>
      <c r="H66" s="322"/>
    </row>
    <row r="67" spans="1:8" s="319" customFormat="1" x14ac:dyDescent="0.2">
      <c r="A67" s="338">
        <f t="shared" si="2"/>
        <v>42489</v>
      </c>
      <c r="B67" s="326"/>
      <c r="C67" s="318"/>
      <c r="D67" s="329"/>
      <c r="E67" s="329"/>
      <c r="F67" s="317">
        <v>2.02</v>
      </c>
      <c r="H67" s="322"/>
    </row>
    <row r="68" spans="1:8" s="319" customFormat="1" x14ac:dyDescent="0.2">
      <c r="A68" s="338">
        <f t="shared" si="2"/>
        <v>42490</v>
      </c>
      <c r="B68" s="326"/>
      <c r="C68" s="318"/>
      <c r="D68" s="329"/>
      <c r="E68" s="329"/>
      <c r="F68" s="317">
        <v>18.02</v>
      </c>
      <c r="H68" s="322"/>
    </row>
    <row r="69" spans="1:8" s="319" customFormat="1" x14ac:dyDescent="0.2">
      <c r="A69" s="338">
        <f t="shared" si="2"/>
        <v>42491</v>
      </c>
      <c r="B69" s="326"/>
      <c r="C69" s="318"/>
      <c r="D69" s="329"/>
      <c r="E69" s="329"/>
      <c r="F69" s="317">
        <v>9.49</v>
      </c>
      <c r="H69" s="322"/>
    </row>
    <row r="70" spans="1:8" s="319" customFormat="1" x14ac:dyDescent="0.2">
      <c r="A70" s="338">
        <f t="shared" si="2"/>
        <v>42492</v>
      </c>
      <c r="B70" s="326"/>
      <c r="C70" s="318"/>
      <c r="D70" s="329"/>
      <c r="E70" s="329"/>
      <c r="F70" s="317">
        <v>6.3</v>
      </c>
      <c r="H70" s="322"/>
    </row>
    <row r="71" spans="1:8" s="319" customFormat="1" x14ac:dyDescent="0.2">
      <c r="A71" s="338">
        <f t="shared" si="2"/>
        <v>42493</v>
      </c>
      <c r="B71" s="326"/>
      <c r="C71" s="318"/>
      <c r="D71" s="329"/>
      <c r="E71" s="329"/>
      <c r="F71" s="317">
        <v>0.12</v>
      </c>
      <c r="H71" s="322"/>
    </row>
    <row r="72" spans="1:8" s="319" customFormat="1" x14ac:dyDescent="0.2">
      <c r="A72" s="338">
        <f t="shared" si="2"/>
        <v>42494</v>
      </c>
      <c r="B72" s="326"/>
      <c r="C72" s="318"/>
      <c r="D72" s="329"/>
      <c r="E72" s="329"/>
      <c r="F72" s="317">
        <v>0</v>
      </c>
      <c r="H72" s="322"/>
    </row>
    <row r="73" spans="1:8" s="319" customFormat="1" x14ac:dyDescent="0.2">
      <c r="A73" s="338">
        <f t="shared" si="2"/>
        <v>42495</v>
      </c>
      <c r="B73" s="326"/>
      <c r="C73" s="318"/>
      <c r="D73" s="329"/>
      <c r="E73" s="329"/>
      <c r="F73" s="317">
        <v>3.83</v>
      </c>
      <c r="H73" s="322"/>
    </row>
    <row r="74" spans="1:8" s="319" customFormat="1" x14ac:dyDescent="0.2">
      <c r="A74" s="338">
        <f t="shared" si="2"/>
        <v>42496</v>
      </c>
      <c r="B74" s="326"/>
      <c r="C74" s="318"/>
      <c r="D74" s="329"/>
      <c r="E74" s="329"/>
      <c r="F74" s="317">
        <v>7.34</v>
      </c>
      <c r="H74" s="322"/>
    </row>
    <row r="75" spans="1:8" s="319" customFormat="1" x14ac:dyDescent="0.2">
      <c r="A75" s="338">
        <f t="shared" si="2"/>
        <v>42497</v>
      </c>
      <c r="B75" s="326"/>
      <c r="C75" s="318"/>
      <c r="D75" s="329"/>
      <c r="E75" s="329"/>
      <c r="F75" s="317">
        <v>2.06</v>
      </c>
      <c r="H75" s="322"/>
    </row>
    <row r="76" spans="1:8" s="319" customFormat="1" x14ac:dyDescent="0.2">
      <c r="A76" s="338">
        <f t="shared" si="2"/>
        <v>42498</v>
      </c>
      <c r="B76" s="326"/>
      <c r="C76" s="318"/>
      <c r="D76" s="329"/>
      <c r="E76" s="329"/>
      <c r="F76" s="317">
        <v>0.05</v>
      </c>
      <c r="H76" s="322"/>
    </row>
    <row r="77" spans="1:8" s="319" customFormat="1" x14ac:dyDescent="0.2">
      <c r="A77" s="338">
        <f t="shared" si="2"/>
        <v>42499</v>
      </c>
      <c r="B77" s="326"/>
      <c r="C77" s="318"/>
      <c r="D77" s="329"/>
      <c r="E77" s="329"/>
      <c r="F77" s="317">
        <v>0</v>
      </c>
      <c r="H77" s="322"/>
    </row>
    <row r="78" spans="1:8" s="319" customFormat="1" x14ac:dyDescent="0.2">
      <c r="A78" s="338">
        <f t="shared" si="2"/>
        <v>42500</v>
      </c>
      <c r="B78" s="326"/>
      <c r="C78" s="318"/>
      <c r="D78" s="329"/>
      <c r="E78" s="329"/>
      <c r="F78" s="317">
        <v>31.14</v>
      </c>
      <c r="H78" s="322"/>
    </row>
    <row r="79" spans="1:8" s="319" customFormat="1" x14ac:dyDescent="0.2">
      <c r="A79" s="338">
        <f t="shared" si="2"/>
        <v>42501</v>
      </c>
      <c r="B79" s="326"/>
      <c r="C79" s="318"/>
      <c r="D79" s="329"/>
      <c r="E79" s="329"/>
      <c r="F79" s="317">
        <v>27.21</v>
      </c>
      <c r="H79" s="322"/>
    </row>
    <row r="80" spans="1:8" s="319" customFormat="1" x14ac:dyDescent="0.2">
      <c r="A80" s="338">
        <f t="shared" si="2"/>
        <v>42502</v>
      </c>
      <c r="B80" s="326"/>
      <c r="C80" s="318"/>
      <c r="D80" s="329"/>
      <c r="E80" s="329"/>
      <c r="F80" s="317">
        <v>36.869999999999997</v>
      </c>
      <c r="H80" s="322"/>
    </row>
    <row r="81" spans="1:8" s="319" customFormat="1" x14ac:dyDescent="0.2">
      <c r="A81" s="338">
        <f t="shared" si="2"/>
        <v>42503</v>
      </c>
      <c r="B81" s="326"/>
      <c r="C81" s="318"/>
      <c r="D81" s="329"/>
      <c r="E81" s="329"/>
      <c r="F81" s="317">
        <v>13.83</v>
      </c>
      <c r="H81" s="322"/>
    </row>
    <row r="82" spans="1:8" s="319" customFormat="1" x14ac:dyDescent="0.2">
      <c r="A82" s="338">
        <f t="shared" si="2"/>
        <v>42504</v>
      </c>
      <c r="B82" s="326"/>
      <c r="C82" s="318"/>
      <c r="D82" s="329"/>
      <c r="E82" s="329"/>
      <c r="F82" s="317">
        <v>0.98</v>
      </c>
      <c r="H82" s="322"/>
    </row>
    <row r="83" spans="1:8" s="319" customFormat="1" x14ac:dyDescent="0.2">
      <c r="A83" s="338">
        <f t="shared" si="2"/>
        <v>42505</v>
      </c>
      <c r="B83" s="326"/>
      <c r="C83" s="318"/>
      <c r="D83" s="329"/>
      <c r="E83" s="329"/>
      <c r="F83" s="317">
        <v>3.93</v>
      </c>
      <c r="H83" s="322"/>
    </row>
    <row r="84" spans="1:8" s="319" customFormat="1" x14ac:dyDescent="0.2">
      <c r="A84" s="338">
        <f t="shared" si="2"/>
        <v>42506</v>
      </c>
      <c r="B84" s="326"/>
      <c r="C84" s="318"/>
      <c r="D84" s="329"/>
      <c r="E84" s="329"/>
      <c r="F84" s="317">
        <v>2.82</v>
      </c>
      <c r="H84" s="322"/>
    </row>
    <row r="85" spans="1:8" s="319" customFormat="1" x14ac:dyDescent="0.2">
      <c r="A85" s="338">
        <f t="shared" si="2"/>
        <v>42507</v>
      </c>
      <c r="B85" s="326"/>
      <c r="C85" s="318"/>
      <c r="D85" s="329"/>
      <c r="E85" s="329"/>
      <c r="F85" s="317">
        <v>0.73</v>
      </c>
      <c r="H85" s="322"/>
    </row>
    <row r="86" spans="1:8" s="319" customFormat="1" x14ac:dyDescent="0.2">
      <c r="A86" s="338">
        <f t="shared" si="2"/>
        <v>42508</v>
      </c>
      <c r="B86" s="326"/>
      <c r="C86" s="318"/>
      <c r="D86" s="329"/>
      <c r="E86" s="329"/>
      <c r="F86" s="317">
        <v>0.14000000000000001</v>
      </c>
      <c r="H86" s="322"/>
    </row>
    <row r="87" spans="1:8" s="319" customFormat="1" x14ac:dyDescent="0.2">
      <c r="A87" s="338">
        <f t="shared" si="2"/>
        <v>42509</v>
      </c>
      <c r="B87" s="326"/>
      <c r="C87" s="318"/>
      <c r="D87" s="329"/>
      <c r="E87" s="329"/>
      <c r="F87" s="317">
        <v>0.04</v>
      </c>
      <c r="H87" s="322"/>
    </row>
    <row r="88" spans="1:8" s="319" customFormat="1" x14ac:dyDescent="0.2">
      <c r="A88" s="338">
        <f t="shared" si="2"/>
        <v>42510</v>
      </c>
      <c r="B88" s="326"/>
      <c r="C88" s="318"/>
      <c r="D88" s="329"/>
      <c r="E88" s="329"/>
      <c r="F88" s="317">
        <v>0.03</v>
      </c>
      <c r="H88" s="322"/>
    </row>
    <row r="89" spans="1:8" s="319" customFormat="1" x14ac:dyDescent="0.2">
      <c r="A89" s="338">
        <f t="shared" si="2"/>
        <v>42511</v>
      </c>
      <c r="B89" s="326"/>
      <c r="C89" s="318"/>
      <c r="D89" s="329"/>
      <c r="E89" s="329"/>
      <c r="F89" s="317">
        <v>0.11</v>
      </c>
      <c r="H89" s="322"/>
    </row>
    <row r="90" spans="1:8" s="319" customFormat="1" x14ac:dyDescent="0.2">
      <c r="A90" s="338">
        <f t="shared" si="2"/>
        <v>42512</v>
      </c>
      <c r="B90" s="326"/>
      <c r="C90" s="318"/>
      <c r="D90" s="329"/>
      <c r="E90" s="329"/>
      <c r="F90" s="317">
        <v>13.36</v>
      </c>
      <c r="H90" s="322"/>
    </row>
    <row r="91" spans="1:8" s="319" customFormat="1" x14ac:dyDescent="0.2">
      <c r="A91" s="338">
        <f t="shared" si="2"/>
        <v>42513</v>
      </c>
      <c r="B91" s="326"/>
      <c r="C91" s="318"/>
      <c r="D91" s="329"/>
      <c r="E91" s="329"/>
      <c r="F91" s="317">
        <v>14.34</v>
      </c>
      <c r="H91" s="322"/>
    </row>
    <row r="92" spans="1:8" s="319" customFormat="1" x14ac:dyDescent="0.2">
      <c r="A92" s="338">
        <f t="shared" si="2"/>
        <v>42514</v>
      </c>
      <c r="B92" s="326"/>
      <c r="C92" s="318"/>
      <c r="D92" s="329"/>
      <c r="E92" s="329"/>
      <c r="F92" s="317">
        <v>8.98</v>
      </c>
      <c r="H92" s="322"/>
    </row>
    <row r="93" spans="1:8" s="319" customFormat="1" x14ac:dyDescent="0.2">
      <c r="A93" s="338">
        <f t="shared" si="2"/>
        <v>42515</v>
      </c>
      <c r="B93" s="326"/>
      <c r="C93" s="318"/>
      <c r="D93" s="329"/>
      <c r="E93" s="329"/>
      <c r="F93" s="317">
        <v>5.73</v>
      </c>
      <c r="H93" s="322"/>
    </row>
    <row r="94" spans="1:8" s="319" customFormat="1" x14ac:dyDescent="0.2">
      <c r="A94" s="338">
        <f t="shared" si="2"/>
        <v>42516</v>
      </c>
      <c r="B94" s="326"/>
      <c r="C94" s="318"/>
      <c r="D94" s="329"/>
      <c r="E94" s="329"/>
      <c r="F94" s="317">
        <v>5.48</v>
      </c>
      <c r="H94" s="322"/>
    </row>
    <row r="95" spans="1:8" s="319" customFormat="1" x14ac:dyDescent="0.2">
      <c r="A95" s="338">
        <f t="shared" si="2"/>
        <v>42517</v>
      </c>
      <c r="B95" s="326"/>
      <c r="C95" s="318"/>
      <c r="D95" s="329"/>
      <c r="E95" s="329"/>
      <c r="F95" s="317">
        <v>0.96</v>
      </c>
      <c r="H95" s="322"/>
    </row>
    <row r="96" spans="1:8" s="319" customFormat="1" x14ac:dyDescent="0.2">
      <c r="A96" s="338">
        <f t="shared" si="2"/>
        <v>42518</v>
      </c>
      <c r="B96" s="326"/>
      <c r="C96" s="318"/>
      <c r="D96" s="329"/>
      <c r="E96" s="329"/>
      <c r="F96" s="317">
        <v>10.92</v>
      </c>
      <c r="H96" s="322"/>
    </row>
    <row r="97" spans="1:8" s="319" customFormat="1" x14ac:dyDescent="0.2">
      <c r="A97" s="338">
        <f t="shared" si="2"/>
        <v>42519</v>
      </c>
      <c r="B97" s="326"/>
      <c r="C97" s="318"/>
      <c r="D97" s="329"/>
      <c r="E97" s="329"/>
      <c r="F97" s="317">
        <v>7.64</v>
      </c>
      <c r="H97" s="322"/>
    </row>
    <row r="98" spans="1:8" s="319" customFormat="1" x14ac:dyDescent="0.2">
      <c r="A98" s="338">
        <f t="shared" si="2"/>
        <v>42520</v>
      </c>
      <c r="B98" s="326"/>
      <c r="C98" s="318"/>
      <c r="D98" s="329"/>
      <c r="E98" s="329"/>
      <c r="F98" s="317">
        <v>0.81</v>
      </c>
      <c r="H98" s="322"/>
    </row>
    <row r="99" spans="1:8" s="319" customFormat="1" x14ac:dyDescent="0.2">
      <c r="A99" s="338">
        <f t="shared" si="2"/>
        <v>42521</v>
      </c>
      <c r="B99" s="326"/>
      <c r="C99" s="318"/>
      <c r="D99" s="329"/>
      <c r="E99" s="329"/>
      <c r="F99" s="317">
        <v>15.36</v>
      </c>
      <c r="H99" s="322"/>
    </row>
    <row r="100" spans="1:8" s="319" customFormat="1" x14ac:dyDescent="0.2">
      <c r="A100" s="338">
        <f t="shared" si="2"/>
        <v>42522</v>
      </c>
      <c r="B100" s="326"/>
      <c r="C100" s="318"/>
      <c r="D100" s="329"/>
      <c r="E100" s="329"/>
      <c r="F100" s="317">
        <v>13.43</v>
      </c>
      <c r="H100" s="322"/>
    </row>
    <row r="101" spans="1:8" s="319" customFormat="1" x14ac:dyDescent="0.2">
      <c r="A101" s="338">
        <f t="shared" si="2"/>
        <v>42523</v>
      </c>
      <c r="B101" s="326"/>
      <c r="C101" s="318"/>
      <c r="D101" s="329"/>
      <c r="E101" s="329"/>
      <c r="F101" s="317">
        <v>8.4600000000000009</v>
      </c>
      <c r="H101" s="322"/>
    </row>
    <row r="102" spans="1:8" s="319" customFormat="1" x14ac:dyDescent="0.2">
      <c r="A102" s="338">
        <f t="shared" ref="A102:A165" si="3">A101+1</f>
        <v>42524</v>
      </c>
      <c r="B102" s="326"/>
      <c r="C102" s="318"/>
      <c r="D102" s="329"/>
      <c r="E102" s="329"/>
      <c r="F102" s="317">
        <v>6.44</v>
      </c>
      <c r="H102" s="322"/>
    </row>
    <row r="103" spans="1:8" s="319" customFormat="1" x14ac:dyDescent="0.2">
      <c r="A103" s="338">
        <f t="shared" si="3"/>
        <v>42525</v>
      </c>
      <c r="B103" s="326"/>
      <c r="C103" s="318"/>
      <c r="D103" s="329"/>
      <c r="E103" s="329"/>
      <c r="F103" s="317">
        <v>25.8</v>
      </c>
      <c r="H103" s="322"/>
    </row>
    <row r="104" spans="1:8" s="319" customFormat="1" x14ac:dyDescent="0.2">
      <c r="A104" s="338">
        <f t="shared" si="3"/>
        <v>42526</v>
      </c>
      <c r="B104" s="326"/>
      <c r="C104" s="318"/>
      <c r="D104" s="329"/>
      <c r="E104" s="329"/>
      <c r="F104" s="317">
        <v>7.22</v>
      </c>
      <c r="H104" s="322"/>
    </row>
    <row r="105" spans="1:8" s="319" customFormat="1" x14ac:dyDescent="0.2">
      <c r="A105" s="338">
        <f t="shared" si="3"/>
        <v>42527</v>
      </c>
      <c r="B105" s="326"/>
      <c r="C105" s="318"/>
      <c r="D105" s="329"/>
      <c r="E105" s="329"/>
      <c r="F105" s="317">
        <v>12.72</v>
      </c>
      <c r="H105" s="322"/>
    </row>
    <row r="106" spans="1:8" s="319" customFormat="1" x14ac:dyDescent="0.2">
      <c r="A106" s="338">
        <f t="shared" si="3"/>
        <v>42528</v>
      </c>
      <c r="B106" s="326"/>
      <c r="C106" s="318"/>
      <c r="D106" s="329"/>
      <c r="E106" s="329"/>
      <c r="F106" s="317">
        <v>0.23</v>
      </c>
      <c r="H106" s="322"/>
    </row>
    <row r="107" spans="1:8" s="319" customFormat="1" x14ac:dyDescent="0.2">
      <c r="A107" s="338">
        <f t="shared" si="3"/>
        <v>42529</v>
      </c>
      <c r="B107" s="326"/>
      <c r="C107" s="318"/>
      <c r="D107" s="329"/>
      <c r="E107" s="329"/>
      <c r="F107" s="317">
        <v>7.0000000000000007E-2</v>
      </c>
      <c r="H107" s="322"/>
    </row>
    <row r="108" spans="1:8" s="319" customFormat="1" x14ac:dyDescent="0.2">
      <c r="A108" s="338">
        <f t="shared" si="3"/>
        <v>42530</v>
      </c>
      <c r="B108" s="326"/>
      <c r="C108" s="318"/>
      <c r="D108" s="329"/>
      <c r="E108" s="329"/>
      <c r="F108" s="317">
        <v>0.09</v>
      </c>
      <c r="H108" s="322"/>
    </row>
    <row r="109" spans="1:8" s="319" customFormat="1" x14ac:dyDescent="0.2">
      <c r="A109" s="338">
        <f t="shared" si="3"/>
        <v>42531</v>
      </c>
      <c r="B109" s="326"/>
      <c r="C109" s="318"/>
      <c r="D109" s="329"/>
      <c r="E109" s="329"/>
      <c r="F109" s="317">
        <v>0.02</v>
      </c>
      <c r="H109" s="322"/>
    </row>
    <row r="110" spans="1:8" s="319" customFormat="1" x14ac:dyDescent="0.2">
      <c r="A110" s="338">
        <f t="shared" si="3"/>
        <v>42532</v>
      </c>
      <c r="B110" s="326"/>
      <c r="C110" s="318"/>
      <c r="D110" s="329"/>
      <c r="E110" s="329"/>
      <c r="F110" s="317">
        <v>0.22</v>
      </c>
      <c r="H110" s="322"/>
    </row>
    <row r="111" spans="1:8" s="319" customFormat="1" x14ac:dyDescent="0.2">
      <c r="A111" s="338">
        <f t="shared" si="3"/>
        <v>42533</v>
      </c>
      <c r="B111" s="326"/>
      <c r="C111" s="318"/>
      <c r="D111" s="329"/>
      <c r="E111" s="329"/>
      <c r="F111" s="317">
        <v>0.12</v>
      </c>
      <c r="H111" s="322"/>
    </row>
    <row r="112" spans="1:8" s="319" customFormat="1" x14ac:dyDescent="0.2">
      <c r="A112" s="338">
        <f t="shared" si="3"/>
        <v>42534</v>
      </c>
      <c r="B112" s="326"/>
      <c r="C112" s="318"/>
      <c r="D112" s="329"/>
      <c r="E112" s="329"/>
      <c r="F112" s="317">
        <v>0.28000000000000003</v>
      </c>
      <c r="H112" s="322"/>
    </row>
    <row r="113" spans="1:8" s="319" customFormat="1" x14ac:dyDescent="0.2">
      <c r="A113" s="338">
        <f t="shared" si="3"/>
        <v>42535</v>
      </c>
      <c r="B113" s="326"/>
      <c r="C113" s="318"/>
      <c r="D113" s="329"/>
      <c r="E113" s="329"/>
      <c r="F113" s="317">
        <v>1.3</v>
      </c>
      <c r="H113" s="322"/>
    </row>
    <row r="114" spans="1:8" s="319" customFormat="1" x14ac:dyDescent="0.2">
      <c r="A114" s="338">
        <f t="shared" si="3"/>
        <v>42536</v>
      </c>
      <c r="B114" s="326"/>
      <c r="C114" s="318"/>
      <c r="D114" s="329"/>
      <c r="E114" s="329"/>
      <c r="F114" s="317">
        <v>5.31</v>
      </c>
      <c r="H114" s="322"/>
    </row>
    <row r="115" spans="1:8" s="319" customFormat="1" x14ac:dyDescent="0.2">
      <c r="A115" s="338">
        <f t="shared" si="3"/>
        <v>42537</v>
      </c>
      <c r="B115" s="326"/>
      <c r="C115" s="318"/>
      <c r="D115" s="329"/>
      <c r="E115" s="329"/>
      <c r="F115" s="317">
        <v>3.14</v>
      </c>
      <c r="H115" s="322"/>
    </row>
    <row r="116" spans="1:8" s="319" customFormat="1" x14ac:dyDescent="0.2">
      <c r="A116" s="338">
        <f t="shared" si="3"/>
        <v>42538</v>
      </c>
      <c r="B116" s="326"/>
      <c r="C116" s="318"/>
      <c r="D116" s="329"/>
      <c r="E116" s="329"/>
      <c r="F116" s="317">
        <v>0.33</v>
      </c>
      <c r="H116" s="322"/>
    </row>
    <row r="117" spans="1:8" s="319" customFormat="1" x14ac:dyDescent="0.2">
      <c r="A117" s="338">
        <f t="shared" si="3"/>
        <v>42539</v>
      </c>
      <c r="B117" s="326"/>
      <c r="C117" s="318"/>
      <c r="D117" s="329"/>
      <c r="E117" s="329"/>
      <c r="F117" s="317">
        <v>8.58</v>
      </c>
      <c r="H117" s="322"/>
    </row>
    <row r="118" spans="1:8" s="319" customFormat="1" x14ac:dyDescent="0.2">
      <c r="A118" s="338">
        <f t="shared" si="3"/>
        <v>42540</v>
      </c>
      <c r="B118" s="326"/>
      <c r="C118" s="318"/>
      <c r="D118" s="329"/>
      <c r="E118" s="329"/>
      <c r="F118" s="317">
        <v>2.36</v>
      </c>
      <c r="H118" s="322"/>
    </row>
    <row r="119" spans="1:8" s="319" customFormat="1" x14ac:dyDescent="0.2">
      <c r="A119" s="338">
        <f t="shared" si="3"/>
        <v>42541</v>
      </c>
      <c r="B119" s="326"/>
      <c r="C119" s="318"/>
      <c r="D119" s="329"/>
      <c r="E119" s="329"/>
      <c r="F119" s="317">
        <v>15.19</v>
      </c>
      <c r="H119" s="322"/>
    </row>
    <row r="120" spans="1:8" s="319" customFormat="1" x14ac:dyDescent="0.2">
      <c r="A120" s="338">
        <f t="shared" si="3"/>
        <v>42542</v>
      </c>
      <c r="B120" s="326"/>
      <c r="C120" s="318"/>
      <c r="D120" s="329"/>
      <c r="E120" s="329"/>
      <c r="F120" s="317">
        <v>7.4</v>
      </c>
      <c r="H120" s="322"/>
    </row>
    <row r="121" spans="1:8" s="319" customFormat="1" x14ac:dyDescent="0.2">
      <c r="A121" s="338">
        <f t="shared" si="3"/>
        <v>42543</v>
      </c>
      <c r="B121" s="326"/>
      <c r="C121" s="318"/>
      <c r="D121" s="329"/>
      <c r="E121" s="329"/>
      <c r="F121" s="317">
        <v>1.95</v>
      </c>
      <c r="H121" s="322"/>
    </row>
    <row r="122" spans="1:8" s="319" customFormat="1" x14ac:dyDescent="0.2">
      <c r="A122" s="338">
        <f t="shared" si="3"/>
        <v>42544</v>
      </c>
      <c r="B122" s="326"/>
      <c r="C122" s="318"/>
      <c r="D122" s="329"/>
      <c r="E122" s="329"/>
      <c r="F122" s="317">
        <v>0.15</v>
      </c>
      <c r="H122" s="322"/>
    </row>
    <row r="123" spans="1:8" s="319" customFormat="1" x14ac:dyDescent="0.2">
      <c r="A123" s="338">
        <f t="shared" si="3"/>
        <v>42545</v>
      </c>
      <c r="B123" s="326"/>
      <c r="C123" s="318"/>
      <c r="D123" s="329"/>
      <c r="E123" s="329"/>
      <c r="F123" s="317">
        <v>0.08</v>
      </c>
      <c r="H123" s="322"/>
    </row>
    <row r="124" spans="1:8" s="319" customFormat="1" x14ac:dyDescent="0.2">
      <c r="A124" s="338">
        <f t="shared" si="3"/>
        <v>42546</v>
      </c>
      <c r="B124" s="326"/>
      <c r="C124" s="318"/>
      <c r="D124" s="329"/>
      <c r="E124" s="329"/>
      <c r="F124" s="317">
        <v>3.77</v>
      </c>
      <c r="H124" s="322"/>
    </row>
    <row r="125" spans="1:8" s="319" customFormat="1" x14ac:dyDescent="0.2">
      <c r="A125" s="338">
        <f t="shared" si="3"/>
        <v>42547</v>
      </c>
      <c r="B125" s="326"/>
      <c r="C125" s="318"/>
      <c r="D125" s="329"/>
      <c r="E125" s="329"/>
      <c r="F125" s="317">
        <v>4.37</v>
      </c>
      <c r="H125" s="322"/>
    </row>
    <row r="126" spans="1:8" s="319" customFormat="1" x14ac:dyDescent="0.2">
      <c r="A126" s="338">
        <f t="shared" si="3"/>
        <v>42548</v>
      </c>
      <c r="B126" s="326"/>
      <c r="C126" s="318"/>
      <c r="D126" s="329"/>
      <c r="E126" s="329"/>
      <c r="F126" s="317"/>
      <c r="H126" s="322"/>
    </row>
    <row r="127" spans="1:8" s="319" customFormat="1" x14ac:dyDescent="0.2">
      <c r="A127" s="338">
        <f t="shared" si="3"/>
        <v>42549</v>
      </c>
      <c r="B127" s="326"/>
      <c r="C127" s="318"/>
      <c r="D127" s="329"/>
      <c r="E127" s="329"/>
      <c r="F127" s="317"/>
      <c r="H127" s="322"/>
    </row>
    <row r="128" spans="1:8" s="319" customFormat="1" x14ac:dyDescent="0.2">
      <c r="A128" s="338">
        <f t="shared" si="3"/>
        <v>42550</v>
      </c>
      <c r="B128" s="326"/>
      <c r="C128" s="318"/>
      <c r="D128" s="329"/>
      <c r="E128" s="329"/>
      <c r="F128" s="317"/>
      <c r="H128" s="322"/>
    </row>
    <row r="129" spans="1:8" s="319" customFormat="1" x14ac:dyDescent="0.2">
      <c r="A129" s="338">
        <f t="shared" si="3"/>
        <v>42551</v>
      </c>
      <c r="B129" s="326"/>
      <c r="C129" s="318"/>
      <c r="D129" s="329"/>
      <c r="E129" s="329"/>
      <c r="F129" s="317"/>
      <c r="H129" s="322"/>
    </row>
    <row r="130" spans="1:8" s="319" customFormat="1" x14ac:dyDescent="0.2">
      <c r="A130" s="338">
        <f t="shared" si="3"/>
        <v>42552</v>
      </c>
      <c r="B130" s="326"/>
      <c r="C130" s="318"/>
      <c r="D130" s="329"/>
      <c r="E130" s="329"/>
      <c r="F130" s="317"/>
      <c r="H130" s="322"/>
    </row>
    <row r="131" spans="1:8" s="319" customFormat="1" x14ac:dyDescent="0.2">
      <c r="A131" s="338">
        <f t="shared" si="3"/>
        <v>42553</v>
      </c>
      <c r="B131" s="326"/>
      <c r="C131" s="318"/>
      <c r="D131" s="329"/>
      <c r="E131" s="329"/>
      <c r="F131" s="317"/>
      <c r="H131" s="322"/>
    </row>
    <row r="132" spans="1:8" s="319" customFormat="1" x14ac:dyDescent="0.2">
      <c r="A132" s="338">
        <f t="shared" si="3"/>
        <v>42554</v>
      </c>
      <c r="B132" s="326"/>
      <c r="C132" s="318"/>
      <c r="D132" s="329"/>
      <c r="E132" s="329"/>
      <c r="F132" s="317"/>
      <c r="H132" s="322"/>
    </row>
    <row r="133" spans="1:8" s="319" customFormat="1" x14ac:dyDescent="0.2">
      <c r="A133" s="338">
        <f t="shared" si="3"/>
        <v>42555</v>
      </c>
      <c r="B133" s="326"/>
      <c r="C133" s="318"/>
      <c r="D133" s="329"/>
      <c r="E133" s="329"/>
      <c r="F133" s="317"/>
      <c r="H133" s="322"/>
    </row>
    <row r="134" spans="1:8" s="319" customFormat="1" x14ac:dyDescent="0.2">
      <c r="A134" s="338">
        <f t="shared" si="3"/>
        <v>42556</v>
      </c>
      <c r="B134" s="326"/>
      <c r="C134" s="318"/>
      <c r="D134" s="329"/>
      <c r="E134" s="329"/>
      <c r="F134" s="317"/>
      <c r="H134" s="322"/>
    </row>
    <row r="135" spans="1:8" s="319" customFormat="1" x14ac:dyDescent="0.2">
      <c r="A135" s="338">
        <f t="shared" si="3"/>
        <v>42557</v>
      </c>
      <c r="B135" s="326"/>
      <c r="C135" s="318"/>
      <c r="D135" s="329"/>
      <c r="E135" s="329"/>
      <c r="F135" s="317"/>
      <c r="H135" s="322"/>
    </row>
    <row r="136" spans="1:8" s="319" customFormat="1" x14ac:dyDescent="0.2">
      <c r="A136" s="338">
        <f t="shared" si="3"/>
        <v>42558</v>
      </c>
      <c r="B136" s="326"/>
      <c r="C136" s="318"/>
      <c r="D136" s="329"/>
      <c r="E136" s="329"/>
      <c r="F136" s="317"/>
      <c r="H136" s="322"/>
    </row>
    <row r="137" spans="1:8" s="319" customFormat="1" x14ac:dyDescent="0.2">
      <c r="A137" s="338">
        <f t="shared" si="3"/>
        <v>42559</v>
      </c>
      <c r="B137" s="326"/>
      <c r="C137" s="318"/>
      <c r="D137" s="329"/>
      <c r="E137" s="329"/>
      <c r="F137" s="317"/>
      <c r="H137" s="322"/>
    </row>
    <row r="138" spans="1:8" s="319" customFormat="1" x14ac:dyDescent="0.2">
      <c r="A138" s="338">
        <f t="shared" si="3"/>
        <v>42560</v>
      </c>
      <c r="B138" s="326"/>
      <c r="C138" s="318"/>
      <c r="D138" s="329"/>
      <c r="E138" s="329"/>
      <c r="F138" s="317"/>
      <c r="H138" s="322"/>
    </row>
    <row r="139" spans="1:8" s="319" customFormat="1" x14ac:dyDescent="0.2">
      <c r="A139" s="338">
        <f t="shared" si="3"/>
        <v>42561</v>
      </c>
      <c r="B139" s="326"/>
      <c r="C139" s="318"/>
      <c r="D139" s="329"/>
      <c r="E139" s="329"/>
      <c r="F139" s="317"/>
      <c r="H139" s="322"/>
    </row>
    <row r="140" spans="1:8" s="319" customFormat="1" x14ac:dyDescent="0.2">
      <c r="A140" s="338">
        <f t="shared" si="3"/>
        <v>42562</v>
      </c>
      <c r="B140" s="326"/>
      <c r="C140" s="318"/>
      <c r="D140" s="329"/>
      <c r="E140" s="329"/>
      <c r="F140" s="317"/>
      <c r="H140" s="322"/>
    </row>
    <row r="141" spans="1:8" s="319" customFormat="1" x14ac:dyDescent="0.2">
      <c r="A141" s="338">
        <f t="shared" si="3"/>
        <v>42563</v>
      </c>
      <c r="B141" s="326"/>
      <c r="C141" s="318"/>
      <c r="D141" s="329"/>
      <c r="E141" s="329"/>
      <c r="F141" s="317"/>
      <c r="H141" s="322"/>
    </row>
    <row r="142" spans="1:8" s="319" customFormat="1" x14ac:dyDescent="0.2">
      <c r="A142" s="338">
        <f t="shared" si="3"/>
        <v>42564</v>
      </c>
      <c r="B142" s="326"/>
      <c r="C142" s="318"/>
      <c r="D142" s="329"/>
      <c r="E142" s="329"/>
      <c r="F142" s="317"/>
      <c r="H142" s="322"/>
    </row>
    <row r="143" spans="1:8" s="319" customFormat="1" x14ac:dyDescent="0.2">
      <c r="A143" s="338">
        <f t="shared" si="3"/>
        <v>42565</v>
      </c>
      <c r="B143" s="326"/>
      <c r="C143" s="318"/>
      <c r="D143" s="329"/>
      <c r="E143" s="329"/>
      <c r="F143" s="317"/>
      <c r="H143" s="322"/>
    </row>
    <row r="144" spans="1:8" s="319" customFormat="1" x14ac:dyDescent="0.2">
      <c r="A144" s="338">
        <f t="shared" si="3"/>
        <v>42566</v>
      </c>
      <c r="B144" s="326"/>
      <c r="C144" s="318"/>
      <c r="D144" s="329"/>
      <c r="E144" s="329"/>
      <c r="F144" s="317"/>
      <c r="H144" s="322"/>
    </row>
    <row r="145" spans="1:8" s="319" customFormat="1" x14ac:dyDescent="0.2">
      <c r="A145" s="338">
        <f t="shared" si="3"/>
        <v>42567</v>
      </c>
      <c r="B145" s="326"/>
      <c r="C145" s="318"/>
      <c r="D145" s="329"/>
      <c r="E145" s="329"/>
      <c r="F145" s="317"/>
      <c r="H145" s="322"/>
    </row>
    <row r="146" spans="1:8" s="319" customFormat="1" x14ac:dyDescent="0.2">
      <c r="A146" s="338">
        <f t="shared" si="3"/>
        <v>42568</v>
      </c>
      <c r="B146" s="326"/>
      <c r="C146" s="318"/>
      <c r="D146" s="329"/>
      <c r="E146" s="329"/>
      <c r="F146" s="317"/>
      <c r="H146" s="322"/>
    </row>
    <row r="147" spans="1:8" s="319" customFormat="1" x14ac:dyDescent="0.2">
      <c r="A147" s="338">
        <f t="shared" si="3"/>
        <v>42569</v>
      </c>
      <c r="B147" s="326"/>
      <c r="C147" s="318"/>
      <c r="D147" s="329"/>
      <c r="E147" s="329"/>
      <c r="F147" s="317"/>
      <c r="H147" s="322"/>
    </row>
    <row r="148" spans="1:8" s="319" customFormat="1" x14ac:dyDescent="0.2">
      <c r="A148" s="338">
        <f t="shared" si="3"/>
        <v>42570</v>
      </c>
      <c r="B148" s="326"/>
      <c r="C148" s="318"/>
      <c r="D148" s="329"/>
      <c r="E148" s="329"/>
      <c r="F148" s="317"/>
      <c r="H148" s="322"/>
    </row>
    <row r="149" spans="1:8" s="319" customFormat="1" x14ac:dyDescent="0.2">
      <c r="A149" s="338">
        <f t="shared" si="3"/>
        <v>42571</v>
      </c>
      <c r="B149" s="326"/>
      <c r="C149" s="318"/>
      <c r="D149" s="329"/>
      <c r="E149" s="329"/>
      <c r="F149" s="317"/>
      <c r="H149" s="322"/>
    </row>
    <row r="150" spans="1:8" s="319" customFormat="1" x14ac:dyDescent="0.2">
      <c r="A150" s="338">
        <f t="shared" si="3"/>
        <v>42572</v>
      </c>
      <c r="B150" s="326"/>
      <c r="C150" s="318"/>
      <c r="D150" s="329"/>
      <c r="E150" s="329"/>
      <c r="F150" s="317"/>
      <c r="H150" s="322"/>
    </row>
    <row r="151" spans="1:8" s="319" customFormat="1" x14ac:dyDescent="0.2">
      <c r="A151" s="338">
        <f t="shared" si="3"/>
        <v>42573</v>
      </c>
      <c r="B151" s="326"/>
      <c r="C151" s="318"/>
      <c r="D151" s="329"/>
      <c r="E151" s="329"/>
      <c r="F151" s="317"/>
      <c r="H151" s="322"/>
    </row>
    <row r="152" spans="1:8" s="319" customFormat="1" x14ac:dyDescent="0.2">
      <c r="A152" s="338">
        <f t="shared" si="3"/>
        <v>42574</v>
      </c>
      <c r="B152" s="326"/>
      <c r="C152" s="318"/>
      <c r="D152" s="329"/>
      <c r="E152" s="329"/>
      <c r="F152" s="317"/>
      <c r="H152" s="322"/>
    </row>
    <row r="153" spans="1:8" s="319" customFormat="1" x14ac:dyDescent="0.2">
      <c r="A153" s="338">
        <f t="shared" si="3"/>
        <v>42575</v>
      </c>
      <c r="B153" s="326"/>
      <c r="C153" s="318"/>
      <c r="D153" s="329"/>
      <c r="E153" s="329"/>
      <c r="F153" s="317"/>
      <c r="H153" s="322"/>
    </row>
    <row r="154" spans="1:8" s="319" customFormat="1" x14ac:dyDescent="0.2">
      <c r="A154" s="338">
        <f t="shared" si="3"/>
        <v>42576</v>
      </c>
      <c r="B154" s="326"/>
      <c r="C154" s="318"/>
      <c r="D154" s="329"/>
      <c r="E154" s="329"/>
      <c r="F154" s="317"/>
      <c r="H154" s="322"/>
    </row>
    <row r="155" spans="1:8" s="319" customFormat="1" x14ac:dyDescent="0.2">
      <c r="A155" s="338">
        <f t="shared" si="3"/>
        <v>42577</v>
      </c>
      <c r="B155" s="326"/>
      <c r="C155" s="318"/>
      <c r="D155" s="329"/>
      <c r="E155" s="329"/>
      <c r="F155" s="317"/>
      <c r="H155" s="322"/>
    </row>
    <row r="156" spans="1:8" s="319" customFormat="1" x14ac:dyDescent="0.2">
      <c r="A156" s="338">
        <f t="shared" si="3"/>
        <v>42578</v>
      </c>
      <c r="B156" s="326"/>
      <c r="C156" s="318"/>
      <c r="D156" s="329"/>
      <c r="E156" s="329"/>
      <c r="F156" s="317"/>
      <c r="H156" s="322"/>
    </row>
    <row r="157" spans="1:8" s="319" customFormat="1" x14ac:dyDescent="0.2">
      <c r="A157" s="338">
        <f t="shared" si="3"/>
        <v>42579</v>
      </c>
      <c r="B157" s="326"/>
      <c r="C157" s="318"/>
      <c r="D157" s="329"/>
      <c r="E157" s="329"/>
      <c r="F157" s="317"/>
      <c r="H157" s="322"/>
    </row>
    <row r="158" spans="1:8" s="319" customFormat="1" x14ac:dyDescent="0.2">
      <c r="A158" s="338">
        <f t="shared" si="3"/>
        <v>42580</v>
      </c>
      <c r="B158" s="326"/>
      <c r="C158" s="318"/>
      <c r="D158" s="329"/>
      <c r="E158" s="329"/>
      <c r="F158" s="317"/>
      <c r="H158" s="322"/>
    </row>
    <row r="159" spans="1:8" s="319" customFormat="1" x14ac:dyDescent="0.2">
      <c r="A159" s="338">
        <f t="shared" si="3"/>
        <v>42581</v>
      </c>
      <c r="B159" s="326"/>
      <c r="C159" s="318"/>
      <c r="D159" s="329"/>
      <c r="E159" s="329"/>
      <c r="F159" s="317"/>
      <c r="H159" s="322"/>
    </row>
    <row r="160" spans="1:8" s="319" customFormat="1" x14ac:dyDescent="0.2">
      <c r="A160" s="338">
        <f t="shared" si="3"/>
        <v>42582</v>
      </c>
      <c r="B160" s="326"/>
      <c r="C160" s="318"/>
      <c r="D160" s="329"/>
      <c r="E160" s="329"/>
      <c r="F160" s="317"/>
      <c r="H160" s="322"/>
    </row>
    <row r="161" spans="1:8" s="319" customFormat="1" x14ac:dyDescent="0.2">
      <c r="A161" s="338">
        <f t="shared" si="3"/>
        <v>42583</v>
      </c>
      <c r="B161" s="326"/>
      <c r="C161" s="318"/>
      <c r="D161" s="329"/>
      <c r="E161" s="329"/>
      <c r="F161" s="317"/>
      <c r="H161" s="322"/>
    </row>
    <row r="162" spans="1:8" s="319" customFormat="1" x14ac:dyDescent="0.2">
      <c r="A162" s="338">
        <f t="shared" si="3"/>
        <v>42584</v>
      </c>
      <c r="B162" s="326"/>
      <c r="C162" s="318"/>
      <c r="D162" s="329"/>
      <c r="E162" s="329"/>
      <c r="F162" s="317"/>
      <c r="H162" s="322"/>
    </row>
    <row r="163" spans="1:8" s="319" customFormat="1" x14ac:dyDescent="0.2">
      <c r="A163" s="338">
        <f t="shared" si="3"/>
        <v>42585</v>
      </c>
      <c r="B163" s="326"/>
      <c r="C163" s="318"/>
      <c r="D163" s="329"/>
      <c r="E163" s="329"/>
      <c r="F163" s="317"/>
      <c r="H163" s="322"/>
    </row>
    <row r="164" spans="1:8" s="319" customFormat="1" x14ac:dyDescent="0.2">
      <c r="A164" s="338">
        <f t="shared" si="3"/>
        <v>42586</v>
      </c>
      <c r="B164" s="326"/>
      <c r="C164" s="318"/>
      <c r="D164" s="329"/>
      <c r="E164" s="329"/>
      <c r="F164" s="317"/>
      <c r="H164" s="322"/>
    </row>
    <row r="165" spans="1:8" s="319" customFormat="1" x14ac:dyDescent="0.2">
      <c r="A165" s="338">
        <f t="shared" si="3"/>
        <v>42587</v>
      </c>
      <c r="B165" s="326"/>
      <c r="C165" s="318"/>
      <c r="D165" s="329"/>
      <c r="E165" s="329"/>
      <c r="F165" s="317"/>
      <c r="H165" s="322"/>
    </row>
    <row r="166" spans="1:8" s="319" customFormat="1" x14ac:dyDescent="0.2">
      <c r="A166" s="338">
        <f t="shared" ref="A166:A229" si="4">A165+1</f>
        <v>42588</v>
      </c>
      <c r="B166" s="326"/>
      <c r="C166" s="318"/>
      <c r="D166" s="329"/>
      <c r="E166" s="329"/>
      <c r="F166" s="317"/>
      <c r="H166" s="322"/>
    </row>
    <row r="167" spans="1:8" s="319" customFormat="1" x14ac:dyDescent="0.2">
      <c r="A167" s="338">
        <f t="shared" si="4"/>
        <v>42589</v>
      </c>
      <c r="B167" s="326"/>
      <c r="C167" s="318"/>
      <c r="D167" s="329"/>
      <c r="E167" s="329"/>
      <c r="F167" s="317"/>
      <c r="H167" s="322"/>
    </row>
    <row r="168" spans="1:8" s="319" customFormat="1" x14ac:dyDescent="0.2">
      <c r="A168" s="338">
        <f t="shared" si="4"/>
        <v>42590</v>
      </c>
      <c r="B168" s="326"/>
      <c r="C168" s="318"/>
      <c r="D168" s="329"/>
      <c r="E168" s="329"/>
      <c r="F168" s="317"/>
      <c r="H168" s="322"/>
    </row>
    <row r="169" spans="1:8" s="319" customFormat="1" x14ac:dyDescent="0.2">
      <c r="A169" s="338">
        <f t="shared" si="4"/>
        <v>42591</v>
      </c>
      <c r="B169" s="326"/>
      <c r="C169" s="318"/>
      <c r="D169" s="329"/>
      <c r="E169" s="329"/>
      <c r="F169" s="317"/>
      <c r="H169" s="322"/>
    </row>
    <row r="170" spans="1:8" s="319" customFormat="1" x14ac:dyDescent="0.2">
      <c r="A170" s="338">
        <f t="shared" si="4"/>
        <v>42592</v>
      </c>
      <c r="B170" s="326"/>
      <c r="C170" s="318"/>
      <c r="D170" s="329"/>
      <c r="E170" s="329"/>
      <c r="F170" s="317"/>
      <c r="H170" s="322"/>
    </row>
    <row r="171" spans="1:8" s="319" customFormat="1" x14ac:dyDescent="0.2">
      <c r="A171" s="338">
        <f t="shared" si="4"/>
        <v>42593</v>
      </c>
      <c r="B171" s="326"/>
      <c r="C171" s="318"/>
      <c r="D171" s="329"/>
      <c r="E171" s="329"/>
      <c r="F171" s="317"/>
      <c r="H171" s="322"/>
    </row>
    <row r="172" spans="1:8" s="319" customFormat="1" x14ac:dyDescent="0.2">
      <c r="A172" s="338">
        <f t="shared" si="4"/>
        <v>42594</v>
      </c>
      <c r="B172" s="326"/>
      <c r="C172" s="318"/>
      <c r="D172" s="329"/>
      <c r="E172" s="329"/>
      <c r="F172" s="317"/>
      <c r="H172" s="322"/>
    </row>
    <row r="173" spans="1:8" s="319" customFormat="1" x14ac:dyDescent="0.2">
      <c r="A173" s="338">
        <f t="shared" si="4"/>
        <v>42595</v>
      </c>
      <c r="B173" s="326"/>
      <c r="C173" s="318"/>
      <c r="D173" s="329"/>
      <c r="E173" s="329"/>
      <c r="F173" s="317"/>
      <c r="H173" s="322"/>
    </row>
    <row r="174" spans="1:8" s="319" customFormat="1" x14ac:dyDescent="0.2">
      <c r="A174" s="338">
        <f t="shared" si="4"/>
        <v>42596</v>
      </c>
      <c r="B174" s="326"/>
      <c r="C174" s="318"/>
      <c r="D174" s="329"/>
      <c r="E174" s="329"/>
      <c r="F174" s="317"/>
      <c r="H174" s="322"/>
    </row>
    <row r="175" spans="1:8" s="319" customFormat="1" x14ac:dyDescent="0.2">
      <c r="A175" s="338">
        <f t="shared" si="4"/>
        <v>42597</v>
      </c>
      <c r="B175" s="326"/>
      <c r="C175" s="318"/>
      <c r="D175" s="329"/>
      <c r="E175" s="329"/>
      <c r="F175" s="317"/>
      <c r="H175" s="322"/>
    </row>
    <row r="176" spans="1:8" s="319" customFormat="1" x14ac:dyDescent="0.2">
      <c r="A176" s="338">
        <f t="shared" si="4"/>
        <v>42598</v>
      </c>
      <c r="B176" s="326"/>
      <c r="C176" s="318"/>
      <c r="D176" s="329"/>
      <c r="E176" s="329"/>
      <c r="F176" s="317"/>
      <c r="H176" s="322"/>
    </row>
    <row r="177" spans="1:8" s="319" customFormat="1" x14ac:dyDescent="0.2">
      <c r="A177" s="338">
        <f t="shared" si="4"/>
        <v>42599</v>
      </c>
      <c r="B177" s="326"/>
      <c r="C177" s="318"/>
      <c r="D177" s="329"/>
      <c r="E177" s="329"/>
      <c r="F177" s="317"/>
      <c r="H177" s="322"/>
    </row>
    <row r="178" spans="1:8" s="319" customFormat="1" x14ac:dyDescent="0.2">
      <c r="A178" s="338">
        <f t="shared" si="4"/>
        <v>42600</v>
      </c>
      <c r="B178" s="326"/>
      <c r="C178" s="318"/>
      <c r="D178" s="329"/>
      <c r="E178" s="329"/>
      <c r="F178" s="317"/>
      <c r="H178" s="322"/>
    </row>
    <row r="179" spans="1:8" s="319" customFormat="1" x14ac:dyDescent="0.2">
      <c r="A179" s="338">
        <f t="shared" si="4"/>
        <v>42601</v>
      </c>
      <c r="B179" s="326"/>
      <c r="C179" s="318"/>
      <c r="D179" s="329"/>
      <c r="E179" s="329"/>
      <c r="F179" s="317"/>
      <c r="H179" s="322"/>
    </row>
    <row r="180" spans="1:8" s="319" customFormat="1" x14ac:dyDescent="0.2">
      <c r="A180" s="338">
        <f t="shared" si="4"/>
        <v>42602</v>
      </c>
      <c r="B180" s="326"/>
      <c r="C180" s="318"/>
      <c r="D180" s="329"/>
      <c r="E180" s="329"/>
      <c r="F180" s="317"/>
      <c r="H180" s="322"/>
    </row>
    <row r="181" spans="1:8" s="319" customFormat="1" x14ac:dyDescent="0.2">
      <c r="A181" s="338">
        <f t="shared" si="4"/>
        <v>42603</v>
      </c>
      <c r="B181" s="326"/>
      <c r="C181" s="318"/>
      <c r="D181" s="329"/>
      <c r="E181" s="329"/>
      <c r="F181" s="317"/>
      <c r="H181" s="322"/>
    </row>
    <row r="182" spans="1:8" s="319" customFormat="1" x14ac:dyDescent="0.2">
      <c r="A182" s="338">
        <f t="shared" si="4"/>
        <v>42604</v>
      </c>
      <c r="B182" s="326"/>
      <c r="C182" s="318"/>
      <c r="D182" s="329"/>
      <c r="E182" s="329"/>
      <c r="F182" s="317"/>
      <c r="H182" s="322"/>
    </row>
    <row r="183" spans="1:8" s="319" customFormat="1" x14ac:dyDescent="0.2">
      <c r="A183" s="338">
        <f t="shared" si="4"/>
        <v>42605</v>
      </c>
      <c r="B183" s="326"/>
      <c r="C183" s="318"/>
      <c r="D183" s="329"/>
      <c r="E183" s="329"/>
      <c r="F183" s="317"/>
      <c r="H183" s="322"/>
    </row>
    <row r="184" spans="1:8" s="319" customFormat="1" x14ac:dyDescent="0.2">
      <c r="A184" s="338">
        <f t="shared" si="4"/>
        <v>42606</v>
      </c>
      <c r="B184" s="326"/>
      <c r="C184" s="318"/>
      <c r="D184" s="329"/>
      <c r="E184" s="329"/>
      <c r="F184" s="317"/>
      <c r="H184" s="322"/>
    </row>
    <row r="185" spans="1:8" s="319" customFormat="1" x14ac:dyDescent="0.2">
      <c r="A185" s="338">
        <f t="shared" si="4"/>
        <v>42607</v>
      </c>
      <c r="B185" s="326"/>
      <c r="C185" s="318"/>
      <c r="D185" s="329"/>
      <c r="E185" s="329"/>
      <c r="F185" s="317"/>
      <c r="H185" s="322"/>
    </row>
    <row r="186" spans="1:8" s="319" customFormat="1" x14ac:dyDescent="0.2">
      <c r="A186" s="338">
        <f t="shared" si="4"/>
        <v>42608</v>
      </c>
      <c r="B186" s="326"/>
      <c r="C186" s="318"/>
      <c r="D186" s="329"/>
      <c r="E186" s="329"/>
      <c r="F186" s="317"/>
      <c r="H186" s="322"/>
    </row>
    <row r="187" spans="1:8" s="319" customFormat="1" x14ac:dyDescent="0.2">
      <c r="A187" s="338">
        <f t="shared" si="4"/>
        <v>42609</v>
      </c>
      <c r="B187" s="326"/>
      <c r="C187" s="318"/>
      <c r="D187" s="329"/>
      <c r="E187" s="329"/>
      <c r="F187" s="317"/>
      <c r="H187" s="322"/>
    </row>
    <row r="188" spans="1:8" s="319" customFormat="1" x14ac:dyDescent="0.2">
      <c r="A188" s="338">
        <f t="shared" si="4"/>
        <v>42610</v>
      </c>
      <c r="B188" s="326"/>
      <c r="C188" s="318"/>
      <c r="D188" s="329"/>
      <c r="E188" s="329"/>
      <c r="F188" s="317"/>
      <c r="H188" s="322"/>
    </row>
    <row r="189" spans="1:8" s="319" customFormat="1" x14ac:dyDescent="0.2">
      <c r="A189" s="338">
        <f t="shared" si="4"/>
        <v>42611</v>
      </c>
      <c r="B189" s="326"/>
      <c r="C189" s="318"/>
      <c r="D189" s="329"/>
      <c r="E189" s="329"/>
      <c r="F189" s="317"/>
      <c r="H189" s="322"/>
    </row>
    <row r="190" spans="1:8" s="319" customFormat="1" x14ac:dyDescent="0.2">
      <c r="A190" s="338">
        <f t="shared" si="4"/>
        <v>42612</v>
      </c>
      <c r="B190" s="326"/>
      <c r="C190" s="318"/>
      <c r="D190" s="329"/>
      <c r="E190" s="329"/>
      <c r="F190" s="317"/>
      <c r="H190" s="322"/>
    </row>
    <row r="191" spans="1:8" s="319" customFormat="1" x14ac:dyDescent="0.2">
      <c r="A191" s="338">
        <f t="shared" si="4"/>
        <v>42613</v>
      </c>
      <c r="B191" s="326"/>
      <c r="C191" s="318"/>
      <c r="D191" s="329"/>
      <c r="E191" s="329"/>
      <c r="F191" s="317"/>
      <c r="H191" s="322"/>
    </row>
    <row r="192" spans="1:8" s="319" customFormat="1" x14ac:dyDescent="0.2">
      <c r="A192" s="338">
        <f t="shared" si="4"/>
        <v>42614</v>
      </c>
      <c r="B192" s="326"/>
      <c r="C192" s="318"/>
      <c r="D192" s="329"/>
      <c r="E192" s="329"/>
      <c r="F192" s="317"/>
      <c r="H192" s="322"/>
    </row>
    <row r="193" spans="1:8" s="319" customFormat="1" x14ac:dyDescent="0.2">
      <c r="A193" s="338">
        <f t="shared" si="4"/>
        <v>42615</v>
      </c>
      <c r="B193" s="326"/>
      <c r="C193" s="318"/>
      <c r="D193" s="329"/>
      <c r="E193" s="329"/>
      <c r="F193" s="317"/>
      <c r="H193" s="322"/>
    </row>
    <row r="194" spans="1:8" s="319" customFormat="1" x14ac:dyDescent="0.2">
      <c r="A194" s="338">
        <f t="shared" si="4"/>
        <v>42616</v>
      </c>
      <c r="B194" s="326"/>
      <c r="C194" s="318"/>
      <c r="D194" s="329"/>
      <c r="E194" s="329"/>
      <c r="F194" s="317"/>
      <c r="H194" s="322"/>
    </row>
    <row r="195" spans="1:8" s="319" customFormat="1" x14ac:dyDescent="0.2">
      <c r="A195" s="338">
        <f t="shared" si="4"/>
        <v>42617</v>
      </c>
      <c r="B195" s="326"/>
      <c r="C195" s="318"/>
      <c r="D195" s="329"/>
      <c r="E195" s="329"/>
      <c r="F195" s="317"/>
      <c r="H195" s="322"/>
    </row>
    <row r="196" spans="1:8" s="319" customFormat="1" x14ac:dyDescent="0.2">
      <c r="A196" s="338">
        <f t="shared" si="4"/>
        <v>42618</v>
      </c>
      <c r="B196" s="326"/>
      <c r="C196" s="318"/>
      <c r="D196" s="329"/>
      <c r="E196" s="329"/>
      <c r="F196" s="317"/>
      <c r="H196" s="322"/>
    </row>
    <row r="197" spans="1:8" s="319" customFormat="1" x14ac:dyDescent="0.2">
      <c r="A197" s="338">
        <f t="shared" si="4"/>
        <v>42619</v>
      </c>
      <c r="B197" s="326"/>
      <c r="C197" s="318"/>
      <c r="D197" s="329"/>
      <c r="E197" s="329"/>
      <c r="F197" s="317"/>
      <c r="H197" s="322"/>
    </row>
    <row r="198" spans="1:8" s="319" customFormat="1" x14ac:dyDescent="0.2">
      <c r="A198" s="338">
        <f t="shared" si="4"/>
        <v>42620</v>
      </c>
      <c r="B198" s="326"/>
      <c r="C198" s="318"/>
      <c r="D198" s="329"/>
      <c r="E198" s="329"/>
      <c r="F198" s="317"/>
      <c r="H198" s="322"/>
    </row>
    <row r="199" spans="1:8" s="319" customFormat="1" x14ac:dyDescent="0.2">
      <c r="A199" s="338">
        <f t="shared" si="4"/>
        <v>42621</v>
      </c>
      <c r="B199" s="326"/>
      <c r="C199" s="318"/>
      <c r="D199" s="329"/>
      <c r="E199" s="329"/>
      <c r="F199" s="317"/>
      <c r="H199" s="322"/>
    </row>
    <row r="200" spans="1:8" s="319" customFormat="1" x14ac:dyDescent="0.2">
      <c r="A200" s="338">
        <f t="shared" si="4"/>
        <v>42622</v>
      </c>
      <c r="B200" s="326"/>
      <c r="C200" s="318"/>
      <c r="D200" s="329"/>
      <c r="E200" s="329"/>
      <c r="F200" s="317"/>
      <c r="H200" s="322"/>
    </row>
    <row r="201" spans="1:8" s="319" customFormat="1" x14ac:dyDescent="0.2">
      <c r="A201" s="338">
        <f t="shared" si="4"/>
        <v>42623</v>
      </c>
      <c r="B201" s="326"/>
      <c r="C201" s="318"/>
      <c r="D201" s="329"/>
      <c r="E201" s="329"/>
      <c r="F201" s="317"/>
      <c r="H201" s="322"/>
    </row>
    <row r="202" spans="1:8" s="319" customFormat="1" x14ac:dyDescent="0.2">
      <c r="A202" s="338">
        <f t="shared" si="4"/>
        <v>42624</v>
      </c>
      <c r="B202" s="326"/>
      <c r="C202" s="318"/>
      <c r="D202" s="329"/>
      <c r="E202" s="329"/>
      <c r="F202" s="317"/>
      <c r="H202" s="322"/>
    </row>
    <row r="203" spans="1:8" s="319" customFormat="1" x14ac:dyDescent="0.2">
      <c r="A203" s="338">
        <f t="shared" si="4"/>
        <v>42625</v>
      </c>
      <c r="B203" s="326"/>
      <c r="C203" s="318"/>
      <c r="D203" s="329"/>
      <c r="E203" s="329"/>
      <c r="F203" s="317"/>
      <c r="H203" s="322"/>
    </row>
    <row r="204" spans="1:8" s="319" customFormat="1" x14ac:dyDescent="0.2">
      <c r="A204" s="338">
        <f t="shared" si="4"/>
        <v>42626</v>
      </c>
      <c r="B204" s="326"/>
      <c r="C204" s="318"/>
      <c r="D204" s="329"/>
      <c r="E204" s="329"/>
      <c r="F204" s="317"/>
      <c r="H204" s="322"/>
    </row>
    <row r="205" spans="1:8" s="319" customFormat="1" x14ac:dyDescent="0.2">
      <c r="A205" s="338">
        <f t="shared" si="4"/>
        <v>42627</v>
      </c>
      <c r="B205" s="326"/>
      <c r="C205" s="318"/>
      <c r="D205" s="329"/>
      <c r="E205" s="329"/>
      <c r="F205" s="317"/>
      <c r="H205" s="322"/>
    </row>
    <row r="206" spans="1:8" s="319" customFormat="1" x14ac:dyDescent="0.2">
      <c r="A206" s="338">
        <f t="shared" si="4"/>
        <v>42628</v>
      </c>
      <c r="B206" s="326"/>
      <c r="C206" s="318"/>
      <c r="D206" s="329"/>
      <c r="E206" s="329"/>
      <c r="F206" s="317"/>
      <c r="H206" s="322"/>
    </row>
    <row r="207" spans="1:8" s="319" customFormat="1" x14ac:dyDescent="0.2">
      <c r="A207" s="338">
        <f t="shared" si="4"/>
        <v>42629</v>
      </c>
      <c r="B207" s="326"/>
      <c r="C207" s="318"/>
      <c r="D207" s="329"/>
      <c r="E207" s="329"/>
      <c r="F207" s="317"/>
      <c r="H207" s="322"/>
    </row>
    <row r="208" spans="1:8" s="319" customFormat="1" x14ac:dyDescent="0.2">
      <c r="A208" s="338">
        <f t="shared" si="4"/>
        <v>42630</v>
      </c>
      <c r="B208" s="326"/>
      <c r="C208" s="318"/>
      <c r="D208" s="329"/>
      <c r="E208" s="329"/>
      <c r="F208" s="317"/>
      <c r="H208" s="322"/>
    </row>
    <row r="209" spans="1:8" s="319" customFormat="1" x14ac:dyDescent="0.2">
      <c r="A209" s="338">
        <f t="shared" si="4"/>
        <v>42631</v>
      </c>
      <c r="B209" s="326"/>
      <c r="C209" s="318"/>
      <c r="D209" s="329"/>
      <c r="E209" s="329"/>
      <c r="F209" s="317"/>
      <c r="H209" s="322"/>
    </row>
    <row r="210" spans="1:8" s="319" customFormat="1" x14ac:dyDescent="0.2">
      <c r="A210" s="338">
        <f t="shared" si="4"/>
        <v>42632</v>
      </c>
      <c r="B210" s="326"/>
      <c r="C210" s="318"/>
      <c r="D210" s="329"/>
      <c r="E210" s="329"/>
      <c r="F210" s="317"/>
      <c r="H210" s="322"/>
    </row>
    <row r="211" spans="1:8" s="319" customFormat="1" x14ac:dyDescent="0.2">
      <c r="A211" s="338">
        <f t="shared" si="4"/>
        <v>42633</v>
      </c>
      <c r="B211" s="326"/>
      <c r="C211" s="318"/>
      <c r="D211" s="329"/>
      <c r="E211" s="329"/>
      <c r="F211" s="317"/>
      <c r="H211" s="322"/>
    </row>
    <row r="212" spans="1:8" s="319" customFormat="1" x14ac:dyDescent="0.2">
      <c r="A212" s="338">
        <f t="shared" si="4"/>
        <v>42634</v>
      </c>
      <c r="B212" s="326"/>
      <c r="C212" s="318"/>
      <c r="D212" s="329"/>
      <c r="E212" s="329"/>
      <c r="F212" s="317"/>
      <c r="H212" s="322"/>
    </row>
    <row r="213" spans="1:8" s="319" customFormat="1" x14ac:dyDescent="0.2">
      <c r="A213" s="338">
        <f t="shared" si="4"/>
        <v>42635</v>
      </c>
      <c r="B213" s="326"/>
      <c r="C213" s="318"/>
      <c r="D213" s="329"/>
      <c r="E213" s="329"/>
      <c r="F213" s="317"/>
      <c r="H213" s="322"/>
    </row>
    <row r="214" spans="1:8" s="319" customFormat="1" x14ac:dyDescent="0.2">
      <c r="A214" s="338">
        <f t="shared" si="4"/>
        <v>42636</v>
      </c>
      <c r="B214" s="326"/>
      <c r="C214" s="318"/>
      <c r="D214" s="329"/>
      <c r="E214" s="329"/>
      <c r="F214" s="317"/>
      <c r="H214" s="322"/>
    </row>
    <row r="215" spans="1:8" s="319" customFormat="1" x14ac:dyDescent="0.2">
      <c r="A215" s="338">
        <f t="shared" si="4"/>
        <v>42637</v>
      </c>
      <c r="B215" s="326"/>
      <c r="C215" s="318"/>
      <c r="D215" s="329"/>
      <c r="E215" s="329"/>
      <c r="F215" s="317"/>
      <c r="H215" s="322"/>
    </row>
    <row r="216" spans="1:8" s="319" customFormat="1" x14ac:dyDescent="0.2">
      <c r="A216" s="338">
        <f t="shared" si="4"/>
        <v>42638</v>
      </c>
      <c r="B216" s="326"/>
      <c r="C216" s="318"/>
      <c r="D216" s="329"/>
      <c r="E216" s="329"/>
      <c r="F216" s="317"/>
      <c r="H216" s="322"/>
    </row>
    <row r="217" spans="1:8" s="319" customFormat="1" x14ac:dyDescent="0.2">
      <c r="A217" s="338">
        <f t="shared" si="4"/>
        <v>42639</v>
      </c>
      <c r="B217" s="326"/>
      <c r="C217" s="318"/>
      <c r="D217" s="329"/>
      <c r="E217" s="329"/>
      <c r="F217" s="317"/>
      <c r="H217" s="322"/>
    </row>
    <row r="218" spans="1:8" s="319" customFormat="1" x14ac:dyDescent="0.2">
      <c r="A218" s="338">
        <f t="shared" si="4"/>
        <v>42640</v>
      </c>
      <c r="B218" s="326"/>
      <c r="C218" s="318"/>
      <c r="D218" s="329"/>
      <c r="E218" s="329"/>
      <c r="F218" s="317"/>
      <c r="H218" s="322"/>
    </row>
    <row r="219" spans="1:8" s="319" customFormat="1" x14ac:dyDescent="0.2">
      <c r="A219" s="338">
        <f t="shared" si="4"/>
        <v>42641</v>
      </c>
      <c r="B219" s="326"/>
      <c r="C219" s="318"/>
      <c r="D219" s="329"/>
      <c r="E219" s="329"/>
      <c r="F219" s="317"/>
      <c r="H219" s="322"/>
    </row>
    <row r="220" spans="1:8" s="319" customFormat="1" x14ac:dyDescent="0.2">
      <c r="A220" s="338">
        <f t="shared" si="4"/>
        <v>42642</v>
      </c>
      <c r="B220" s="326"/>
      <c r="C220" s="318"/>
      <c r="D220" s="329"/>
      <c r="E220" s="329"/>
      <c r="F220" s="317"/>
      <c r="H220" s="322"/>
    </row>
    <row r="221" spans="1:8" s="319" customFormat="1" x14ac:dyDescent="0.2">
      <c r="A221" s="338">
        <f t="shared" si="4"/>
        <v>42643</v>
      </c>
      <c r="B221" s="326"/>
      <c r="C221" s="318"/>
      <c r="D221" s="329"/>
      <c r="E221" s="329"/>
      <c r="F221" s="317"/>
      <c r="H221" s="322"/>
    </row>
    <row r="222" spans="1:8" s="319" customFormat="1" x14ac:dyDescent="0.2">
      <c r="A222" s="338">
        <f t="shared" si="4"/>
        <v>42644</v>
      </c>
      <c r="B222" s="326"/>
      <c r="C222" s="318"/>
      <c r="D222" s="329"/>
      <c r="E222" s="329"/>
      <c r="F222" s="317"/>
      <c r="H222" s="322"/>
    </row>
    <row r="223" spans="1:8" s="319" customFormat="1" x14ac:dyDescent="0.2">
      <c r="A223" s="338">
        <f t="shared" si="4"/>
        <v>42645</v>
      </c>
      <c r="B223" s="326"/>
      <c r="C223" s="318"/>
      <c r="D223" s="329"/>
      <c r="E223" s="329"/>
      <c r="F223" s="317"/>
      <c r="H223" s="322"/>
    </row>
    <row r="224" spans="1:8" s="319" customFormat="1" x14ac:dyDescent="0.2">
      <c r="A224" s="338">
        <f t="shared" si="4"/>
        <v>42646</v>
      </c>
      <c r="B224" s="326"/>
      <c r="C224" s="318"/>
      <c r="D224" s="329"/>
      <c r="E224" s="329"/>
      <c r="F224" s="317"/>
      <c r="H224" s="322"/>
    </row>
    <row r="225" spans="1:8" s="319" customFormat="1" x14ac:dyDescent="0.2">
      <c r="A225" s="338">
        <f t="shared" si="4"/>
        <v>42647</v>
      </c>
      <c r="B225" s="326"/>
      <c r="C225" s="318"/>
      <c r="D225" s="329"/>
      <c r="E225" s="329"/>
      <c r="F225" s="317"/>
      <c r="H225" s="322"/>
    </row>
    <row r="226" spans="1:8" s="319" customFormat="1" x14ac:dyDescent="0.2">
      <c r="A226" s="338">
        <f t="shared" si="4"/>
        <v>42648</v>
      </c>
      <c r="B226" s="326"/>
      <c r="C226" s="318"/>
      <c r="D226" s="329"/>
      <c r="E226" s="329"/>
      <c r="F226" s="317"/>
      <c r="H226" s="322"/>
    </row>
    <row r="227" spans="1:8" s="319" customFormat="1" x14ac:dyDescent="0.2">
      <c r="A227" s="338">
        <f t="shared" si="4"/>
        <v>42649</v>
      </c>
      <c r="B227" s="326"/>
      <c r="C227" s="318"/>
      <c r="D227" s="329"/>
      <c r="E227" s="329"/>
      <c r="F227" s="317"/>
      <c r="H227" s="322"/>
    </row>
    <row r="228" spans="1:8" s="319" customFormat="1" x14ac:dyDescent="0.2">
      <c r="A228" s="338">
        <f t="shared" si="4"/>
        <v>42650</v>
      </c>
      <c r="B228" s="326"/>
      <c r="C228" s="318"/>
      <c r="D228" s="329"/>
      <c r="E228" s="329"/>
      <c r="F228" s="317"/>
      <c r="H228" s="322"/>
    </row>
    <row r="229" spans="1:8" s="319" customFormat="1" x14ac:dyDescent="0.2">
      <c r="A229" s="338">
        <f t="shared" si="4"/>
        <v>42651</v>
      </c>
      <c r="B229" s="326"/>
      <c r="C229" s="318"/>
      <c r="D229" s="329"/>
      <c r="E229" s="329"/>
      <c r="F229" s="317"/>
      <c r="H229" s="322"/>
    </row>
    <row r="230" spans="1:8" s="319" customFormat="1" x14ac:dyDescent="0.2">
      <c r="A230" s="338">
        <f t="shared" ref="A230:A293" si="5">A229+1</f>
        <v>42652</v>
      </c>
      <c r="B230" s="326"/>
      <c r="C230" s="318"/>
      <c r="D230" s="329"/>
      <c r="E230" s="329"/>
      <c r="F230" s="317"/>
      <c r="H230" s="322"/>
    </row>
    <row r="231" spans="1:8" s="319" customFormat="1" x14ac:dyDescent="0.2">
      <c r="A231" s="338">
        <f t="shared" si="5"/>
        <v>42653</v>
      </c>
      <c r="B231" s="326"/>
      <c r="C231" s="318"/>
      <c r="D231" s="329"/>
      <c r="E231" s="329"/>
      <c r="F231" s="317"/>
      <c r="H231" s="322"/>
    </row>
    <row r="232" spans="1:8" s="319" customFormat="1" x14ac:dyDescent="0.2">
      <c r="A232" s="338">
        <f t="shared" si="5"/>
        <v>42654</v>
      </c>
      <c r="B232" s="326"/>
      <c r="C232" s="318"/>
      <c r="D232" s="329"/>
      <c r="E232" s="329"/>
      <c r="F232" s="317"/>
      <c r="H232" s="322"/>
    </row>
    <row r="233" spans="1:8" s="319" customFormat="1" x14ac:dyDescent="0.2">
      <c r="A233" s="338">
        <f t="shared" si="5"/>
        <v>42655</v>
      </c>
      <c r="B233" s="326"/>
      <c r="C233" s="318"/>
      <c r="D233" s="329"/>
      <c r="E233" s="329"/>
      <c r="F233" s="317"/>
      <c r="H233" s="322"/>
    </row>
    <row r="234" spans="1:8" s="319" customFormat="1" x14ac:dyDescent="0.2">
      <c r="A234" s="338">
        <f t="shared" si="5"/>
        <v>42656</v>
      </c>
      <c r="B234" s="326"/>
      <c r="C234" s="318"/>
      <c r="D234" s="329"/>
      <c r="E234" s="329"/>
      <c r="F234" s="317"/>
      <c r="H234" s="322"/>
    </row>
    <row r="235" spans="1:8" s="319" customFormat="1" x14ac:dyDescent="0.2">
      <c r="A235" s="338">
        <f t="shared" si="5"/>
        <v>42657</v>
      </c>
      <c r="B235" s="326"/>
      <c r="C235" s="318"/>
      <c r="D235" s="329"/>
      <c r="E235" s="329"/>
      <c r="F235" s="317"/>
      <c r="H235" s="322"/>
    </row>
    <row r="236" spans="1:8" s="319" customFormat="1" x14ac:dyDescent="0.2">
      <c r="A236" s="338">
        <f t="shared" si="5"/>
        <v>42658</v>
      </c>
      <c r="B236" s="326"/>
      <c r="C236" s="318"/>
      <c r="D236" s="329"/>
      <c r="E236" s="329"/>
      <c r="F236" s="317"/>
      <c r="H236" s="322"/>
    </row>
    <row r="237" spans="1:8" s="319" customFormat="1" x14ac:dyDescent="0.2">
      <c r="A237" s="338">
        <f t="shared" si="5"/>
        <v>42659</v>
      </c>
      <c r="B237" s="326"/>
      <c r="C237" s="318"/>
      <c r="D237" s="329"/>
      <c r="E237" s="329"/>
      <c r="F237" s="317"/>
      <c r="H237" s="322"/>
    </row>
    <row r="238" spans="1:8" s="319" customFormat="1" x14ac:dyDescent="0.2">
      <c r="A238" s="338">
        <f t="shared" si="5"/>
        <v>42660</v>
      </c>
      <c r="B238" s="326"/>
      <c r="C238" s="318"/>
      <c r="D238" s="329"/>
      <c r="E238" s="329"/>
      <c r="F238" s="317"/>
      <c r="H238" s="322"/>
    </row>
    <row r="239" spans="1:8" s="319" customFormat="1" x14ac:dyDescent="0.2">
      <c r="A239" s="338">
        <f t="shared" si="5"/>
        <v>42661</v>
      </c>
      <c r="B239" s="326"/>
      <c r="C239" s="318"/>
      <c r="D239" s="329"/>
      <c r="E239" s="329"/>
      <c r="F239" s="317"/>
      <c r="H239" s="322"/>
    </row>
    <row r="240" spans="1:8" s="319" customFormat="1" x14ac:dyDescent="0.2">
      <c r="A240" s="338">
        <f t="shared" si="5"/>
        <v>42662</v>
      </c>
      <c r="B240" s="326"/>
      <c r="C240" s="318"/>
      <c r="D240" s="329"/>
      <c r="E240" s="329"/>
      <c r="F240" s="317"/>
      <c r="H240" s="322"/>
    </row>
    <row r="241" spans="1:8" s="319" customFormat="1" x14ac:dyDescent="0.2">
      <c r="A241" s="338">
        <f t="shared" si="5"/>
        <v>42663</v>
      </c>
      <c r="B241" s="326"/>
      <c r="C241" s="318"/>
      <c r="D241" s="329"/>
      <c r="E241" s="329"/>
      <c r="F241" s="317"/>
      <c r="H241" s="322"/>
    </row>
    <row r="242" spans="1:8" s="319" customFormat="1" x14ac:dyDescent="0.2">
      <c r="A242" s="338">
        <f t="shared" si="5"/>
        <v>42664</v>
      </c>
      <c r="B242" s="326"/>
      <c r="C242" s="318"/>
      <c r="D242" s="329"/>
      <c r="E242" s="329"/>
      <c r="F242" s="317"/>
      <c r="H242" s="322"/>
    </row>
    <row r="243" spans="1:8" s="319" customFormat="1" x14ac:dyDescent="0.2">
      <c r="A243" s="338">
        <f t="shared" si="5"/>
        <v>42665</v>
      </c>
      <c r="B243" s="326"/>
      <c r="C243" s="318"/>
      <c r="D243" s="329"/>
      <c r="E243" s="329"/>
      <c r="F243" s="317"/>
      <c r="H243" s="322"/>
    </row>
    <row r="244" spans="1:8" s="319" customFormat="1" x14ac:dyDescent="0.2">
      <c r="A244" s="338">
        <f t="shared" si="5"/>
        <v>42666</v>
      </c>
      <c r="B244" s="326"/>
      <c r="C244" s="318"/>
      <c r="D244" s="329"/>
      <c r="E244" s="329"/>
      <c r="F244" s="317"/>
      <c r="H244" s="322"/>
    </row>
    <row r="245" spans="1:8" s="319" customFormat="1" x14ac:dyDescent="0.2">
      <c r="A245" s="338">
        <f t="shared" si="5"/>
        <v>42667</v>
      </c>
      <c r="B245" s="326"/>
      <c r="C245" s="318"/>
      <c r="D245" s="329"/>
      <c r="E245" s="329"/>
      <c r="F245" s="317"/>
      <c r="H245" s="322"/>
    </row>
    <row r="246" spans="1:8" s="319" customFormat="1" x14ac:dyDescent="0.2">
      <c r="A246" s="338">
        <f t="shared" si="5"/>
        <v>42668</v>
      </c>
      <c r="B246" s="326"/>
      <c r="C246" s="318"/>
      <c r="D246" s="329"/>
      <c r="E246" s="329"/>
      <c r="F246" s="317"/>
      <c r="H246" s="322"/>
    </row>
    <row r="247" spans="1:8" s="319" customFormat="1" x14ac:dyDescent="0.2">
      <c r="A247" s="338">
        <f t="shared" si="5"/>
        <v>42669</v>
      </c>
      <c r="B247" s="326"/>
      <c r="C247" s="318"/>
      <c r="D247" s="329"/>
      <c r="E247" s="329"/>
      <c r="F247" s="317"/>
      <c r="H247" s="322"/>
    </row>
    <row r="248" spans="1:8" s="319" customFormat="1" x14ac:dyDescent="0.2">
      <c r="A248" s="338">
        <f t="shared" si="5"/>
        <v>42670</v>
      </c>
      <c r="B248" s="326"/>
      <c r="C248" s="318"/>
      <c r="D248" s="329"/>
      <c r="E248" s="329"/>
      <c r="F248" s="317"/>
      <c r="H248" s="322"/>
    </row>
    <row r="249" spans="1:8" s="319" customFormat="1" x14ac:dyDescent="0.2">
      <c r="A249" s="338">
        <f t="shared" si="5"/>
        <v>42671</v>
      </c>
      <c r="B249" s="326"/>
      <c r="C249" s="318"/>
      <c r="D249" s="329"/>
      <c r="E249" s="329"/>
      <c r="F249" s="317"/>
      <c r="H249" s="322"/>
    </row>
    <row r="250" spans="1:8" s="319" customFormat="1" x14ac:dyDescent="0.2">
      <c r="A250" s="338">
        <f t="shared" si="5"/>
        <v>42672</v>
      </c>
      <c r="B250" s="326"/>
      <c r="C250" s="318"/>
      <c r="D250" s="329"/>
      <c r="E250" s="329"/>
      <c r="F250" s="317"/>
      <c r="H250" s="322"/>
    </row>
    <row r="251" spans="1:8" s="319" customFormat="1" x14ac:dyDescent="0.2">
      <c r="A251" s="338">
        <f t="shared" si="5"/>
        <v>42673</v>
      </c>
      <c r="B251" s="326"/>
      <c r="C251" s="318"/>
      <c r="D251" s="329"/>
      <c r="E251" s="329"/>
      <c r="F251" s="317"/>
      <c r="H251" s="322"/>
    </row>
    <row r="252" spans="1:8" s="319" customFormat="1" x14ac:dyDescent="0.2">
      <c r="A252" s="338">
        <f t="shared" si="5"/>
        <v>42674</v>
      </c>
      <c r="B252" s="326"/>
      <c r="C252" s="318"/>
      <c r="D252" s="329"/>
      <c r="E252" s="329"/>
      <c r="F252" s="317"/>
      <c r="H252" s="322"/>
    </row>
    <row r="253" spans="1:8" s="319" customFormat="1" x14ac:dyDescent="0.2">
      <c r="A253" s="338">
        <f t="shared" si="5"/>
        <v>42675</v>
      </c>
      <c r="B253" s="326"/>
      <c r="C253" s="318"/>
      <c r="D253" s="329"/>
      <c r="E253" s="329"/>
      <c r="F253" s="317"/>
      <c r="H253" s="322"/>
    </row>
    <row r="254" spans="1:8" s="319" customFormat="1" x14ac:dyDescent="0.2">
      <c r="A254" s="338">
        <f t="shared" si="5"/>
        <v>42676</v>
      </c>
      <c r="B254" s="326"/>
      <c r="C254" s="318"/>
      <c r="D254" s="329"/>
      <c r="E254" s="329"/>
      <c r="F254" s="317"/>
      <c r="H254" s="322"/>
    </row>
    <row r="255" spans="1:8" s="319" customFormat="1" x14ac:dyDescent="0.2">
      <c r="A255" s="338">
        <f t="shared" si="5"/>
        <v>42677</v>
      </c>
      <c r="B255" s="326"/>
      <c r="C255" s="318"/>
      <c r="D255" s="329"/>
      <c r="E255" s="329"/>
      <c r="F255" s="317"/>
      <c r="H255" s="322"/>
    </row>
    <row r="256" spans="1:8" s="319" customFormat="1" x14ac:dyDescent="0.2">
      <c r="A256" s="338">
        <f t="shared" si="5"/>
        <v>42678</v>
      </c>
      <c r="B256" s="326"/>
      <c r="C256" s="318"/>
      <c r="D256" s="329"/>
      <c r="E256" s="329"/>
      <c r="F256" s="317"/>
      <c r="H256" s="322"/>
    </row>
    <row r="257" spans="1:8" s="319" customFormat="1" x14ac:dyDescent="0.2">
      <c r="A257" s="338">
        <f t="shared" si="5"/>
        <v>42679</v>
      </c>
      <c r="B257" s="326"/>
      <c r="C257" s="318"/>
      <c r="D257" s="329"/>
      <c r="E257" s="329"/>
      <c r="F257" s="317"/>
      <c r="H257" s="322"/>
    </row>
    <row r="258" spans="1:8" s="319" customFormat="1" x14ac:dyDescent="0.2">
      <c r="A258" s="338">
        <f t="shared" si="5"/>
        <v>42680</v>
      </c>
      <c r="B258" s="326"/>
      <c r="C258" s="318"/>
      <c r="D258" s="329"/>
      <c r="E258" s="329"/>
      <c r="F258" s="317"/>
      <c r="H258" s="322"/>
    </row>
    <row r="259" spans="1:8" s="319" customFormat="1" x14ac:dyDescent="0.2">
      <c r="A259" s="338">
        <f t="shared" si="5"/>
        <v>42681</v>
      </c>
      <c r="B259" s="326"/>
      <c r="C259" s="318"/>
      <c r="D259" s="329"/>
      <c r="E259" s="329"/>
      <c r="F259" s="317"/>
      <c r="H259" s="322"/>
    </row>
    <row r="260" spans="1:8" s="319" customFormat="1" x14ac:dyDescent="0.2">
      <c r="A260" s="338">
        <f t="shared" si="5"/>
        <v>42682</v>
      </c>
      <c r="B260" s="326"/>
      <c r="C260" s="318"/>
      <c r="D260" s="329"/>
      <c r="E260" s="329"/>
      <c r="F260" s="317"/>
      <c r="H260" s="322"/>
    </row>
    <row r="261" spans="1:8" s="319" customFormat="1" x14ac:dyDescent="0.2">
      <c r="A261" s="338">
        <f t="shared" si="5"/>
        <v>42683</v>
      </c>
      <c r="B261" s="326"/>
      <c r="C261" s="318"/>
      <c r="D261" s="329"/>
      <c r="E261" s="329"/>
      <c r="F261" s="317"/>
      <c r="H261" s="322"/>
    </row>
    <row r="262" spans="1:8" s="319" customFormat="1" x14ac:dyDescent="0.2">
      <c r="A262" s="338">
        <f t="shared" si="5"/>
        <v>42684</v>
      </c>
      <c r="B262" s="326"/>
      <c r="C262" s="318"/>
      <c r="D262" s="329"/>
      <c r="E262" s="329"/>
      <c r="F262" s="317"/>
      <c r="H262" s="322"/>
    </row>
    <row r="263" spans="1:8" s="319" customFormat="1" x14ac:dyDescent="0.2">
      <c r="A263" s="338">
        <f t="shared" si="5"/>
        <v>42685</v>
      </c>
      <c r="B263" s="326"/>
      <c r="C263" s="318"/>
      <c r="D263" s="329"/>
      <c r="E263" s="329"/>
      <c r="F263" s="317"/>
      <c r="H263" s="322"/>
    </row>
    <row r="264" spans="1:8" s="319" customFormat="1" x14ac:dyDescent="0.2">
      <c r="A264" s="338">
        <f t="shared" si="5"/>
        <v>42686</v>
      </c>
      <c r="B264" s="326"/>
      <c r="C264" s="318"/>
      <c r="D264" s="329"/>
      <c r="E264" s="329"/>
      <c r="F264" s="317"/>
      <c r="H264" s="322"/>
    </row>
    <row r="265" spans="1:8" s="319" customFormat="1" x14ac:dyDescent="0.2">
      <c r="A265" s="338">
        <f t="shared" si="5"/>
        <v>42687</v>
      </c>
      <c r="B265" s="326"/>
      <c r="C265" s="318"/>
      <c r="D265" s="329"/>
      <c r="E265" s="329"/>
      <c r="F265" s="317"/>
      <c r="H265" s="322"/>
    </row>
    <row r="266" spans="1:8" s="319" customFormat="1" x14ac:dyDescent="0.2">
      <c r="A266" s="338">
        <f t="shared" si="5"/>
        <v>42688</v>
      </c>
      <c r="B266" s="326"/>
      <c r="C266" s="318"/>
      <c r="D266" s="329"/>
      <c r="E266" s="329"/>
      <c r="F266" s="317"/>
      <c r="H266" s="322"/>
    </row>
    <row r="267" spans="1:8" s="319" customFormat="1" x14ac:dyDescent="0.2">
      <c r="A267" s="338">
        <f t="shared" si="5"/>
        <v>42689</v>
      </c>
      <c r="B267" s="326"/>
      <c r="C267" s="318"/>
      <c r="D267" s="329"/>
      <c r="E267" s="329"/>
      <c r="F267" s="317"/>
      <c r="H267" s="322"/>
    </row>
    <row r="268" spans="1:8" s="319" customFormat="1" x14ac:dyDescent="0.2">
      <c r="A268" s="338">
        <f t="shared" si="5"/>
        <v>42690</v>
      </c>
      <c r="B268" s="326"/>
      <c r="C268" s="318"/>
      <c r="D268" s="329"/>
      <c r="E268" s="329"/>
      <c r="F268" s="317"/>
      <c r="H268" s="322"/>
    </row>
    <row r="269" spans="1:8" s="319" customFormat="1" x14ac:dyDescent="0.2">
      <c r="A269" s="338">
        <f t="shared" si="5"/>
        <v>42691</v>
      </c>
      <c r="B269" s="326"/>
      <c r="C269" s="318"/>
      <c r="D269" s="329"/>
      <c r="E269" s="329"/>
      <c r="F269" s="317"/>
      <c r="H269" s="322"/>
    </row>
    <row r="270" spans="1:8" s="319" customFormat="1" x14ac:dyDescent="0.2">
      <c r="A270" s="338">
        <f t="shared" si="5"/>
        <v>42692</v>
      </c>
      <c r="B270" s="326"/>
      <c r="C270" s="318"/>
      <c r="D270" s="329"/>
      <c r="E270" s="329"/>
      <c r="F270" s="317"/>
      <c r="H270" s="322"/>
    </row>
    <row r="271" spans="1:8" s="319" customFormat="1" x14ac:dyDescent="0.2">
      <c r="A271" s="338">
        <f t="shared" si="5"/>
        <v>42693</v>
      </c>
      <c r="B271" s="326"/>
      <c r="C271" s="318"/>
      <c r="D271" s="329"/>
      <c r="E271" s="329"/>
      <c r="F271" s="317"/>
      <c r="H271" s="322"/>
    </row>
    <row r="272" spans="1:8" s="319" customFormat="1" x14ac:dyDescent="0.2">
      <c r="A272" s="338">
        <f t="shared" si="5"/>
        <v>42694</v>
      </c>
      <c r="B272" s="326"/>
      <c r="C272" s="318"/>
      <c r="D272" s="329"/>
      <c r="E272" s="329"/>
      <c r="F272" s="317"/>
      <c r="H272" s="322"/>
    </row>
    <row r="273" spans="1:8" s="319" customFormat="1" x14ac:dyDescent="0.2">
      <c r="A273" s="338">
        <f t="shared" si="5"/>
        <v>42695</v>
      </c>
      <c r="B273" s="326"/>
      <c r="C273" s="318"/>
      <c r="D273" s="329"/>
      <c r="E273" s="329"/>
      <c r="F273" s="317"/>
      <c r="H273" s="322"/>
    </row>
    <row r="274" spans="1:8" s="319" customFormat="1" x14ac:dyDescent="0.2">
      <c r="A274" s="338">
        <f t="shared" si="5"/>
        <v>42696</v>
      </c>
      <c r="B274" s="326"/>
      <c r="C274" s="318"/>
      <c r="D274" s="329"/>
      <c r="E274" s="329"/>
      <c r="F274" s="317"/>
      <c r="H274" s="322"/>
    </row>
    <row r="275" spans="1:8" s="319" customFormat="1" x14ac:dyDescent="0.2">
      <c r="A275" s="338">
        <f t="shared" si="5"/>
        <v>42697</v>
      </c>
      <c r="B275" s="326"/>
      <c r="C275" s="318"/>
      <c r="D275" s="329"/>
      <c r="E275" s="329"/>
      <c r="F275" s="317"/>
      <c r="H275" s="322"/>
    </row>
    <row r="276" spans="1:8" s="319" customFormat="1" x14ac:dyDescent="0.2">
      <c r="A276" s="338">
        <f t="shared" si="5"/>
        <v>42698</v>
      </c>
      <c r="B276" s="326"/>
      <c r="C276" s="318"/>
      <c r="D276" s="329"/>
      <c r="E276" s="329"/>
      <c r="F276" s="317"/>
      <c r="H276" s="322"/>
    </row>
    <row r="277" spans="1:8" s="319" customFormat="1" x14ac:dyDescent="0.2">
      <c r="A277" s="338">
        <f t="shared" si="5"/>
        <v>42699</v>
      </c>
      <c r="B277" s="326"/>
      <c r="C277" s="318"/>
      <c r="D277" s="329"/>
      <c r="E277" s="329"/>
      <c r="F277" s="317"/>
      <c r="H277" s="322"/>
    </row>
    <row r="278" spans="1:8" s="319" customFormat="1" x14ac:dyDescent="0.2">
      <c r="A278" s="338">
        <f t="shared" si="5"/>
        <v>42700</v>
      </c>
      <c r="B278" s="326"/>
      <c r="C278" s="318"/>
      <c r="D278" s="329"/>
      <c r="E278" s="329"/>
      <c r="F278" s="317"/>
      <c r="H278" s="322"/>
    </row>
    <row r="279" spans="1:8" s="319" customFormat="1" x14ac:dyDescent="0.2">
      <c r="A279" s="338">
        <f t="shared" si="5"/>
        <v>42701</v>
      </c>
      <c r="B279" s="326"/>
      <c r="C279" s="318"/>
      <c r="D279" s="329"/>
      <c r="E279" s="329"/>
      <c r="F279" s="317"/>
      <c r="H279" s="322"/>
    </row>
    <row r="280" spans="1:8" s="319" customFormat="1" x14ac:dyDescent="0.2">
      <c r="A280" s="338">
        <f t="shared" si="5"/>
        <v>42702</v>
      </c>
      <c r="B280" s="326"/>
      <c r="C280" s="318"/>
      <c r="D280" s="329"/>
      <c r="E280" s="329"/>
      <c r="F280" s="317"/>
      <c r="H280" s="322"/>
    </row>
    <row r="281" spans="1:8" s="319" customFormat="1" x14ac:dyDescent="0.2">
      <c r="A281" s="338">
        <f t="shared" si="5"/>
        <v>42703</v>
      </c>
      <c r="B281" s="326"/>
      <c r="C281" s="318"/>
      <c r="D281" s="329"/>
      <c r="E281" s="329"/>
      <c r="F281" s="317"/>
      <c r="H281" s="322"/>
    </row>
    <row r="282" spans="1:8" s="319" customFormat="1" x14ac:dyDescent="0.2">
      <c r="A282" s="338">
        <f t="shared" si="5"/>
        <v>42704</v>
      </c>
      <c r="B282" s="326"/>
      <c r="C282" s="318"/>
      <c r="D282" s="329"/>
      <c r="E282" s="329"/>
      <c r="F282" s="317"/>
      <c r="H282" s="322"/>
    </row>
    <row r="283" spans="1:8" s="319" customFormat="1" x14ac:dyDescent="0.2">
      <c r="A283" s="338">
        <f t="shared" si="5"/>
        <v>42705</v>
      </c>
      <c r="B283" s="326"/>
      <c r="C283" s="318"/>
      <c r="D283" s="329"/>
      <c r="E283" s="329"/>
      <c r="F283" s="317"/>
      <c r="H283" s="322"/>
    </row>
    <row r="284" spans="1:8" s="319" customFormat="1" x14ac:dyDescent="0.2">
      <c r="A284" s="338">
        <f t="shared" si="5"/>
        <v>42706</v>
      </c>
      <c r="B284" s="326"/>
      <c r="C284" s="318"/>
      <c r="D284" s="329"/>
      <c r="E284" s="329"/>
      <c r="F284" s="317"/>
      <c r="H284" s="322"/>
    </row>
    <row r="285" spans="1:8" s="319" customFormat="1" x14ac:dyDescent="0.2">
      <c r="A285" s="338">
        <f t="shared" si="5"/>
        <v>42707</v>
      </c>
      <c r="B285" s="326"/>
      <c r="C285" s="318"/>
      <c r="D285" s="329"/>
      <c r="E285" s="329"/>
      <c r="F285" s="317"/>
      <c r="H285" s="322"/>
    </row>
    <row r="286" spans="1:8" s="319" customFormat="1" x14ac:dyDescent="0.2">
      <c r="A286" s="338">
        <f t="shared" si="5"/>
        <v>42708</v>
      </c>
      <c r="B286" s="326"/>
      <c r="C286" s="318"/>
      <c r="D286" s="329"/>
      <c r="E286" s="329"/>
      <c r="F286" s="317"/>
      <c r="H286" s="322"/>
    </row>
    <row r="287" spans="1:8" s="319" customFormat="1" x14ac:dyDescent="0.2">
      <c r="A287" s="338">
        <f t="shared" si="5"/>
        <v>42709</v>
      </c>
      <c r="B287" s="326"/>
      <c r="C287" s="318"/>
      <c r="D287" s="329"/>
      <c r="E287" s="329"/>
      <c r="F287" s="317"/>
      <c r="H287" s="322"/>
    </row>
    <row r="288" spans="1:8" s="319" customFormat="1" x14ac:dyDescent="0.2">
      <c r="A288" s="338">
        <f t="shared" si="5"/>
        <v>42710</v>
      </c>
      <c r="B288" s="326"/>
      <c r="C288" s="318"/>
      <c r="D288" s="329"/>
      <c r="E288" s="329"/>
      <c r="F288" s="317"/>
      <c r="H288" s="322"/>
    </row>
    <row r="289" spans="1:8" s="319" customFormat="1" x14ac:dyDescent="0.2">
      <c r="A289" s="338">
        <f t="shared" si="5"/>
        <v>42711</v>
      </c>
      <c r="B289" s="326"/>
      <c r="C289" s="318"/>
      <c r="D289" s="329"/>
      <c r="E289" s="329"/>
      <c r="F289" s="317"/>
      <c r="H289" s="322"/>
    </row>
    <row r="290" spans="1:8" s="319" customFormat="1" x14ac:dyDescent="0.2">
      <c r="A290" s="338">
        <f t="shared" si="5"/>
        <v>42712</v>
      </c>
      <c r="B290" s="326"/>
      <c r="C290" s="318"/>
      <c r="D290" s="329"/>
      <c r="E290" s="329"/>
      <c r="F290" s="317"/>
      <c r="H290" s="322"/>
    </row>
    <row r="291" spans="1:8" s="319" customFormat="1" x14ac:dyDescent="0.2">
      <c r="A291" s="338">
        <f t="shared" si="5"/>
        <v>42713</v>
      </c>
      <c r="B291" s="326"/>
      <c r="C291" s="318"/>
      <c r="D291" s="329"/>
      <c r="E291" s="329"/>
      <c r="F291" s="317"/>
      <c r="H291" s="322"/>
    </row>
    <row r="292" spans="1:8" s="319" customFormat="1" x14ac:dyDescent="0.2">
      <c r="A292" s="338">
        <f t="shared" si="5"/>
        <v>42714</v>
      </c>
      <c r="B292" s="326"/>
      <c r="C292" s="318"/>
      <c r="D292" s="329"/>
      <c r="E292" s="329"/>
      <c r="F292" s="317"/>
      <c r="H292" s="322"/>
    </row>
    <row r="293" spans="1:8" s="319" customFormat="1" x14ac:dyDescent="0.2">
      <c r="A293" s="338">
        <f t="shared" si="5"/>
        <v>42715</v>
      </c>
      <c r="B293" s="326"/>
      <c r="C293" s="318"/>
      <c r="D293" s="329"/>
      <c r="E293" s="329"/>
      <c r="F293" s="317"/>
      <c r="H293" s="322"/>
    </row>
    <row r="294" spans="1:8" s="319" customFormat="1" x14ac:dyDescent="0.2">
      <c r="A294" s="338">
        <f t="shared" ref="A294:A308" si="6">A293+1</f>
        <v>42716</v>
      </c>
      <c r="B294" s="326"/>
      <c r="C294" s="318"/>
      <c r="D294" s="329"/>
      <c r="E294" s="329"/>
      <c r="F294" s="317"/>
      <c r="H294" s="322"/>
    </row>
    <row r="295" spans="1:8" s="319" customFormat="1" x14ac:dyDescent="0.2">
      <c r="A295" s="338">
        <f t="shared" si="6"/>
        <v>42717</v>
      </c>
      <c r="B295" s="326"/>
      <c r="C295" s="318"/>
      <c r="D295" s="329"/>
      <c r="E295" s="329"/>
      <c r="F295" s="317"/>
      <c r="H295" s="322"/>
    </row>
    <row r="296" spans="1:8" s="319" customFormat="1" x14ac:dyDescent="0.2">
      <c r="A296" s="338">
        <f t="shared" si="6"/>
        <v>42718</v>
      </c>
      <c r="B296" s="326"/>
      <c r="C296" s="318"/>
      <c r="D296" s="329"/>
      <c r="E296" s="329"/>
      <c r="F296" s="317"/>
      <c r="H296" s="322"/>
    </row>
    <row r="297" spans="1:8" s="319" customFormat="1" x14ac:dyDescent="0.2">
      <c r="A297" s="338">
        <f t="shared" si="6"/>
        <v>42719</v>
      </c>
      <c r="B297" s="326"/>
      <c r="C297" s="318"/>
      <c r="D297" s="329"/>
      <c r="E297" s="329"/>
      <c r="F297" s="317"/>
      <c r="H297" s="322"/>
    </row>
    <row r="298" spans="1:8" s="319" customFormat="1" x14ac:dyDescent="0.2">
      <c r="A298" s="338">
        <f t="shared" si="6"/>
        <v>42720</v>
      </c>
      <c r="B298" s="326"/>
      <c r="C298" s="318"/>
      <c r="D298" s="329"/>
      <c r="E298" s="329"/>
      <c r="F298" s="317"/>
      <c r="H298" s="322"/>
    </row>
    <row r="299" spans="1:8" s="319" customFormat="1" x14ac:dyDescent="0.2">
      <c r="A299" s="338">
        <f t="shared" si="6"/>
        <v>42721</v>
      </c>
      <c r="B299" s="326"/>
      <c r="C299" s="318"/>
      <c r="D299" s="329"/>
      <c r="E299" s="329"/>
      <c r="F299" s="317"/>
      <c r="H299" s="322"/>
    </row>
    <row r="300" spans="1:8" s="319" customFormat="1" x14ac:dyDescent="0.2">
      <c r="A300" s="338">
        <f t="shared" si="6"/>
        <v>42722</v>
      </c>
      <c r="B300" s="326"/>
      <c r="C300" s="318"/>
      <c r="D300" s="329"/>
      <c r="E300" s="329"/>
      <c r="F300" s="317"/>
      <c r="H300" s="322"/>
    </row>
    <row r="301" spans="1:8" s="319" customFormat="1" x14ac:dyDescent="0.2">
      <c r="A301" s="338">
        <f t="shared" si="6"/>
        <v>42723</v>
      </c>
      <c r="B301" s="326"/>
      <c r="C301" s="318"/>
      <c r="D301" s="329"/>
      <c r="E301" s="329"/>
      <c r="F301" s="317"/>
      <c r="H301" s="322"/>
    </row>
    <row r="302" spans="1:8" s="319" customFormat="1" x14ac:dyDescent="0.2">
      <c r="A302" s="338">
        <f t="shared" si="6"/>
        <v>42724</v>
      </c>
      <c r="B302" s="326"/>
      <c r="C302" s="318"/>
      <c r="D302" s="329"/>
      <c r="E302" s="329"/>
      <c r="F302" s="317"/>
      <c r="H302" s="322"/>
    </row>
    <row r="303" spans="1:8" s="319" customFormat="1" x14ac:dyDescent="0.2">
      <c r="A303" s="338">
        <f t="shared" si="6"/>
        <v>42725</v>
      </c>
      <c r="B303" s="326"/>
      <c r="C303" s="318"/>
      <c r="D303" s="329"/>
      <c r="E303" s="329"/>
      <c r="F303" s="317"/>
      <c r="H303" s="322"/>
    </row>
    <row r="304" spans="1:8" s="319" customFormat="1" x14ac:dyDescent="0.2">
      <c r="A304" s="338">
        <f t="shared" si="6"/>
        <v>42726</v>
      </c>
      <c r="B304" s="326"/>
      <c r="C304" s="318"/>
      <c r="D304" s="329"/>
      <c r="E304" s="329"/>
      <c r="F304" s="317"/>
      <c r="H304" s="322"/>
    </row>
    <row r="305" spans="1:8" s="319" customFormat="1" x14ac:dyDescent="0.2">
      <c r="A305" s="338">
        <f t="shared" si="6"/>
        <v>42727</v>
      </c>
      <c r="B305" s="326"/>
      <c r="C305" s="318"/>
      <c r="D305" s="329"/>
      <c r="E305" s="329"/>
      <c r="F305" s="317"/>
      <c r="H305" s="322"/>
    </row>
    <row r="306" spans="1:8" s="319" customFormat="1" x14ac:dyDescent="0.2">
      <c r="A306" s="338">
        <f t="shared" si="6"/>
        <v>42728</v>
      </c>
      <c r="B306" s="326"/>
      <c r="C306" s="318"/>
      <c r="D306" s="329"/>
      <c r="E306" s="329"/>
      <c r="F306" s="317"/>
      <c r="H306" s="322"/>
    </row>
    <row r="307" spans="1:8" s="319" customFormat="1" x14ac:dyDescent="0.2">
      <c r="A307" s="338">
        <f t="shared" si="6"/>
        <v>42729</v>
      </c>
      <c r="B307" s="326"/>
      <c r="C307" s="318"/>
      <c r="D307" s="329"/>
      <c r="E307" s="329"/>
      <c r="F307" s="317"/>
      <c r="H307" s="322"/>
    </row>
    <row r="308" spans="1:8" s="319" customFormat="1" x14ac:dyDescent="0.2">
      <c r="A308" s="338">
        <f t="shared" si="6"/>
        <v>42730</v>
      </c>
      <c r="B308" s="326"/>
      <c r="C308" s="318"/>
      <c r="D308" s="329"/>
      <c r="E308" s="329"/>
      <c r="F308" s="328"/>
      <c r="H308" s="322"/>
    </row>
  </sheetData>
  <mergeCells count="4">
    <mergeCell ref="D2:F2"/>
    <mergeCell ref="H2:H3"/>
    <mergeCell ref="B2:B3"/>
    <mergeCell ref="J2:J3"/>
  </mergeCells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AS248"/>
  <sheetViews>
    <sheetView zoomScale="70" zoomScaleNormal="70" zoomScaleSheetLayoutView="75" zoomScalePageLayoutView="70" workbookViewId="0">
      <pane xSplit="1" topLeftCell="B1" activePane="topRight" state="frozen"/>
      <selection activeCell="A142" sqref="A142"/>
      <selection pane="topRight" activeCell="Q3" sqref="Q3"/>
    </sheetView>
  </sheetViews>
  <sheetFormatPr defaultColWidth="8.85546875" defaultRowHeight="12.75" x14ac:dyDescent="0.2"/>
  <cols>
    <col min="1" max="1" width="11.28515625" bestFit="1" customWidth="1"/>
    <col min="2" max="2" width="7" style="2" customWidth="1"/>
    <col min="3" max="3" width="9.85546875" bestFit="1" customWidth="1"/>
    <col min="4" max="4" width="9.85546875" customWidth="1"/>
    <col min="5" max="5" width="9" customWidth="1"/>
    <col min="6" max="7" width="8.7109375" customWidth="1"/>
    <col min="8" max="8" width="10.42578125" customWidth="1"/>
    <col min="9" max="9" width="10.140625" customWidth="1"/>
    <col min="10" max="10" width="10.85546875" customWidth="1"/>
    <col min="11" max="11" width="8.7109375" customWidth="1"/>
    <col min="12" max="12" width="8.28515625" customWidth="1"/>
    <col min="13" max="13" width="9" customWidth="1"/>
    <col min="14" max="14" width="8.7109375" customWidth="1"/>
    <col min="15" max="15" width="10.140625" customWidth="1"/>
    <col min="16" max="16" width="12" customWidth="1"/>
    <col min="17" max="17" width="11" customWidth="1"/>
    <col min="18" max="18" width="6.140625" customWidth="1"/>
    <col min="19" max="19" width="10.28515625" bestFit="1" customWidth="1"/>
    <col min="20" max="20" width="11.42578125" bestFit="1" customWidth="1"/>
    <col min="21" max="21" width="10.42578125" bestFit="1" customWidth="1"/>
    <col min="22" max="22" width="11.42578125" customWidth="1"/>
    <col min="23" max="23" width="13.28515625" bestFit="1" customWidth="1"/>
    <col min="24" max="24" width="10.42578125" customWidth="1"/>
    <col min="25" max="25" width="8" customWidth="1"/>
    <col min="26" max="26" width="7.42578125" customWidth="1"/>
    <col min="27" max="27" width="6.28515625" customWidth="1"/>
    <col min="28" max="28" width="9.42578125" bestFit="1" customWidth="1"/>
    <col min="29" max="29" width="6.42578125" customWidth="1"/>
    <col min="30" max="30" width="7.42578125" customWidth="1"/>
    <col min="31" max="31" width="12" customWidth="1"/>
    <col min="32" max="33" width="8.42578125" customWidth="1"/>
    <col min="34" max="34" width="55.7109375" customWidth="1"/>
    <col min="35" max="35" width="32.140625" customWidth="1"/>
    <col min="36" max="36" width="11.7109375" bestFit="1" customWidth="1"/>
    <col min="37" max="37" width="11.140625" bestFit="1" customWidth="1"/>
    <col min="39" max="41" width="9.28515625" bestFit="1" customWidth="1"/>
    <col min="42" max="42" width="19.140625" bestFit="1" customWidth="1"/>
    <col min="43" max="43" width="13.28515625" bestFit="1" customWidth="1"/>
    <col min="44" max="44" width="9.28515625" bestFit="1" customWidth="1"/>
    <col min="45" max="45" width="15.85546875" customWidth="1"/>
  </cols>
  <sheetData>
    <row r="1" spans="1:45" x14ac:dyDescent="0.2">
      <c r="V1" s="53" t="s">
        <v>70</v>
      </c>
    </row>
    <row r="2" spans="1:45" x14ac:dyDescent="0.2">
      <c r="V2" s="10" t="s">
        <v>34</v>
      </c>
      <c r="W2" s="11"/>
      <c r="X2" s="12"/>
      <c r="AA2" s="10" t="s">
        <v>26</v>
      </c>
      <c r="AB2" s="11"/>
      <c r="AC2" s="12"/>
      <c r="AE2" s="35" t="s">
        <v>35</v>
      </c>
      <c r="AF2" s="36" t="e">
        <f>AK15+AS17</f>
        <v>#REF!</v>
      </c>
      <c r="AG2" s="31"/>
    </row>
    <row r="3" spans="1:45" x14ac:dyDescent="0.2">
      <c r="B3"/>
      <c r="H3" s="53" t="s">
        <v>69</v>
      </c>
      <c r="K3">
        <v>0</v>
      </c>
      <c r="M3" s="37"/>
      <c r="P3" s="105" t="s">
        <v>92</v>
      </c>
      <c r="Q3" s="121">
        <v>0.96179743566790254</v>
      </c>
      <c r="S3">
        <v>400</v>
      </c>
      <c r="T3">
        <v>2000</v>
      </c>
      <c r="U3" s="18" t="s">
        <v>31</v>
      </c>
      <c r="V3" s="10" t="s">
        <v>48</v>
      </c>
      <c r="W3" s="59">
        <v>1000.000984312778</v>
      </c>
      <c r="X3" s="12"/>
      <c r="Y3" s="24" t="s">
        <v>47</v>
      </c>
      <c r="Z3" s="25"/>
      <c r="AA3" s="10" t="s">
        <v>23</v>
      </c>
      <c r="AB3" s="21">
        <v>55</v>
      </c>
      <c r="AC3" s="12">
        <f>AB3/100</f>
        <v>0.55000000000000004</v>
      </c>
      <c r="AE3" s="43" t="s">
        <v>36</v>
      </c>
      <c r="AF3" s="44" t="e">
        <f>AQ15</f>
        <v>#REF!</v>
      </c>
      <c r="AG3" s="31"/>
    </row>
    <row r="4" spans="1:45" ht="15.75" x14ac:dyDescent="0.25">
      <c r="A4" s="112" t="s">
        <v>89</v>
      </c>
      <c r="B4" s="112"/>
      <c r="G4" t="s">
        <v>49</v>
      </c>
      <c r="H4" s="49">
        <v>3</v>
      </c>
      <c r="I4" s="49">
        <v>2</v>
      </c>
      <c r="J4" s="49">
        <v>1</v>
      </c>
      <c r="K4" s="49">
        <v>0</v>
      </c>
      <c r="L4" s="49">
        <v>-1</v>
      </c>
      <c r="N4" t="s">
        <v>46</v>
      </c>
      <c r="P4" s="45"/>
      <c r="Q4" s="45"/>
      <c r="R4" s="45"/>
      <c r="S4" s="53">
        <v>0.1</v>
      </c>
      <c r="T4">
        <v>10</v>
      </c>
      <c r="U4" s="19" t="s">
        <v>32</v>
      </c>
      <c r="V4" s="13" t="s">
        <v>50</v>
      </c>
      <c r="W4" s="61">
        <v>2.3732165797347773</v>
      </c>
      <c r="X4" s="14"/>
      <c r="Y4" s="26" t="s">
        <v>28</v>
      </c>
      <c r="Z4" s="27"/>
      <c r="AA4" s="15" t="s">
        <v>24</v>
      </c>
      <c r="AB4" s="96">
        <v>400</v>
      </c>
      <c r="AC4" s="17"/>
      <c r="AE4" s="43" t="s">
        <v>41</v>
      </c>
      <c r="AF4" s="47" t="e">
        <f>AM17</f>
        <v>#REF!</v>
      </c>
      <c r="AG4" s="62"/>
    </row>
    <row r="5" spans="1:45" ht="23.25" x14ac:dyDescent="0.35">
      <c r="A5" s="113">
        <v>1</v>
      </c>
      <c r="B5" s="112" t="s">
        <v>90</v>
      </c>
      <c r="G5" t="s">
        <v>51</v>
      </c>
      <c r="H5" s="57">
        <v>3.3872753739416705E-3</v>
      </c>
      <c r="I5" s="57">
        <v>3.3037758243869529E-2</v>
      </c>
      <c r="J5" s="57">
        <v>0.27398318002049604</v>
      </c>
      <c r="K5" s="57">
        <v>0.66891289401300202</v>
      </c>
      <c r="L5" s="57">
        <v>2.0678892348691257E-2</v>
      </c>
      <c r="N5" s="5">
        <f>SUM(H5:L5)</f>
        <v>1.0000000000000007</v>
      </c>
      <c r="S5">
        <v>0</v>
      </c>
      <c r="T5">
        <v>70</v>
      </c>
      <c r="U5" s="20" t="s">
        <v>33</v>
      </c>
      <c r="V5" s="13" t="s">
        <v>52</v>
      </c>
      <c r="W5" s="61">
        <v>34.901723314701229</v>
      </c>
      <c r="X5" s="14">
        <f>W5/100</f>
        <v>0.34901723314701227</v>
      </c>
      <c r="Y5" s="26" t="s">
        <v>29</v>
      </c>
      <c r="Z5" s="27"/>
      <c r="AA5" s="10" t="s">
        <v>27</v>
      </c>
      <c r="AB5" s="11"/>
      <c r="AC5" s="12"/>
      <c r="AD5" s="45"/>
      <c r="AE5" s="48" t="s">
        <v>45</v>
      </c>
      <c r="AF5" s="50" t="e">
        <f>AR17</f>
        <v>#REF!</v>
      </c>
      <c r="AG5" s="62"/>
    </row>
    <row r="6" spans="1:45" x14ac:dyDescent="0.2">
      <c r="S6">
        <v>1</v>
      </c>
      <c r="T6">
        <v>6</v>
      </c>
      <c r="V6" s="15" t="s">
        <v>15</v>
      </c>
      <c r="W6" s="60">
        <v>4.9886072587128947</v>
      </c>
      <c r="X6" s="17">
        <f>0.5^(1/W6)</f>
        <v>0.87027499475783354</v>
      </c>
      <c r="Y6" s="28" t="s">
        <v>30</v>
      </c>
      <c r="Z6" s="29"/>
      <c r="AA6" s="22" t="s">
        <v>8</v>
      </c>
      <c r="AB6" s="55">
        <v>55726.392159000003</v>
      </c>
      <c r="AC6" s="23" t="s">
        <v>7</v>
      </c>
      <c r="AD6" s="45"/>
      <c r="AE6" s="45"/>
      <c r="AF6" s="45"/>
      <c r="AG6" s="45"/>
    </row>
    <row r="8" spans="1:45" x14ac:dyDescent="0.2">
      <c r="B8" s="2" t="s">
        <v>2</v>
      </c>
      <c r="C8" t="s">
        <v>0</v>
      </c>
      <c r="S8" s="72" t="s">
        <v>0</v>
      </c>
      <c r="T8" s="72" t="s">
        <v>0</v>
      </c>
      <c r="U8" s="72" t="s">
        <v>12</v>
      </c>
      <c r="V8" s="72" t="s">
        <v>16</v>
      </c>
      <c r="W8" s="72" t="s">
        <v>14</v>
      </c>
      <c r="X8" s="72" t="s">
        <v>13</v>
      </c>
      <c r="Y8" s="72" t="s">
        <v>17</v>
      </c>
      <c r="Z8" s="72" t="s">
        <v>18</v>
      </c>
      <c r="AA8" s="72" t="s">
        <v>19</v>
      </c>
      <c r="AB8" s="73" t="s">
        <v>20</v>
      </c>
      <c r="AC8" s="72" t="s">
        <v>21</v>
      </c>
      <c r="AD8" s="72" t="s">
        <v>1</v>
      </c>
      <c r="AE8" s="72" t="s">
        <v>1</v>
      </c>
      <c r="AF8" s="72" t="s">
        <v>5</v>
      </c>
      <c r="AG8" s="72"/>
    </row>
    <row r="9" spans="1:45" ht="27" customHeight="1" x14ac:dyDescent="0.2">
      <c r="B9" s="2" t="s">
        <v>3</v>
      </c>
      <c r="S9" s="72" t="s">
        <v>4</v>
      </c>
      <c r="T9" s="72" t="s">
        <v>53</v>
      </c>
      <c r="U9" s="72"/>
      <c r="V9" s="72" t="s">
        <v>85</v>
      </c>
      <c r="W9" s="72"/>
      <c r="X9" s="72" t="s">
        <v>86</v>
      </c>
      <c r="Y9" s="74" t="s">
        <v>87</v>
      </c>
      <c r="Z9" s="72"/>
      <c r="AA9" s="72"/>
      <c r="AB9" s="72"/>
      <c r="AC9" s="72" t="s">
        <v>88</v>
      </c>
      <c r="AD9" s="72" t="s">
        <v>22</v>
      </c>
      <c r="AE9" s="72" t="s">
        <v>25</v>
      </c>
      <c r="AF9" s="72" t="s">
        <v>44</v>
      </c>
      <c r="AG9" s="72"/>
    </row>
    <row r="10" spans="1:45" x14ac:dyDescent="0.2">
      <c r="B10" s="2" t="s">
        <v>10</v>
      </c>
      <c r="C10" t="s">
        <v>10</v>
      </c>
      <c r="S10" s="72" t="s">
        <v>10</v>
      </c>
      <c r="T10" s="72"/>
      <c r="U10" s="73" t="s">
        <v>83</v>
      </c>
      <c r="V10" s="72">
        <v>1.0504008134610519</v>
      </c>
      <c r="W10" s="72"/>
      <c r="X10" s="72"/>
      <c r="Y10" s="72"/>
      <c r="Z10" s="72"/>
      <c r="AA10" s="72"/>
      <c r="AB10" s="72"/>
      <c r="AC10" s="72"/>
      <c r="AD10" s="72" t="s">
        <v>11</v>
      </c>
      <c r="AE10" s="72" t="s">
        <v>11</v>
      </c>
      <c r="AF10" s="75" t="s">
        <v>43</v>
      </c>
      <c r="AG10" s="75"/>
    </row>
    <row r="11" spans="1:45" ht="25.5" x14ac:dyDescent="0.2">
      <c r="C11" s="52" t="s">
        <v>54</v>
      </c>
      <c r="D11" s="52" t="s">
        <v>55</v>
      </c>
      <c r="E11" s="52" t="s">
        <v>56</v>
      </c>
      <c r="F11" s="52" t="s">
        <v>57</v>
      </c>
      <c r="G11" s="52" t="s">
        <v>58</v>
      </c>
      <c r="H11" s="52" t="s">
        <v>59</v>
      </c>
      <c r="I11" s="52" t="s">
        <v>60</v>
      </c>
      <c r="J11" s="52" t="s">
        <v>61</v>
      </c>
      <c r="K11" s="52" t="s">
        <v>62</v>
      </c>
      <c r="L11" s="52" t="s">
        <v>63</v>
      </c>
      <c r="M11" s="52" t="s">
        <v>64</v>
      </c>
      <c r="N11" s="52" t="s">
        <v>65</v>
      </c>
      <c r="O11" s="52" t="s">
        <v>66</v>
      </c>
      <c r="P11" s="52" t="s">
        <v>67</v>
      </c>
      <c r="Q11" s="52" t="s">
        <v>68</v>
      </c>
      <c r="S11" s="72"/>
      <c r="T11" s="72"/>
      <c r="U11" s="72"/>
      <c r="V11" s="72"/>
      <c r="W11" s="72"/>
      <c r="X11" s="72"/>
      <c r="Y11" s="72"/>
      <c r="Z11" s="72"/>
      <c r="AA11" s="72"/>
      <c r="AB11" s="72"/>
      <c r="AC11" s="72"/>
      <c r="AD11" s="76" t="s">
        <v>84</v>
      </c>
      <c r="AE11" s="77"/>
      <c r="AF11" s="78"/>
      <c r="AG11" s="79"/>
      <c r="AR11" t="s">
        <v>5</v>
      </c>
    </row>
    <row r="12" spans="1:45" x14ac:dyDescent="0.2">
      <c r="C12" s="51">
        <v>0.03</v>
      </c>
      <c r="D12" s="51">
        <v>6.6705423011017492E-2</v>
      </c>
      <c r="E12" s="51">
        <v>0.03</v>
      </c>
      <c r="F12" s="51">
        <v>0.13151816514832046</v>
      </c>
      <c r="G12" s="51">
        <v>0.03</v>
      </c>
      <c r="H12" s="51">
        <v>4.761579383018047E-2</v>
      </c>
      <c r="I12" s="51">
        <v>7.2916727333738315E-2</v>
      </c>
      <c r="J12" s="51">
        <v>0.03</v>
      </c>
      <c r="K12" s="51">
        <v>0.11341859224297889</v>
      </c>
      <c r="L12" s="51">
        <v>6.3060432488491566E-2</v>
      </c>
      <c r="M12" s="51">
        <v>0.03</v>
      </c>
      <c r="N12" s="51">
        <v>5.9441825091572836E-2</v>
      </c>
      <c r="O12" s="51">
        <v>0.15999957610474541</v>
      </c>
      <c r="P12" s="51">
        <v>9.718201958917079E-2</v>
      </c>
      <c r="Q12" s="51">
        <v>3.814144515978355E-2</v>
      </c>
      <c r="R12" s="1"/>
      <c r="S12" s="80">
        <f>SUM(C12:Q12)</f>
        <v>0.99999999999999989</v>
      </c>
      <c r="T12" s="72"/>
      <c r="U12" s="72"/>
      <c r="V12" s="72"/>
      <c r="W12" s="72"/>
      <c r="X12" s="72"/>
      <c r="Y12" s="72"/>
      <c r="Z12" s="72"/>
      <c r="AA12" s="72"/>
      <c r="AB12" s="72"/>
      <c r="AC12" s="72"/>
      <c r="AD12" s="81" t="e">
        <f>STDEV(AD19:AD159)</f>
        <v>#REF!</v>
      </c>
      <c r="AE12" s="77">
        <f>STDEV(AE19:AE159)</f>
        <v>388.63777513442756</v>
      </c>
      <c r="AF12" s="78" t="e">
        <f>(AD12-AE12)/AE12</f>
        <v>#REF!</v>
      </c>
      <c r="AG12" s="79"/>
      <c r="AR12" t="s">
        <v>44</v>
      </c>
    </row>
    <row r="13" spans="1:45" x14ac:dyDescent="0.2">
      <c r="C13" s="58">
        <v>0.16</v>
      </c>
      <c r="D13" s="58">
        <v>0.16</v>
      </c>
      <c r="E13" s="58">
        <v>0.16</v>
      </c>
      <c r="F13" s="58">
        <v>0.16</v>
      </c>
      <c r="G13" s="58">
        <v>0.16</v>
      </c>
      <c r="H13" s="58">
        <v>0.16</v>
      </c>
      <c r="I13" s="58">
        <v>0.16</v>
      </c>
      <c r="J13" s="58">
        <v>0.16</v>
      </c>
      <c r="K13" s="58">
        <v>0.16</v>
      </c>
      <c r="L13" s="58">
        <v>0.16</v>
      </c>
      <c r="M13" s="58">
        <v>0.16</v>
      </c>
      <c r="N13" s="58">
        <v>0.16</v>
      </c>
      <c r="O13" s="58">
        <v>0.16</v>
      </c>
      <c r="P13" s="58">
        <v>0.16</v>
      </c>
      <c r="Q13" s="58">
        <v>0.16</v>
      </c>
      <c r="R13" s="1"/>
      <c r="S13" s="72"/>
      <c r="T13" s="72"/>
      <c r="U13" s="82"/>
      <c r="V13" s="82"/>
      <c r="W13" s="82"/>
      <c r="X13" s="82"/>
      <c r="Y13" s="82"/>
      <c r="Z13" s="82"/>
      <c r="AA13" s="82"/>
      <c r="AB13" s="82"/>
      <c r="AC13" s="83"/>
      <c r="AD13" s="84" t="s">
        <v>4</v>
      </c>
      <c r="AE13" s="85"/>
      <c r="AF13" s="86"/>
      <c r="AG13" s="87"/>
      <c r="AR13" t="s">
        <v>6</v>
      </c>
    </row>
    <row r="14" spans="1:45" x14ac:dyDescent="0.2">
      <c r="A14" s="3" t="s">
        <v>9</v>
      </c>
      <c r="B14" s="40" t="e">
        <f>SUM(B16:B159)/(COUNT(B16:B159)/12)</f>
        <v>#REF!</v>
      </c>
      <c r="C14" s="40" t="e">
        <f t="shared" ref="C14:Q14" si="0">SUM(C16:C159)/(COUNT(C16:C159)/12)</f>
        <v>#REF!</v>
      </c>
      <c r="D14" s="40" t="e">
        <f t="shared" si="0"/>
        <v>#REF!</v>
      </c>
      <c r="E14" s="40" t="e">
        <f t="shared" si="0"/>
        <v>#REF!</v>
      </c>
      <c r="F14" s="40" t="e">
        <f t="shared" si="0"/>
        <v>#REF!</v>
      </c>
      <c r="G14" s="40" t="e">
        <f t="shared" si="0"/>
        <v>#REF!</v>
      </c>
      <c r="H14" s="40" t="e">
        <f t="shared" si="0"/>
        <v>#REF!</v>
      </c>
      <c r="I14" s="40" t="e">
        <f t="shared" si="0"/>
        <v>#REF!</v>
      </c>
      <c r="J14" s="40" t="e">
        <f t="shared" si="0"/>
        <v>#REF!</v>
      </c>
      <c r="K14" s="40" t="e">
        <f t="shared" si="0"/>
        <v>#REF!</v>
      </c>
      <c r="L14" s="40" t="e">
        <f t="shared" si="0"/>
        <v>#REF!</v>
      </c>
      <c r="M14" s="40" t="e">
        <f t="shared" si="0"/>
        <v>#REF!</v>
      </c>
      <c r="N14" s="40" t="e">
        <f t="shared" si="0"/>
        <v>#REF!</v>
      </c>
      <c r="O14" s="40" t="e">
        <f t="shared" si="0"/>
        <v>#REF!</v>
      </c>
      <c r="P14" s="40" t="e">
        <f t="shared" si="0"/>
        <v>#REF!</v>
      </c>
      <c r="Q14" s="40" t="e">
        <f t="shared" si="0"/>
        <v>#REF!</v>
      </c>
      <c r="R14" s="40"/>
      <c r="S14" s="88" t="e">
        <f>SUM(S16:S159)/(COUNT(S16:S159)/12)</f>
        <v>#REF!</v>
      </c>
      <c r="T14" s="89"/>
      <c r="U14" s="90" t="e">
        <f t="shared" ref="U14:AE14" si="1">AVERAGE(U19:U159)</f>
        <v>#REF!</v>
      </c>
      <c r="V14" s="90" t="e">
        <f t="shared" si="1"/>
        <v>#REF!</v>
      </c>
      <c r="W14" s="90" t="e">
        <f t="shared" si="1"/>
        <v>#REF!</v>
      </c>
      <c r="X14" s="90" t="e">
        <f t="shared" si="1"/>
        <v>#REF!</v>
      </c>
      <c r="Y14" s="90" t="e">
        <f t="shared" si="1"/>
        <v>#REF!</v>
      </c>
      <c r="Z14" s="90" t="e">
        <f t="shared" si="1"/>
        <v>#REF!</v>
      </c>
      <c r="AA14" s="90" t="e">
        <f t="shared" si="1"/>
        <v>#REF!</v>
      </c>
      <c r="AB14" s="90" t="e">
        <f t="shared" si="1"/>
        <v>#REF!</v>
      </c>
      <c r="AC14" s="89" t="e">
        <f t="shared" si="1"/>
        <v>#REF!</v>
      </c>
      <c r="AD14" s="91" t="e">
        <f t="shared" si="1"/>
        <v>#REF!</v>
      </c>
      <c r="AE14" s="92">
        <f t="shared" si="1"/>
        <v>591.55555555555554</v>
      </c>
      <c r="AF14" s="78" t="e">
        <f>(AD14-AE14)/AE14</f>
        <v>#REF!</v>
      </c>
      <c r="AG14" s="79"/>
      <c r="AJ14" s="8"/>
      <c r="AK14" s="30" t="s">
        <v>35</v>
      </c>
      <c r="AM14" s="31"/>
      <c r="AN14" s="31"/>
      <c r="AO14" s="31"/>
      <c r="AP14" s="8"/>
      <c r="AQ14" s="30" t="s">
        <v>36</v>
      </c>
      <c r="AR14" s="11"/>
      <c r="AS14" s="11"/>
    </row>
    <row r="15" spans="1:45" x14ac:dyDescent="0.2">
      <c r="A15" s="3"/>
      <c r="B15" s="40"/>
      <c r="C15" s="6"/>
      <c r="D15" s="6"/>
      <c r="E15" s="6"/>
      <c r="F15" s="6"/>
      <c r="G15" s="6"/>
      <c r="H15" s="6"/>
      <c r="I15" s="6"/>
      <c r="J15" s="6"/>
      <c r="K15" s="6"/>
      <c r="L15" s="6"/>
      <c r="M15" s="6"/>
      <c r="N15" s="6"/>
      <c r="O15" s="6"/>
      <c r="P15" s="6"/>
      <c r="Q15" s="6"/>
      <c r="R15" s="6"/>
      <c r="S15" s="89"/>
      <c r="T15" s="89"/>
      <c r="U15" s="93">
        <f>AC3*W3</f>
        <v>550.0005413720279</v>
      </c>
      <c r="V15" s="89"/>
      <c r="W15" s="89"/>
      <c r="X15" s="89"/>
      <c r="Y15" s="89"/>
      <c r="Z15" s="89"/>
      <c r="AA15" s="89"/>
      <c r="AB15" s="93">
        <f>AB4/(1-X6)/AB6*2630</f>
        <v>145.52282468434427</v>
      </c>
      <c r="AC15" s="89"/>
      <c r="AD15" s="89"/>
      <c r="AE15" s="89"/>
      <c r="AF15" s="94"/>
      <c r="AG15" s="94"/>
      <c r="AJ15" s="7"/>
      <c r="AK15" s="32" t="e">
        <f>(AJ17-AK17)/AJ17</f>
        <v>#REF!</v>
      </c>
      <c r="AM15" s="31"/>
      <c r="AN15" s="31" t="s">
        <v>42</v>
      </c>
      <c r="AO15" s="31"/>
      <c r="AP15" s="7"/>
      <c r="AQ15" s="32" t="e">
        <f>(AP17-AQ17)/AP17</f>
        <v>#REF!</v>
      </c>
      <c r="AR15" s="16"/>
      <c r="AS15" s="16"/>
    </row>
    <row r="16" spans="1:45" x14ac:dyDescent="0.2">
      <c r="A16" s="106">
        <v>41214</v>
      </c>
      <c r="B16" s="54" t="e">
        <f>VLOOKUP(MONTH(A16),#REF!,3,FALSE)</f>
        <v>#REF!</v>
      </c>
      <c r="C16" s="105" t="e">
        <f>#REF!</f>
        <v>#REF!</v>
      </c>
      <c r="D16" s="105" t="e">
        <f>#REF!</f>
        <v>#REF!</v>
      </c>
      <c r="E16" s="105" t="e">
        <f>#REF!</f>
        <v>#REF!</v>
      </c>
      <c r="F16" s="105" t="e">
        <f>#REF!</f>
        <v>#REF!</v>
      </c>
      <c r="G16" s="105" t="e">
        <f>#REF!</f>
        <v>#REF!</v>
      </c>
      <c r="H16" s="105" t="e">
        <f>#REF!</f>
        <v>#REF!</v>
      </c>
      <c r="I16" s="105" t="e">
        <f>#REF!</f>
        <v>#REF!</v>
      </c>
      <c r="J16" s="105" t="e">
        <f>#REF!</f>
        <v>#REF!</v>
      </c>
      <c r="K16" s="105" t="e">
        <f>#REF!</f>
        <v>#REF!</v>
      </c>
      <c r="L16" s="105" t="e">
        <f>#REF!</f>
        <v>#REF!</v>
      </c>
      <c r="M16" s="105" t="e">
        <f>#REF!</f>
        <v>#REF!</v>
      </c>
      <c r="N16" s="105" t="e">
        <f>#REF!</f>
        <v>#REF!</v>
      </c>
      <c r="O16" s="105" t="e">
        <f>#REF!</f>
        <v>#REF!</v>
      </c>
      <c r="P16" s="105" t="e">
        <f>#REF!</f>
        <v>#REF!</v>
      </c>
      <c r="Q16" s="105" t="e">
        <f>#REF!</f>
        <v>#REF!</v>
      </c>
      <c r="S16" s="95" t="e">
        <f t="shared" ref="S16:S36" si="2">SUMPRODUCT($C$12:$Q$12,C16:Q16)</f>
        <v>#REF!</v>
      </c>
      <c r="T16" s="95"/>
      <c r="U16" s="72"/>
      <c r="V16" s="72"/>
      <c r="W16" s="72"/>
      <c r="X16" s="72"/>
      <c r="Y16" s="72"/>
      <c r="Z16" s="72"/>
      <c r="AA16" s="72"/>
      <c r="AB16" s="72"/>
      <c r="AC16" s="72"/>
      <c r="AD16" s="72"/>
      <c r="AE16" s="107">
        <v>434</v>
      </c>
      <c r="AF16" s="72"/>
      <c r="AG16" s="72"/>
      <c r="AJ16" s="33" t="s">
        <v>37</v>
      </c>
      <c r="AK16" s="34" t="s">
        <v>38</v>
      </c>
      <c r="AL16" s="35" t="s">
        <v>39</v>
      </c>
      <c r="AM16" s="36" t="s">
        <v>40</v>
      </c>
      <c r="AN16" s="37"/>
      <c r="AO16" s="37"/>
      <c r="AP16" s="33" t="s">
        <v>37</v>
      </c>
      <c r="AQ16" s="34" t="s">
        <v>38</v>
      </c>
      <c r="AR16" s="11"/>
      <c r="AS16" s="11"/>
    </row>
    <row r="17" spans="1:45" x14ac:dyDescent="0.2">
      <c r="A17" s="106">
        <v>41244</v>
      </c>
      <c r="B17" s="54" t="e">
        <f>VLOOKUP(MONTH(A17),#REF!,3,FALSE)</f>
        <v>#REF!</v>
      </c>
      <c r="C17" s="105" t="e">
        <f>#REF!</f>
        <v>#REF!</v>
      </c>
      <c r="D17" s="105" t="e">
        <f>#REF!</f>
        <v>#REF!</v>
      </c>
      <c r="E17" s="105" t="e">
        <f>#REF!</f>
        <v>#REF!</v>
      </c>
      <c r="F17" s="105" t="e">
        <f>#REF!</f>
        <v>#REF!</v>
      </c>
      <c r="G17" s="105" t="e">
        <f>#REF!</f>
        <v>#REF!</v>
      </c>
      <c r="H17" s="105" t="e">
        <f>#REF!</f>
        <v>#REF!</v>
      </c>
      <c r="I17" s="105" t="e">
        <f>#REF!</f>
        <v>#REF!</v>
      </c>
      <c r="J17" s="105" t="e">
        <f>#REF!</f>
        <v>#REF!</v>
      </c>
      <c r="K17" s="105" t="e">
        <f>#REF!</f>
        <v>#REF!</v>
      </c>
      <c r="L17" s="105" t="e">
        <f>#REF!</f>
        <v>#REF!</v>
      </c>
      <c r="M17" s="105" t="e">
        <f>#REF!</f>
        <v>#REF!</v>
      </c>
      <c r="N17" s="105" t="e">
        <f>#REF!</f>
        <v>#REF!</v>
      </c>
      <c r="O17" s="105" t="e">
        <f>#REF!</f>
        <v>#REF!</v>
      </c>
      <c r="P17" s="105" t="e">
        <f>#REF!</f>
        <v>#REF!</v>
      </c>
      <c r="Q17" s="105" t="e">
        <f>#REF!</f>
        <v>#REF!</v>
      </c>
      <c r="S17" s="95" t="e">
        <f t="shared" si="2"/>
        <v>#REF!</v>
      </c>
      <c r="T17" s="95"/>
      <c r="U17" s="72"/>
      <c r="V17" s="72"/>
      <c r="W17" s="72"/>
      <c r="X17" s="72"/>
      <c r="Y17" s="72"/>
      <c r="Z17" s="72"/>
      <c r="AA17" s="72"/>
      <c r="AB17" s="72"/>
      <c r="AC17" s="72"/>
      <c r="AD17" s="72"/>
      <c r="AE17" s="107">
        <v>664</v>
      </c>
      <c r="AF17" s="72"/>
      <c r="AG17" s="72"/>
      <c r="AJ17" s="6">
        <f>SUM(AJ19:AJ159)</f>
        <v>2567668.444444444</v>
      </c>
      <c r="AK17" s="6" t="e">
        <f>SUM(AK19:AK159)</f>
        <v>#REF!</v>
      </c>
      <c r="AL17" s="38"/>
      <c r="AM17" s="39" t="e">
        <f>AVERAGE(AM19:AM159)</f>
        <v>#REF!</v>
      </c>
      <c r="AN17" s="6" t="e">
        <f>SUM(AN19:AN159)</f>
        <v>#REF!</v>
      </c>
      <c r="AO17" s="6">
        <f>SUM(AO19:AO159)</f>
        <v>26467.999999999985</v>
      </c>
      <c r="AP17" s="6">
        <f>SUM(AP19:AP159)</f>
        <v>11254557485.925915</v>
      </c>
      <c r="AQ17" s="6" t="e">
        <f>SUM(AQ19:AQ159)</f>
        <v>#REF!</v>
      </c>
      <c r="AR17" s="46" t="e">
        <f>SUM(AR19:AR159)</f>
        <v>#REF!</v>
      </c>
      <c r="AS17" s="46" t="e">
        <f>1-AVERAGE(AS19:AS159)</f>
        <v>#REF!</v>
      </c>
    </row>
    <row r="18" spans="1:45" x14ac:dyDescent="0.2">
      <c r="A18" s="106">
        <v>41275</v>
      </c>
      <c r="B18" s="54" t="e">
        <f>VLOOKUP(MONTH(A18),#REF!,3,FALSE)</f>
        <v>#REF!</v>
      </c>
      <c r="C18" s="105" t="e">
        <f>#REF!</f>
        <v>#REF!</v>
      </c>
      <c r="D18" s="105" t="e">
        <f>#REF!</f>
        <v>#REF!</v>
      </c>
      <c r="E18" s="105" t="e">
        <f>#REF!</f>
        <v>#REF!</v>
      </c>
      <c r="F18" s="105" t="e">
        <f>#REF!</f>
        <v>#REF!</v>
      </c>
      <c r="G18" s="105" t="e">
        <f>#REF!</f>
        <v>#REF!</v>
      </c>
      <c r="H18" s="105" t="e">
        <f>#REF!</f>
        <v>#REF!</v>
      </c>
      <c r="I18" s="105" t="e">
        <f>#REF!</f>
        <v>#REF!</v>
      </c>
      <c r="J18" s="105" t="e">
        <f>#REF!</f>
        <v>#REF!</v>
      </c>
      <c r="K18" s="105" t="e">
        <f>#REF!</f>
        <v>#REF!</v>
      </c>
      <c r="L18" s="105" t="e">
        <f>#REF!</f>
        <v>#REF!</v>
      </c>
      <c r="M18" s="105" t="e">
        <f>#REF!</f>
        <v>#REF!</v>
      </c>
      <c r="N18" s="105" t="e">
        <f>#REF!</f>
        <v>#REF!</v>
      </c>
      <c r="O18" s="105" t="e">
        <f>#REF!</f>
        <v>#REF!</v>
      </c>
      <c r="P18" s="105" t="e">
        <f>#REF!</f>
        <v>#REF!</v>
      </c>
      <c r="Q18" s="105" t="e">
        <f>#REF!</f>
        <v>#REF!</v>
      </c>
      <c r="S18" s="95" t="e">
        <f t="shared" si="2"/>
        <v>#REF!</v>
      </c>
      <c r="T18" s="95"/>
      <c r="U18" s="72"/>
      <c r="V18" s="72"/>
      <c r="W18" s="72"/>
      <c r="X18" s="72"/>
      <c r="Y18" s="72"/>
      <c r="Z18" s="72"/>
      <c r="AA18" s="72"/>
      <c r="AB18" s="72"/>
      <c r="AC18" s="72"/>
      <c r="AD18" s="72"/>
      <c r="AE18" s="107">
        <v>1813</v>
      </c>
      <c r="AF18" s="72"/>
      <c r="AG18" s="72"/>
      <c r="AJ18" s="9"/>
      <c r="AK18" s="9"/>
      <c r="AL18" s="9"/>
      <c r="AM18" s="40">
        <v>0</v>
      </c>
      <c r="AN18" s="6">
        <v>0</v>
      </c>
      <c r="AO18" s="6">
        <v>0</v>
      </c>
      <c r="AP18" s="6"/>
      <c r="AQ18" s="6"/>
      <c r="AR18" s="6"/>
      <c r="AS18" s="6"/>
    </row>
    <row r="19" spans="1:45" x14ac:dyDescent="0.2">
      <c r="A19" s="106">
        <v>41306</v>
      </c>
      <c r="B19" s="54" t="e">
        <f>VLOOKUP(MONTH(A19),#REF!,3,FALSE)</f>
        <v>#REF!</v>
      </c>
      <c r="C19" s="105" t="e">
        <f>#REF!</f>
        <v>#REF!</v>
      </c>
      <c r="D19" s="105" t="e">
        <f>#REF!</f>
        <v>#REF!</v>
      </c>
      <c r="E19" s="105" t="e">
        <f>#REF!</f>
        <v>#REF!</v>
      </c>
      <c r="F19" s="105" t="e">
        <f>#REF!</f>
        <v>#REF!</v>
      </c>
      <c r="G19" s="105" t="e">
        <f>#REF!</f>
        <v>#REF!</v>
      </c>
      <c r="H19" s="105" t="e">
        <f>#REF!</f>
        <v>#REF!</v>
      </c>
      <c r="I19" s="105" t="e">
        <f>#REF!</f>
        <v>#REF!</v>
      </c>
      <c r="J19" s="105" t="e">
        <f>#REF!</f>
        <v>#REF!</v>
      </c>
      <c r="K19" s="105" t="e">
        <f>#REF!</f>
        <v>#REF!</v>
      </c>
      <c r="L19" s="105" t="e">
        <f>#REF!</f>
        <v>#REF!</v>
      </c>
      <c r="M19" s="105" t="e">
        <f>#REF!</f>
        <v>#REF!</v>
      </c>
      <c r="N19" s="105" t="e">
        <f>#REF!</f>
        <v>#REF!</v>
      </c>
      <c r="O19" s="105" t="e">
        <f>#REF!</f>
        <v>#REF!</v>
      </c>
      <c r="P19" s="105" t="e">
        <f>#REF!</f>
        <v>#REF!</v>
      </c>
      <c r="Q19" s="105" t="e">
        <f>#REF!</f>
        <v>#REF!</v>
      </c>
      <c r="S19" s="95" t="e">
        <f t="shared" si="2"/>
        <v>#REF!</v>
      </c>
      <c r="T19" s="97" t="e">
        <f>(S16*$H$5+S17*$I$5+S18*$J$5+S19*$K$5+S20*$L$5)*$Q$3</f>
        <v>#REF!</v>
      </c>
      <c r="U19" s="93" t="e">
        <f>U15+T19-Y19-Z19-AA19</f>
        <v>#REF!</v>
      </c>
      <c r="V19" s="98">
        <f>U15/$W$3</f>
        <v>0.55000000000000004</v>
      </c>
      <c r="W19" s="93" t="e">
        <f>0.5*(T19-T19*V19^W$4-B19*V19*V10-U15*X$5*V19^4)</f>
        <v>#REF!</v>
      </c>
      <c r="X19" s="98" t="e">
        <f>(U15+W19)/W$3</f>
        <v>#REF!</v>
      </c>
      <c r="Y19" s="93" t="e">
        <f>T19*X19^W$4</f>
        <v>#REF!</v>
      </c>
      <c r="Z19" s="93" t="e">
        <f t="shared" ref="Z19:Z36" si="3">B19*X19*$V$10</f>
        <v>#REF!</v>
      </c>
      <c r="AA19" s="93" t="e">
        <f>U15*X$5*X19^4</f>
        <v>#REF!</v>
      </c>
      <c r="AB19" s="93" t="e">
        <f>AB15-AC19+AA19</f>
        <v>#REF!</v>
      </c>
      <c r="AC19" s="93">
        <f>AB15*(1-X$6)</f>
        <v>18.87794919503143</v>
      </c>
      <c r="AD19" s="120" t="e">
        <f t="shared" ref="AD19:AD36" si="4">(Y19+AC19)*AB$6/2630</f>
        <v>#REF!</v>
      </c>
      <c r="AE19" s="107">
        <v>1654</v>
      </c>
      <c r="AF19" s="94" t="e">
        <f t="shared" ref="AF19:AF36" si="5">(AD19-AE19)/AE19</f>
        <v>#REF!</v>
      </c>
      <c r="AG19" s="93">
        <f t="shared" ref="AG19:AG36" si="6">AC19*AB$6/2630</f>
        <v>400</v>
      </c>
      <c r="AJ19" s="7">
        <f t="shared" ref="AJ19:AJ36" si="7">(AE19-AE$14)^2</f>
        <v>1128788.197530864</v>
      </c>
      <c r="AK19" s="7" t="e">
        <f t="shared" ref="AK19:AK36" si="8">(AE19-AD19)^2</f>
        <v>#REF!</v>
      </c>
      <c r="AL19" s="41" t="e">
        <f t="shared" ref="AL19:AL36" si="9">IF(AD19&lt;AE19,"-","+")</f>
        <v>#REF!</v>
      </c>
      <c r="AM19" s="42" t="e">
        <f t="shared" ref="AM19:AM36" si="10">IF(AL19="-",AM18-1,AM18+1)</f>
        <v>#REF!</v>
      </c>
      <c r="AN19" s="7" t="e">
        <f>AD19-AD$14</f>
        <v>#REF!</v>
      </c>
      <c r="AO19" s="7">
        <f>AE19-AE$14</f>
        <v>1062.4444444444443</v>
      </c>
      <c r="AP19" s="7">
        <f t="shared" ref="AP19:AP36" si="11">(AO19-AO$17)^2</f>
        <v>645442253.08641899</v>
      </c>
      <c r="AQ19" s="7" t="e">
        <f t="shared" ref="AQ19:AQ36" si="12">(AO19-AN19)^2</f>
        <v>#REF!</v>
      </c>
      <c r="AR19" s="5" t="e">
        <f t="shared" ref="AR19:AR36" si="13">((AD19-AE19)/AE19)^2</f>
        <v>#REF!</v>
      </c>
      <c r="AS19" s="5" t="e">
        <f t="shared" ref="AS19:AS36" si="14">ABS((AD19-AE19)/AE19)</f>
        <v>#REF!</v>
      </c>
    </row>
    <row r="20" spans="1:45" x14ac:dyDescent="0.2">
      <c r="A20" s="106">
        <v>41334</v>
      </c>
      <c r="B20" s="54" t="e">
        <f>VLOOKUP(MONTH(A20),#REF!,3,FALSE)</f>
        <v>#REF!</v>
      </c>
      <c r="C20" s="105" t="e">
        <f>#REF!</f>
        <v>#REF!</v>
      </c>
      <c r="D20" s="105" t="e">
        <f>#REF!</f>
        <v>#REF!</v>
      </c>
      <c r="E20" s="105" t="e">
        <f>#REF!</f>
        <v>#REF!</v>
      </c>
      <c r="F20" s="105" t="e">
        <f>#REF!</f>
        <v>#REF!</v>
      </c>
      <c r="G20" s="105" t="e">
        <f>#REF!</f>
        <v>#REF!</v>
      </c>
      <c r="H20" s="105" t="e">
        <f>#REF!</f>
        <v>#REF!</v>
      </c>
      <c r="I20" s="105" t="e">
        <f>#REF!</f>
        <v>#REF!</v>
      </c>
      <c r="J20" s="105" t="e">
        <f>#REF!</f>
        <v>#REF!</v>
      </c>
      <c r="K20" s="105" t="e">
        <f>#REF!</f>
        <v>#REF!</v>
      </c>
      <c r="L20" s="105" t="e">
        <f>#REF!</f>
        <v>#REF!</v>
      </c>
      <c r="M20" s="105" t="e">
        <f>#REF!</f>
        <v>#REF!</v>
      </c>
      <c r="N20" s="105" t="e">
        <f>#REF!</f>
        <v>#REF!</v>
      </c>
      <c r="O20" s="105" t="e">
        <f>#REF!</f>
        <v>#REF!</v>
      </c>
      <c r="P20" s="105" t="e">
        <f>#REF!</f>
        <v>#REF!</v>
      </c>
      <c r="Q20" s="105" t="e">
        <f>#REF!</f>
        <v>#REF!</v>
      </c>
      <c r="S20" s="95" t="e">
        <f t="shared" si="2"/>
        <v>#REF!</v>
      </c>
      <c r="T20" s="97" t="e">
        <f t="shared" ref="T20:T36" si="15">(S17*$H$5+S18*$I$5+S19*$J$5+S20*$K$5+S21*$L$5)*$Q$3</f>
        <v>#REF!</v>
      </c>
      <c r="U20" s="93" t="e">
        <f t="shared" ref="U20:U36" si="16">U19+T20-Y20-Z20-AA20</f>
        <v>#REF!</v>
      </c>
      <c r="V20" s="98" t="e">
        <f>U19/$W$3</f>
        <v>#REF!</v>
      </c>
      <c r="W20" s="93" t="e">
        <f t="shared" ref="W20:W36" si="17">0.5*(T20-T20*V20^W$4-B20*V20*$V$10-U19*X$5*V20^4)</f>
        <v>#REF!</v>
      </c>
      <c r="X20" s="98" t="e">
        <f t="shared" ref="X20:X36" si="18">(U19+W20)/W$3</f>
        <v>#REF!</v>
      </c>
      <c r="Y20" s="93" t="e">
        <f t="shared" ref="Y20:Y36" si="19">T20*X20^W$4</f>
        <v>#REF!</v>
      </c>
      <c r="Z20" s="93" t="e">
        <f t="shared" si="3"/>
        <v>#REF!</v>
      </c>
      <c r="AA20" s="93" t="e">
        <f t="shared" ref="AA20:AA36" si="20">U19*X$5*X20^4</f>
        <v>#REF!</v>
      </c>
      <c r="AB20" s="93" t="e">
        <f t="shared" ref="AB20:AB36" si="21">AB19-AC20+AA20</f>
        <v>#REF!</v>
      </c>
      <c r="AC20" s="93" t="e">
        <f t="shared" ref="AC20:AC36" si="22">AB19*(1-X$6)</f>
        <v>#REF!</v>
      </c>
      <c r="AD20" s="120" t="e">
        <f t="shared" si="4"/>
        <v>#REF!</v>
      </c>
      <c r="AE20" s="107">
        <v>1240</v>
      </c>
      <c r="AF20" s="94" t="e">
        <f t="shared" si="5"/>
        <v>#REF!</v>
      </c>
      <c r="AG20" s="93" t="e">
        <f t="shared" si="6"/>
        <v>#REF!</v>
      </c>
      <c r="AJ20" s="7">
        <f t="shared" si="7"/>
        <v>420480.19753086421</v>
      </c>
      <c r="AK20" s="7" t="e">
        <f t="shared" si="8"/>
        <v>#REF!</v>
      </c>
      <c r="AL20" s="41" t="e">
        <f t="shared" si="9"/>
        <v>#REF!</v>
      </c>
      <c r="AM20" s="42" t="e">
        <f t="shared" si="10"/>
        <v>#REF!</v>
      </c>
      <c r="AN20" s="7" t="e">
        <f t="shared" ref="AN20:AO35" si="23">AD20-AD$14+AN19</f>
        <v>#REF!</v>
      </c>
      <c r="AO20" s="7">
        <f t="shared" si="23"/>
        <v>1710.8888888888887</v>
      </c>
      <c r="AP20" s="7">
        <f t="shared" si="11"/>
        <v>612914550.56790042</v>
      </c>
      <c r="AQ20" s="7" t="e">
        <f t="shared" si="12"/>
        <v>#REF!</v>
      </c>
      <c r="AR20" s="5" t="e">
        <f t="shared" si="13"/>
        <v>#REF!</v>
      </c>
      <c r="AS20" s="5" t="e">
        <f t="shared" si="14"/>
        <v>#REF!</v>
      </c>
    </row>
    <row r="21" spans="1:45" x14ac:dyDescent="0.2">
      <c r="A21" s="106">
        <v>41365</v>
      </c>
      <c r="B21" s="54" t="e">
        <f>VLOOKUP(MONTH(A21),#REF!,3,FALSE)</f>
        <v>#REF!</v>
      </c>
      <c r="C21" s="105" t="e">
        <f>#REF!</f>
        <v>#REF!</v>
      </c>
      <c r="D21" s="105" t="e">
        <f>#REF!</f>
        <v>#REF!</v>
      </c>
      <c r="E21" s="105" t="e">
        <f>#REF!</f>
        <v>#REF!</v>
      </c>
      <c r="F21" s="105" t="e">
        <f>#REF!</f>
        <v>#REF!</v>
      </c>
      <c r="G21" s="105" t="e">
        <f>#REF!</f>
        <v>#REF!</v>
      </c>
      <c r="H21" s="105" t="e">
        <f>#REF!</f>
        <v>#REF!</v>
      </c>
      <c r="I21" s="105" t="e">
        <f>#REF!</f>
        <v>#REF!</v>
      </c>
      <c r="J21" s="105" t="e">
        <f>#REF!</f>
        <v>#REF!</v>
      </c>
      <c r="K21" s="105" t="e">
        <f>#REF!</f>
        <v>#REF!</v>
      </c>
      <c r="L21" s="105" t="e">
        <f>#REF!</f>
        <v>#REF!</v>
      </c>
      <c r="M21" s="105" t="e">
        <f>#REF!</f>
        <v>#REF!</v>
      </c>
      <c r="N21" s="105" t="e">
        <f>#REF!</f>
        <v>#REF!</v>
      </c>
      <c r="O21" s="105" t="e">
        <f>#REF!</f>
        <v>#REF!</v>
      </c>
      <c r="P21" s="105" t="e">
        <f>#REF!</f>
        <v>#REF!</v>
      </c>
      <c r="Q21" s="105" t="e">
        <f>#REF!</f>
        <v>#REF!</v>
      </c>
      <c r="S21" s="95" t="e">
        <f t="shared" si="2"/>
        <v>#REF!</v>
      </c>
      <c r="T21" s="97" t="e">
        <f t="shared" si="15"/>
        <v>#REF!</v>
      </c>
      <c r="U21" s="93" t="e">
        <f t="shared" si="16"/>
        <v>#REF!</v>
      </c>
      <c r="V21" s="98" t="e">
        <f t="shared" ref="V21:V36" si="24">U20/$W$3</f>
        <v>#REF!</v>
      </c>
      <c r="W21" s="93" t="e">
        <f t="shared" si="17"/>
        <v>#REF!</v>
      </c>
      <c r="X21" s="98" t="e">
        <f t="shared" si="18"/>
        <v>#REF!</v>
      </c>
      <c r="Y21" s="93" t="e">
        <f t="shared" si="19"/>
        <v>#REF!</v>
      </c>
      <c r="Z21" s="93" t="e">
        <f t="shared" si="3"/>
        <v>#REF!</v>
      </c>
      <c r="AA21" s="93" t="e">
        <f t="shared" si="20"/>
        <v>#REF!</v>
      </c>
      <c r="AB21" s="93" t="e">
        <f t="shared" si="21"/>
        <v>#REF!</v>
      </c>
      <c r="AC21" s="93" t="e">
        <f t="shared" si="22"/>
        <v>#REF!</v>
      </c>
      <c r="AD21" s="120" t="e">
        <f t="shared" si="4"/>
        <v>#REF!</v>
      </c>
      <c r="AE21" s="107">
        <v>996</v>
      </c>
      <c r="AF21" s="94" t="e">
        <f>(AD21-AE21)/AE21</f>
        <v>#REF!</v>
      </c>
      <c r="AG21" s="93" t="e">
        <f t="shared" si="6"/>
        <v>#REF!</v>
      </c>
      <c r="AJ21" s="7">
        <f t="shared" si="7"/>
        <v>163575.30864197531</v>
      </c>
      <c r="AK21" s="7" t="e">
        <f t="shared" si="8"/>
        <v>#REF!</v>
      </c>
      <c r="AL21" s="41" t="e">
        <f t="shared" si="9"/>
        <v>#REF!</v>
      </c>
      <c r="AM21" s="42" t="e">
        <f t="shared" si="10"/>
        <v>#REF!</v>
      </c>
      <c r="AN21" s="7" t="e">
        <f t="shared" si="23"/>
        <v>#REF!</v>
      </c>
      <c r="AO21" s="7">
        <f t="shared" si="23"/>
        <v>2115.333333333333</v>
      </c>
      <c r="AP21" s="7">
        <f t="shared" si="11"/>
        <v>593052373.77777708</v>
      </c>
      <c r="AQ21" s="7" t="e">
        <f t="shared" si="12"/>
        <v>#REF!</v>
      </c>
      <c r="AR21" s="5" t="e">
        <f t="shared" si="13"/>
        <v>#REF!</v>
      </c>
      <c r="AS21" s="5" t="e">
        <f t="shared" si="14"/>
        <v>#REF!</v>
      </c>
    </row>
    <row r="22" spans="1:45" x14ac:dyDescent="0.2">
      <c r="A22" s="106">
        <v>41395</v>
      </c>
      <c r="B22" s="54" t="e">
        <f>VLOOKUP(MONTH(A22),#REF!,3,FALSE)</f>
        <v>#REF!</v>
      </c>
      <c r="C22" s="105" t="e">
        <f>#REF!</f>
        <v>#REF!</v>
      </c>
      <c r="D22" s="105" t="e">
        <f>#REF!</f>
        <v>#REF!</v>
      </c>
      <c r="E22" s="105" t="e">
        <f>#REF!</f>
        <v>#REF!</v>
      </c>
      <c r="F22" s="105" t="e">
        <f>#REF!</f>
        <v>#REF!</v>
      </c>
      <c r="G22" s="105" t="e">
        <f>#REF!</f>
        <v>#REF!</v>
      </c>
      <c r="H22" s="105" t="e">
        <f>#REF!</f>
        <v>#REF!</v>
      </c>
      <c r="I22" s="105" t="e">
        <f>#REF!</f>
        <v>#REF!</v>
      </c>
      <c r="J22" s="105" t="e">
        <f>#REF!</f>
        <v>#REF!</v>
      </c>
      <c r="K22" s="105" t="e">
        <f>#REF!</f>
        <v>#REF!</v>
      </c>
      <c r="L22" s="105" t="e">
        <f>#REF!</f>
        <v>#REF!</v>
      </c>
      <c r="M22" s="105" t="e">
        <f>#REF!</f>
        <v>#REF!</v>
      </c>
      <c r="N22" s="105" t="e">
        <f>#REF!</f>
        <v>#REF!</v>
      </c>
      <c r="O22" s="105" t="e">
        <f>#REF!</f>
        <v>#REF!</v>
      </c>
      <c r="P22" s="105" t="e">
        <f>#REF!</f>
        <v>#REF!</v>
      </c>
      <c r="Q22" s="105" t="e">
        <f>#REF!</f>
        <v>#REF!</v>
      </c>
      <c r="S22" s="95" t="e">
        <f t="shared" si="2"/>
        <v>#REF!</v>
      </c>
      <c r="T22" s="97" t="e">
        <f t="shared" si="15"/>
        <v>#REF!</v>
      </c>
      <c r="U22" s="93" t="e">
        <f t="shared" si="16"/>
        <v>#REF!</v>
      </c>
      <c r="V22" s="98" t="e">
        <f t="shared" si="24"/>
        <v>#REF!</v>
      </c>
      <c r="W22" s="93" t="e">
        <f t="shared" si="17"/>
        <v>#REF!</v>
      </c>
      <c r="X22" s="98" t="e">
        <f t="shared" si="18"/>
        <v>#REF!</v>
      </c>
      <c r="Y22" s="93" t="e">
        <f t="shared" si="19"/>
        <v>#REF!</v>
      </c>
      <c r="Z22" s="93" t="e">
        <f t="shared" si="3"/>
        <v>#REF!</v>
      </c>
      <c r="AA22" s="93" t="e">
        <f t="shared" si="20"/>
        <v>#REF!</v>
      </c>
      <c r="AB22" s="93" t="e">
        <f t="shared" si="21"/>
        <v>#REF!</v>
      </c>
      <c r="AC22" s="93" t="e">
        <f t="shared" si="22"/>
        <v>#REF!</v>
      </c>
      <c r="AD22" s="120" t="e">
        <f t="shared" si="4"/>
        <v>#REF!</v>
      </c>
      <c r="AE22" s="107">
        <v>620</v>
      </c>
      <c r="AF22" s="94" t="e">
        <f t="shared" si="5"/>
        <v>#REF!</v>
      </c>
      <c r="AG22" s="93" t="e">
        <f t="shared" si="6"/>
        <v>#REF!</v>
      </c>
      <c r="AJ22" s="7">
        <f t="shared" si="7"/>
        <v>809.08641975308717</v>
      </c>
      <c r="AK22" s="7" t="e">
        <f t="shared" si="8"/>
        <v>#REF!</v>
      </c>
      <c r="AL22" s="41" t="e">
        <f t="shared" si="9"/>
        <v>#REF!</v>
      </c>
      <c r="AM22" s="42" t="e">
        <f t="shared" si="10"/>
        <v>#REF!</v>
      </c>
      <c r="AN22" s="7" t="e">
        <f t="shared" si="23"/>
        <v>#REF!</v>
      </c>
      <c r="AO22" s="7">
        <f t="shared" si="23"/>
        <v>2143.7777777777774</v>
      </c>
      <c r="AP22" s="7">
        <f t="shared" si="11"/>
        <v>591667786.71604872</v>
      </c>
      <c r="AQ22" s="7" t="e">
        <f t="shared" si="12"/>
        <v>#REF!</v>
      </c>
      <c r="AR22" s="5" t="e">
        <f t="shared" si="13"/>
        <v>#REF!</v>
      </c>
      <c r="AS22" s="5" t="e">
        <f t="shared" si="14"/>
        <v>#REF!</v>
      </c>
    </row>
    <row r="23" spans="1:45" x14ac:dyDescent="0.2">
      <c r="A23" s="106">
        <v>41426</v>
      </c>
      <c r="B23" s="54" t="e">
        <f>VLOOKUP(MONTH(A23),#REF!,3,FALSE)</f>
        <v>#REF!</v>
      </c>
      <c r="C23" s="105" t="e">
        <f>#REF!</f>
        <v>#REF!</v>
      </c>
      <c r="D23" s="105" t="e">
        <f>#REF!</f>
        <v>#REF!</v>
      </c>
      <c r="E23" s="105" t="e">
        <f>#REF!</f>
        <v>#REF!</v>
      </c>
      <c r="F23" s="105" t="e">
        <f>#REF!</f>
        <v>#REF!</v>
      </c>
      <c r="G23" s="105" t="e">
        <f>#REF!</f>
        <v>#REF!</v>
      </c>
      <c r="H23" s="105" t="e">
        <f>#REF!</f>
        <v>#REF!</v>
      </c>
      <c r="I23" s="105" t="e">
        <f>#REF!</f>
        <v>#REF!</v>
      </c>
      <c r="J23" s="105" t="e">
        <f>#REF!</f>
        <v>#REF!</v>
      </c>
      <c r="K23" s="105" t="e">
        <f>#REF!</f>
        <v>#REF!</v>
      </c>
      <c r="L23" s="105" t="e">
        <f>#REF!</f>
        <v>#REF!</v>
      </c>
      <c r="M23" s="105" t="e">
        <f>#REF!</f>
        <v>#REF!</v>
      </c>
      <c r="N23" s="105" t="e">
        <f>#REF!</f>
        <v>#REF!</v>
      </c>
      <c r="O23" s="105" t="e">
        <f>#REF!</f>
        <v>#REF!</v>
      </c>
      <c r="P23" s="105" t="e">
        <f>#REF!</f>
        <v>#REF!</v>
      </c>
      <c r="Q23" s="105" t="e">
        <f>#REF!</f>
        <v>#REF!</v>
      </c>
      <c r="S23" s="95" t="e">
        <f t="shared" si="2"/>
        <v>#REF!</v>
      </c>
      <c r="T23" s="97" t="e">
        <f t="shared" si="15"/>
        <v>#REF!</v>
      </c>
      <c r="U23" s="93" t="e">
        <f t="shared" si="16"/>
        <v>#REF!</v>
      </c>
      <c r="V23" s="98" t="e">
        <f t="shared" si="24"/>
        <v>#REF!</v>
      </c>
      <c r="W23" s="93" t="e">
        <f t="shared" si="17"/>
        <v>#REF!</v>
      </c>
      <c r="X23" s="98" t="e">
        <f t="shared" si="18"/>
        <v>#REF!</v>
      </c>
      <c r="Y23" s="93" t="e">
        <f t="shared" si="19"/>
        <v>#REF!</v>
      </c>
      <c r="Z23" s="93" t="e">
        <f t="shared" si="3"/>
        <v>#REF!</v>
      </c>
      <c r="AA23" s="93" t="e">
        <f t="shared" si="20"/>
        <v>#REF!</v>
      </c>
      <c r="AB23" s="93" t="e">
        <f t="shared" si="21"/>
        <v>#REF!</v>
      </c>
      <c r="AC23" s="93" t="e">
        <f t="shared" si="22"/>
        <v>#REF!</v>
      </c>
      <c r="AD23" s="120" t="e">
        <f t="shared" si="4"/>
        <v>#REF!</v>
      </c>
      <c r="AE23" s="107">
        <v>647</v>
      </c>
      <c r="AF23" s="94" t="e">
        <f t="shared" si="5"/>
        <v>#REF!</v>
      </c>
      <c r="AG23" s="93" t="e">
        <f t="shared" si="6"/>
        <v>#REF!</v>
      </c>
      <c r="AJ23" s="7">
        <f t="shared" si="7"/>
        <v>3074.0864197530877</v>
      </c>
      <c r="AK23" s="7" t="e">
        <f t="shared" si="8"/>
        <v>#REF!</v>
      </c>
      <c r="AL23" s="41" t="e">
        <f t="shared" si="9"/>
        <v>#REF!</v>
      </c>
      <c r="AM23" s="42" t="e">
        <f t="shared" si="10"/>
        <v>#REF!</v>
      </c>
      <c r="AN23" s="7" t="e">
        <f t="shared" si="23"/>
        <v>#REF!</v>
      </c>
      <c r="AO23" s="7">
        <f t="shared" si="23"/>
        <v>2199.2222222222217</v>
      </c>
      <c r="AP23" s="7">
        <f t="shared" si="11"/>
        <v>588973574.82715976</v>
      </c>
      <c r="AQ23" s="7" t="e">
        <f t="shared" si="12"/>
        <v>#REF!</v>
      </c>
      <c r="AR23" s="5" t="e">
        <f t="shared" si="13"/>
        <v>#REF!</v>
      </c>
      <c r="AS23" s="5" t="e">
        <f t="shared" si="14"/>
        <v>#REF!</v>
      </c>
    </row>
    <row r="24" spans="1:45" x14ac:dyDescent="0.2">
      <c r="A24" s="106">
        <v>41456</v>
      </c>
      <c r="B24" s="54" t="e">
        <f>VLOOKUP(MONTH(A24),#REF!,3,FALSE)</f>
        <v>#REF!</v>
      </c>
      <c r="C24" s="105" t="e">
        <f>#REF!</f>
        <v>#REF!</v>
      </c>
      <c r="D24" s="105" t="e">
        <f>#REF!</f>
        <v>#REF!</v>
      </c>
      <c r="E24" s="105" t="e">
        <f>#REF!</f>
        <v>#REF!</v>
      </c>
      <c r="F24" s="105" t="e">
        <f>#REF!</f>
        <v>#REF!</v>
      </c>
      <c r="G24" s="105" t="e">
        <f>#REF!</f>
        <v>#REF!</v>
      </c>
      <c r="H24" s="105" t="e">
        <f>#REF!</f>
        <v>#REF!</v>
      </c>
      <c r="I24" s="105" t="e">
        <f>#REF!</f>
        <v>#REF!</v>
      </c>
      <c r="J24" s="105" t="e">
        <f>#REF!</f>
        <v>#REF!</v>
      </c>
      <c r="K24" s="105" t="e">
        <f>#REF!</f>
        <v>#REF!</v>
      </c>
      <c r="L24" s="105" t="e">
        <f>#REF!</f>
        <v>#REF!</v>
      </c>
      <c r="M24" s="105" t="e">
        <f>#REF!</f>
        <v>#REF!</v>
      </c>
      <c r="N24" s="105" t="e">
        <f>#REF!</f>
        <v>#REF!</v>
      </c>
      <c r="O24" s="105" t="e">
        <f>#REF!</f>
        <v>#REF!</v>
      </c>
      <c r="P24" s="105" t="e">
        <f>#REF!</f>
        <v>#REF!</v>
      </c>
      <c r="Q24" s="105" t="e">
        <f>#REF!</f>
        <v>#REF!</v>
      </c>
      <c r="S24" s="95" t="e">
        <f t="shared" si="2"/>
        <v>#REF!</v>
      </c>
      <c r="T24" s="97" t="e">
        <f t="shared" si="15"/>
        <v>#REF!</v>
      </c>
      <c r="U24" s="93" t="e">
        <f t="shared" si="16"/>
        <v>#REF!</v>
      </c>
      <c r="V24" s="98" t="e">
        <f t="shared" si="24"/>
        <v>#REF!</v>
      </c>
      <c r="W24" s="93" t="e">
        <f t="shared" si="17"/>
        <v>#REF!</v>
      </c>
      <c r="X24" s="98" t="e">
        <f t="shared" si="18"/>
        <v>#REF!</v>
      </c>
      <c r="Y24" s="93" t="e">
        <f t="shared" si="19"/>
        <v>#REF!</v>
      </c>
      <c r="Z24" s="93" t="e">
        <f t="shared" si="3"/>
        <v>#REF!</v>
      </c>
      <c r="AA24" s="93" t="e">
        <f t="shared" si="20"/>
        <v>#REF!</v>
      </c>
      <c r="AB24" s="93" t="e">
        <f t="shared" si="21"/>
        <v>#REF!</v>
      </c>
      <c r="AC24" s="93" t="e">
        <f t="shared" si="22"/>
        <v>#REF!</v>
      </c>
      <c r="AD24" s="120" t="e">
        <f t="shared" si="4"/>
        <v>#REF!</v>
      </c>
      <c r="AE24" s="107">
        <v>499</v>
      </c>
      <c r="AF24" s="94" t="e">
        <f t="shared" si="5"/>
        <v>#REF!</v>
      </c>
      <c r="AG24" s="93" t="e">
        <f t="shared" si="6"/>
        <v>#REF!</v>
      </c>
      <c r="AJ24" s="7">
        <f t="shared" si="7"/>
        <v>8566.530864197528</v>
      </c>
      <c r="AK24" s="7" t="e">
        <f t="shared" si="8"/>
        <v>#REF!</v>
      </c>
      <c r="AL24" s="41" t="e">
        <f t="shared" si="9"/>
        <v>#REF!</v>
      </c>
      <c r="AM24" s="42" t="e">
        <f t="shared" si="10"/>
        <v>#REF!</v>
      </c>
      <c r="AN24" s="7" t="e">
        <f t="shared" si="23"/>
        <v>#REF!</v>
      </c>
      <c r="AO24" s="7">
        <f t="shared" si="23"/>
        <v>2106.6666666666661</v>
      </c>
      <c r="AP24" s="7">
        <f t="shared" si="11"/>
        <v>593474561.77777719</v>
      </c>
      <c r="AQ24" s="7" t="e">
        <f t="shared" si="12"/>
        <v>#REF!</v>
      </c>
      <c r="AR24" s="5" t="e">
        <f t="shared" si="13"/>
        <v>#REF!</v>
      </c>
      <c r="AS24" s="5" t="e">
        <f t="shared" si="14"/>
        <v>#REF!</v>
      </c>
    </row>
    <row r="25" spans="1:45" x14ac:dyDescent="0.2">
      <c r="A25" s="106">
        <v>41487</v>
      </c>
      <c r="B25" s="54" t="e">
        <f>VLOOKUP(MONTH(A25),#REF!,3,FALSE)</f>
        <v>#REF!</v>
      </c>
      <c r="C25" s="105" t="e">
        <f>#REF!</f>
        <v>#REF!</v>
      </c>
      <c r="D25" s="105" t="e">
        <f>#REF!</f>
        <v>#REF!</v>
      </c>
      <c r="E25" s="105" t="e">
        <f>#REF!</f>
        <v>#REF!</v>
      </c>
      <c r="F25" s="105" t="e">
        <f>#REF!</f>
        <v>#REF!</v>
      </c>
      <c r="G25" s="105" t="e">
        <f>#REF!</f>
        <v>#REF!</v>
      </c>
      <c r="H25" s="105" t="e">
        <f>#REF!</f>
        <v>#REF!</v>
      </c>
      <c r="I25" s="105" t="e">
        <f>#REF!</f>
        <v>#REF!</v>
      </c>
      <c r="J25" s="105" t="e">
        <f>#REF!</f>
        <v>#REF!</v>
      </c>
      <c r="K25" s="105" t="e">
        <f>#REF!</f>
        <v>#REF!</v>
      </c>
      <c r="L25" s="105" t="e">
        <f>#REF!</f>
        <v>#REF!</v>
      </c>
      <c r="M25" s="105" t="e">
        <f>#REF!</f>
        <v>#REF!</v>
      </c>
      <c r="N25" s="105" t="e">
        <f>#REF!</f>
        <v>#REF!</v>
      </c>
      <c r="O25" s="105" t="e">
        <f>#REF!</f>
        <v>#REF!</v>
      </c>
      <c r="P25" s="105" t="e">
        <f>#REF!</f>
        <v>#REF!</v>
      </c>
      <c r="Q25" s="105" t="e">
        <f>#REF!</f>
        <v>#REF!</v>
      </c>
      <c r="S25" s="95" t="e">
        <f t="shared" si="2"/>
        <v>#REF!</v>
      </c>
      <c r="T25" s="97" t="e">
        <f t="shared" si="15"/>
        <v>#REF!</v>
      </c>
      <c r="U25" s="93" t="e">
        <f t="shared" si="16"/>
        <v>#REF!</v>
      </c>
      <c r="V25" s="98" t="e">
        <f t="shared" si="24"/>
        <v>#REF!</v>
      </c>
      <c r="W25" s="93" t="e">
        <f t="shared" si="17"/>
        <v>#REF!</v>
      </c>
      <c r="X25" s="98" t="e">
        <f t="shared" si="18"/>
        <v>#REF!</v>
      </c>
      <c r="Y25" s="93" t="e">
        <f t="shared" si="19"/>
        <v>#REF!</v>
      </c>
      <c r="Z25" s="93" t="e">
        <f t="shared" si="3"/>
        <v>#REF!</v>
      </c>
      <c r="AA25" s="93" t="e">
        <f t="shared" si="20"/>
        <v>#REF!</v>
      </c>
      <c r="AB25" s="93" t="e">
        <f t="shared" si="21"/>
        <v>#REF!</v>
      </c>
      <c r="AC25" s="93" t="e">
        <f t="shared" si="22"/>
        <v>#REF!</v>
      </c>
      <c r="AD25" s="120" t="e">
        <f t="shared" si="4"/>
        <v>#REF!</v>
      </c>
      <c r="AE25" s="107">
        <v>363</v>
      </c>
      <c r="AF25" s="94" t="e">
        <f t="shared" si="5"/>
        <v>#REF!</v>
      </c>
      <c r="AG25" s="93" t="e">
        <f t="shared" si="6"/>
        <v>#REF!</v>
      </c>
      <c r="AJ25" s="7">
        <f t="shared" si="7"/>
        <v>52237.641975308637</v>
      </c>
      <c r="AK25" s="7" t="e">
        <f t="shared" si="8"/>
        <v>#REF!</v>
      </c>
      <c r="AL25" s="41" t="e">
        <f t="shared" si="9"/>
        <v>#REF!</v>
      </c>
      <c r="AM25" s="42" t="e">
        <f t="shared" si="10"/>
        <v>#REF!</v>
      </c>
      <c r="AN25" s="7" t="e">
        <f t="shared" si="23"/>
        <v>#REF!</v>
      </c>
      <c r="AO25" s="7">
        <f t="shared" si="23"/>
        <v>1878.1111111111104</v>
      </c>
      <c r="AP25" s="7">
        <f t="shared" si="11"/>
        <v>604662635.56790066</v>
      </c>
      <c r="AQ25" s="7" t="e">
        <f t="shared" si="12"/>
        <v>#REF!</v>
      </c>
      <c r="AR25" s="5" t="e">
        <f t="shared" si="13"/>
        <v>#REF!</v>
      </c>
      <c r="AS25" s="5" t="e">
        <f t="shared" si="14"/>
        <v>#REF!</v>
      </c>
    </row>
    <row r="26" spans="1:45" x14ac:dyDescent="0.2">
      <c r="A26" s="106">
        <v>41518</v>
      </c>
      <c r="B26" s="54" t="e">
        <f>VLOOKUP(MONTH(A26),#REF!,3,FALSE)</f>
        <v>#REF!</v>
      </c>
      <c r="C26" s="105" t="e">
        <f>#REF!</f>
        <v>#REF!</v>
      </c>
      <c r="D26" s="105" t="e">
        <f>#REF!</f>
        <v>#REF!</v>
      </c>
      <c r="E26" s="105" t="e">
        <f>#REF!</f>
        <v>#REF!</v>
      </c>
      <c r="F26" s="105" t="e">
        <f>#REF!</f>
        <v>#REF!</v>
      </c>
      <c r="G26" s="105" t="e">
        <f>#REF!</f>
        <v>#REF!</v>
      </c>
      <c r="H26" s="105" t="e">
        <f>#REF!</f>
        <v>#REF!</v>
      </c>
      <c r="I26" s="105" t="e">
        <f>#REF!</f>
        <v>#REF!</v>
      </c>
      <c r="J26" s="105" t="e">
        <f>#REF!</f>
        <v>#REF!</v>
      </c>
      <c r="K26" s="105" t="e">
        <f>#REF!</f>
        <v>#REF!</v>
      </c>
      <c r="L26" s="105" t="e">
        <f>#REF!</f>
        <v>#REF!</v>
      </c>
      <c r="M26" s="105" t="e">
        <f>#REF!</f>
        <v>#REF!</v>
      </c>
      <c r="N26" s="105" t="e">
        <f>#REF!</f>
        <v>#REF!</v>
      </c>
      <c r="O26" s="105" t="e">
        <f>#REF!</f>
        <v>#REF!</v>
      </c>
      <c r="P26" s="105" t="e">
        <f>#REF!</f>
        <v>#REF!</v>
      </c>
      <c r="Q26" s="105" t="e">
        <f>#REF!</f>
        <v>#REF!</v>
      </c>
      <c r="S26" s="95" t="e">
        <f t="shared" si="2"/>
        <v>#REF!</v>
      </c>
      <c r="T26" s="97" t="e">
        <f t="shared" si="15"/>
        <v>#REF!</v>
      </c>
      <c r="U26" s="93" t="e">
        <f t="shared" si="16"/>
        <v>#REF!</v>
      </c>
      <c r="V26" s="98" t="e">
        <f t="shared" si="24"/>
        <v>#REF!</v>
      </c>
      <c r="W26" s="93" t="e">
        <f t="shared" si="17"/>
        <v>#REF!</v>
      </c>
      <c r="X26" s="98" t="e">
        <f t="shared" si="18"/>
        <v>#REF!</v>
      </c>
      <c r="Y26" s="93" t="e">
        <f t="shared" si="19"/>
        <v>#REF!</v>
      </c>
      <c r="Z26" s="93" t="e">
        <f t="shared" si="3"/>
        <v>#REF!</v>
      </c>
      <c r="AA26" s="93" t="e">
        <f t="shared" si="20"/>
        <v>#REF!</v>
      </c>
      <c r="AB26" s="93" t="e">
        <f t="shared" si="21"/>
        <v>#REF!</v>
      </c>
      <c r="AC26" s="93" t="e">
        <f t="shared" si="22"/>
        <v>#REF!</v>
      </c>
      <c r="AD26" s="120" t="e">
        <f t="shared" si="4"/>
        <v>#REF!</v>
      </c>
      <c r="AE26" s="107">
        <v>351</v>
      </c>
      <c r="AF26" s="94" t="e">
        <f t="shared" si="5"/>
        <v>#REF!</v>
      </c>
      <c r="AG26" s="93" t="e">
        <f t="shared" si="6"/>
        <v>#REF!</v>
      </c>
      <c r="AJ26" s="7">
        <f t="shared" si="7"/>
        <v>57866.975308641966</v>
      </c>
      <c r="AK26" s="7" t="e">
        <f t="shared" si="8"/>
        <v>#REF!</v>
      </c>
      <c r="AL26" s="41" t="e">
        <f t="shared" si="9"/>
        <v>#REF!</v>
      </c>
      <c r="AM26" s="42" t="e">
        <f t="shared" si="10"/>
        <v>#REF!</v>
      </c>
      <c r="AN26" s="7" t="e">
        <f t="shared" si="23"/>
        <v>#REF!</v>
      </c>
      <c r="AO26" s="7">
        <f t="shared" si="23"/>
        <v>1637.5555555555547</v>
      </c>
      <c r="AP26" s="7">
        <f t="shared" si="11"/>
        <v>616550971.30864131</v>
      </c>
      <c r="AQ26" s="7" t="e">
        <f t="shared" si="12"/>
        <v>#REF!</v>
      </c>
      <c r="AR26" s="5" t="e">
        <f t="shared" si="13"/>
        <v>#REF!</v>
      </c>
      <c r="AS26" s="5" t="e">
        <f t="shared" si="14"/>
        <v>#REF!</v>
      </c>
    </row>
    <row r="27" spans="1:45" x14ac:dyDescent="0.2">
      <c r="A27" s="106">
        <v>41548</v>
      </c>
      <c r="B27" s="54" t="e">
        <f>VLOOKUP(MONTH(A27),#REF!,3,FALSE)</f>
        <v>#REF!</v>
      </c>
      <c r="C27" s="105" t="e">
        <f>#REF!</f>
        <v>#REF!</v>
      </c>
      <c r="D27" s="105" t="e">
        <f>#REF!</f>
        <v>#REF!</v>
      </c>
      <c r="E27" s="105" t="e">
        <f>#REF!</f>
        <v>#REF!</v>
      </c>
      <c r="F27" s="105" t="e">
        <f>#REF!</f>
        <v>#REF!</v>
      </c>
      <c r="G27" s="105" t="e">
        <f>#REF!</f>
        <v>#REF!</v>
      </c>
      <c r="H27" s="105" t="e">
        <f>#REF!</f>
        <v>#REF!</v>
      </c>
      <c r="I27" s="105" t="e">
        <f>#REF!</f>
        <v>#REF!</v>
      </c>
      <c r="J27" s="105" t="e">
        <f>#REF!</f>
        <v>#REF!</v>
      </c>
      <c r="K27" s="105" t="e">
        <f>#REF!</f>
        <v>#REF!</v>
      </c>
      <c r="L27" s="105" t="e">
        <f>#REF!</f>
        <v>#REF!</v>
      </c>
      <c r="M27" s="105" t="e">
        <f>#REF!</f>
        <v>#REF!</v>
      </c>
      <c r="N27" s="105" t="e">
        <f>#REF!</f>
        <v>#REF!</v>
      </c>
      <c r="O27" s="105" t="e">
        <f>#REF!</f>
        <v>#REF!</v>
      </c>
      <c r="P27" s="105" t="e">
        <f>#REF!</f>
        <v>#REF!</v>
      </c>
      <c r="Q27" s="105" t="e">
        <f>#REF!</f>
        <v>#REF!</v>
      </c>
      <c r="S27" s="95" t="e">
        <f t="shared" si="2"/>
        <v>#REF!</v>
      </c>
      <c r="T27" s="97" t="e">
        <f t="shared" si="15"/>
        <v>#REF!</v>
      </c>
      <c r="U27" s="93" t="e">
        <f t="shared" si="16"/>
        <v>#REF!</v>
      </c>
      <c r="V27" s="98" t="e">
        <f t="shared" si="24"/>
        <v>#REF!</v>
      </c>
      <c r="W27" s="93" t="e">
        <f t="shared" si="17"/>
        <v>#REF!</v>
      </c>
      <c r="X27" s="98" t="e">
        <f t="shared" si="18"/>
        <v>#REF!</v>
      </c>
      <c r="Y27" s="93" t="e">
        <f t="shared" si="19"/>
        <v>#REF!</v>
      </c>
      <c r="Z27" s="93" t="e">
        <f t="shared" si="3"/>
        <v>#REF!</v>
      </c>
      <c r="AA27" s="93" t="e">
        <f t="shared" si="20"/>
        <v>#REF!</v>
      </c>
      <c r="AB27" s="93" t="e">
        <f t="shared" si="21"/>
        <v>#REF!</v>
      </c>
      <c r="AC27" s="93" t="e">
        <f t="shared" si="22"/>
        <v>#REF!</v>
      </c>
      <c r="AD27" s="120" t="e">
        <f t="shared" si="4"/>
        <v>#REF!</v>
      </c>
      <c r="AE27" s="107">
        <v>505</v>
      </c>
      <c r="AF27" s="94" t="e">
        <f t="shared" si="5"/>
        <v>#REF!</v>
      </c>
      <c r="AG27" s="93" t="e">
        <f t="shared" si="6"/>
        <v>#REF!</v>
      </c>
      <c r="AJ27" s="7">
        <f t="shared" si="7"/>
        <v>7491.8641975308619</v>
      </c>
      <c r="AK27" s="7" t="e">
        <f t="shared" si="8"/>
        <v>#REF!</v>
      </c>
      <c r="AL27" s="41" t="e">
        <f t="shared" si="9"/>
        <v>#REF!</v>
      </c>
      <c r="AM27" s="42" t="e">
        <f t="shared" si="10"/>
        <v>#REF!</v>
      </c>
      <c r="AN27" s="7" t="e">
        <f t="shared" si="23"/>
        <v>#REF!</v>
      </c>
      <c r="AO27" s="7">
        <f t="shared" si="23"/>
        <v>1550.9999999999991</v>
      </c>
      <c r="AP27" s="7">
        <f t="shared" si="11"/>
        <v>620856888.99999928</v>
      </c>
      <c r="AQ27" s="7" t="e">
        <f t="shared" si="12"/>
        <v>#REF!</v>
      </c>
      <c r="AR27" s="5" t="e">
        <f t="shared" si="13"/>
        <v>#REF!</v>
      </c>
      <c r="AS27" s="5" t="e">
        <f t="shared" si="14"/>
        <v>#REF!</v>
      </c>
    </row>
    <row r="28" spans="1:45" x14ac:dyDescent="0.2">
      <c r="A28" s="106">
        <v>41579</v>
      </c>
      <c r="B28" s="54" t="e">
        <f>VLOOKUP(MONTH(A28),#REF!,3,FALSE)</f>
        <v>#REF!</v>
      </c>
      <c r="C28" s="105" t="e">
        <f>#REF!</f>
        <v>#REF!</v>
      </c>
      <c r="D28" s="105" t="e">
        <f>#REF!</f>
        <v>#REF!</v>
      </c>
      <c r="E28" s="105" t="e">
        <f>#REF!</f>
        <v>#REF!</v>
      </c>
      <c r="F28" s="105" t="e">
        <f>#REF!</f>
        <v>#REF!</v>
      </c>
      <c r="G28" s="105" t="e">
        <f>#REF!</f>
        <v>#REF!</v>
      </c>
      <c r="H28" s="105" t="e">
        <f>#REF!</f>
        <v>#REF!</v>
      </c>
      <c r="I28" s="105" t="e">
        <f>#REF!</f>
        <v>#REF!</v>
      </c>
      <c r="J28" s="105" t="e">
        <f>#REF!</f>
        <v>#REF!</v>
      </c>
      <c r="K28" s="105" t="e">
        <f>#REF!</f>
        <v>#REF!</v>
      </c>
      <c r="L28" s="105" t="e">
        <f>#REF!</f>
        <v>#REF!</v>
      </c>
      <c r="M28" s="105" t="e">
        <f>#REF!</f>
        <v>#REF!</v>
      </c>
      <c r="N28" s="105" t="e">
        <f>#REF!</f>
        <v>#REF!</v>
      </c>
      <c r="O28" s="105" t="e">
        <f>#REF!</f>
        <v>#REF!</v>
      </c>
      <c r="P28" s="105" t="e">
        <f>#REF!</f>
        <v>#REF!</v>
      </c>
      <c r="Q28" s="105" t="e">
        <f>#REF!</f>
        <v>#REF!</v>
      </c>
      <c r="S28" s="95" t="e">
        <f t="shared" si="2"/>
        <v>#REF!</v>
      </c>
      <c r="T28" s="97" t="e">
        <f t="shared" si="15"/>
        <v>#REF!</v>
      </c>
      <c r="U28" s="93" t="e">
        <f t="shared" si="16"/>
        <v>#REF!</v>
      </c>
      <c r="V28" s="98" t="e">
        <f t="shared" si="24"/>
        <v>#REF!</v>
      </c>
      <c r="W28" s="93" t="e">
        <f t="shared" si="17"/>
        <v>#REF!</v>
      </c>
      <c r="X28" s="98" t="e">
        <f t="shared" si="18"/>
        <v>#REF!</v>
      </c>
      <c r="Y28" s="93" t="e">
        <f t="shared" si="19"/>
        <v>#REF!</v>
      </c>
      <c r="Z28" s="93" t="e">
        <f t="shared" si="3"/>
        <v>#REF!</v>
      </c>
      <c r="AA28" s="93" t="e">
        <f t="shared" si="20"/>
        <v>#REF!</v>
      </c>
      <c r="AB28" s="93" t="e">
        <f t="shared" si="21"/>
        <v>#REF!</v>
      </c>
      <c r="AC28" s="93" t="e">
        <f t="shared" si="22"/>
        <v>#REF!</v>
      </c>
      <c r="AD28" s="120" t="e">
        <f t="shared" si="4"/>
        <v>#REF!</v>
      </c>
      <c r="AE28" s="107">
        <v>559</v>
      </c>
      <c r="AF28" s="94" t="e">
        <f>(AD28-AE28)/AE28</f>
        <v>#REF!</v>
      </c>
      <c r="AG28" s="93" t="e">
        <f t="shared" si="6"/>
        <v>#REF!</v>
      </c>
      <c r="AJ28" s="7">
        <f t="shared" si="7"/>
        <v>1059.8641975308633</v>
      </c>
      <c r="AK28" s="7" t="e">
        <f t="shared" si="8"/>
        <v>#REF!</v>
      </c>
      <c r="AL28" s="41" t="e">
        <f t="shared" si="9"/>
        <v>#REF!</v>
      </c>
      <c r="AM28" s="42" t="e">
        <f t="shared" si="10"/>
        <v>#REF!</v>
      </c>
      <c r="AN28" s="7" t="e">
        <f t="shared" si="23"/>
        <v>#REF!</v>
      </c>
      <c r="AO28" s="7">
        <f t="shared" si="23"/>
        <v>1518.4444444444434</v>
      </c>
      <c r="AP28" s="7">
        <f t="shared" si="11"/>
        <v>622480322.41975236</v>
      </c>
      <c r="AQ28" s="7" t="e">
        <f t="shared" si="12"/>
        <v>#REF!</v>
      </c>
      <c r="AR28" s="5" t="e">
        <f t="shared" si="13"/>
        <v>#REF!</v>
      </c>
      <c r="AS28" s="5" t="e">
        <f t="shared" si="14"/>
        <v>#REF!</v>
      </c>
    </row>
    <row r="29" spans="1:45" x14ac:dyDescent="0.2">
      <c r="A29" s="106">
        <v>41609</v>
      </c>
      <c r="B29" s="54" t="e">
        <f>VLOOKUP(MONTH(A29),#REF!,3,FALSE)</f>
        <v>#REF!</v>
      </c>
      <c r="C29" s="105" t="e">
        <f>#REF!</f>
        <v>#REF!</v>
      </c>
      <c r="D29" s="105" t="e">
        <f>#REF!</f>
        <v>#REF!</v>
      </c>
      <c r="E29" s="105" t="e">
        <f>#REF!</f>
        <v>#REF!</v>
      </c>
      <c r="F29" s="105" t="e">
        <f>#REF!</f>
        <v>#REF!</v>
      </c>
      <c r="G29" s="105" t="e">
        <f>#REF!</f>
        <v>#REF!</v>
      </c>
      <c r="H29" s="105" t="e">
        <f>#REF!</f>
        <v>#REF!</v>
      </c>
      <c r="I29" s="105" t="e">
        <f>#REF!</f>
        <v>#REF!</v>
      </c>
      <c r="J29" s="105" t="e">
        <f>#REF!</f>
        <v>#REF!</v>
      </c>
      <c r="K29" s="105" t="e">
        <f>#REF!</f>
        <v>#REF!</v>
      </c>
      <c r="L29" s="105" t="e">
        <f>#REF!</f>
        <v>#REF!</v>
      </c>
      <c r="M29" s="105" t="e">
        <f>#REF!</f>
        <v>#REF!</v>
      </c>
      <c r="N29" s="105" t="e">
        <f>#REF!</f>
        <v>#REF!</v>
      </c>
      <c r="O29" s="105" t="e">
        <f>#REF!</f>
        <v>#REF!</v>
      </c>
      <c r="P29" s="105" t="e">
        <f>#REF!</f>
        <v>#REF!</v>
      </c>
      <c r="Q29" s="105" t="e">
        <f>#REF!</f>
        <v>#REF!</v>
      </c>
      <c r="S29" s="95" t="e">
        <f t="shared" si="2"/>
        <v>#REF!</v>
      </c>
      <c r="T29" s="97" t="e">
        <f t="shared" si="15"/>
        <v>#REF!</v>
      </c>
      <c r="U29" s="93" t="e">
        <f t="shared" si="16"/>
        <v>#REF!</v>
      </c>
      <c r="V29" s="98" t="e">
        <f t="shared" si="24"/>
        <v>#REF!</v>
      </c>
      <c r="W29" s="93" t="e">
        <f t="shared" si="17"/>
        <v>#REF!</v>
      </c>
      <c r="X29" s="98" t="e">
        <f t="shared" si="18"/>
        <v>#REF!</v>
      </c>
      <c r="Y29" s="93" t="e">
        <f t="shared" si="19"/>
        <v>#REF!</v>
      </c>
      <c r="Z29" s="93" t="e">
        <f t="shared" si="3"/>
        <v>#REF!</v>
      </c>
      <c r="AA29" s="93" t="e">
        <f t="shared" si="20"/>
        <v>#REF!</v>
      </c>
      <c r="AB29" s="93" t="e">
        <f t="shared" si="21"/>
        <v>#REF!</v>
      </c>
      <c r="AC29" s="93" t="e">
        <f t="shared" si="22"/>
        <v>#REF!</v>
      </c>
      <c r="AD29" s="120" t="e">
        <f t="shared" si="4"/>
        <v>#REF!</v>
      </c>
      <c r="AE29" s="107">
        <v>979</v>
      </c>
      <c r="AF29" s="94" t="e">
        <f t="shared" si="5"/>
        <v>#REF!</v>
      </c>
      <c r="AG29" s="93" t="e">
        <f t="shared" si="6"/>
        <v>#REF!</v>
      </c>
      <c r="AJ29" s="7">
        <f t="shared" si="7"/>
        <v>150113.19753086421</v>
      </c>
      <c r="AK29" s="7" t="e">
        <f t="shared" si="8"/>
        <v>#REF!</v>
      </c>
      <c r="AL29" s="41" t="e">
        <f t="shared" si="9"/>
        <v>#REF!</v>
      </c>
      <c r="AM29" s="42" t="e">
        <f t="shared" si="10"/>
        <v>#REF!</v>
      </c>
      <c r="AN29" s="7" t="e">
        <f t="shared" si="23"/>
        <v>#REF!</v>
      </c>
      <c r="AO29" s="7">
        <f t="shared" si="23"/>
        <v>1905.8888888888878</v>
      </c>
      <c r="AP29" s="7">
        <f t="shared" si="11"/>
        <v>603297302.23456728</v>
      </c>
      <c r="AQ29" s="7" t="e">
        <f t="shared" si="12"/>
        <v>#REF!</v>
      </c>
      <c r="AR29" s="5" t="e">
        <f t="shared" si="13"/>
        <v>#REF!</v>
      </c>
      <c r="AS29" s="5" t="e">
        <f t="shared" si="14"/>
        <v>#REF!</v>
      </c>
    </row>
    <row r="30" spans="1:45" x14ac:dyDescent="0.2">
      <c r="A30" s="106">
        <v>41640</v>
      </c>
      <c r="B30" s="54" t="e">
        <f>VLOOKUP(MONTH(A30),#REF!,3,FALSE)</f>
        <v>#REF!</v>
      </c>
      <c r="C30" s="105" t="e">
        <f>#REF!</f>
        <v>#REF!</v>
      </c>
      <c r="D30" s="105" t="e">
        <f>#REF!</f>
        <v>#REF!</v>
      </c>
      <c r="E30" s="105" t="e">
        <f>#REF!</f>
        <v>#REF!</v>
      </c>
      <c r="F30" s="105" t="e">
        <f>#REF!</f>
        <v>#REF!</v>
      </c>
      <c r="G30" s="105" t="e">
        <f>#REF!</f>
        <v>#REF!</v>
      </c>
      <c r="H30" s="105" t="e">
        <f>#REF!</f>
        <v>#REF!</v>
      </c>
      <c r="I30" s="105" t="e">
        <f>#REF!</f>
        <v>#REF!</v>
      </c>
      <c r="J30" s="105" t="e">
        <f>#REF!</f>
        <v>#REF!</v>
      </c>
      <c r="K30" s="105" t="e">
        <f>#REF!</f>
        <v>#REF!</v>
      </c>
      <c r="L30" s="105" t="e">
        <f>#REF!</f>
        <v>#REF!</v>
      </c>
      <c r="M30" s="105" t="e">
        <f>#REF!</f>
        <v>#REF!</v>
      </c>
      <c r="N30" s="105" t="e">
        <f>#REF!</f>
        <v>#REF!</v>
      </c>
      <c r="O30" s="105" t="e">
        <f>#REF!</f>
        <v>#REF!</v>
      </c>
      <c r="P30" s="105" t="e">
        <f>#REF!</f>
        <v>#REF!</v>
      </c>
      <c r="Q30" s="105" t="e">
        <f>#REF!</f>
        <v>#REF!</v>
      </c>
      <c r="S30" s="95" t="e">
        <f t="shared" si="2"/>
        <v>#REF!</v>
      </c>
      <c r="T30" s="97" t="e">
        <f t="shared" si="15"/>
        <v>#REF!</v>
      </c>
      <c r="U30" s="93" t="e">
        <f t="shared" si="16"/>
        <v>#REF!</v>
      </c>
      <c r="V30" s="98" t="e">
        <f t="shared" si="24"/>
        <v>#REF!</v>
      </c>
      <c r="W30" s="93" t="e">
        <f t="shared" si="17"/>
        <v>#REF!</v>
      </c>
      <c r="X30" s="98" t="e">
        <f t="shared" si="18"/>
        <v>#REF!</v>
      </c>
      <c r="Y30" s="93" t="e">
        <f t="shared" si="19"/>
        <v>#REF!</v>
      </c>
      <c r="Z30" s="93" t="e">
        <f t="shared" si="3"/>
        <v>#REF!</v>
      </c>
      <c r="AA30" s="93" t="e">
        <f t="shared" si="20"/>
        <v>#REF!</v>
      </c>
      <c r="AB30" s="93" t="e">
        <f t="shared" si="21"/>
        <v>#REF!</v>
      </c>
      <c r="AC30" s="93" t="e">
        <f t="shared" si="22"/>
        <v>#REF!</v>
      </c>
      <c r="AD30" s="120" t="e">
        <f t="shared" si="4"/>
        <v>#REF!</v>
      </c>
      <c r="AE30" s="107">
        <v>496</v>
      </c>
      <c r="AF30" s="94" t="e">
        <f t="shared" si="5"/>
        <v>#REF!</v>
      </c>
      <c r="AG30" s="93" t="e">
        <f t="shared" si="6"/>
        <v>#REF!</v>
      </c>
      <c r="AJ30" s="7">
        <f t="shared" si="7"/>
        <v>9130.8641975308619</v>
      </c>
      <c r="AK30" s="7" t="e">
        <f t="shared" si="8"/>
        <v>#REF!</v>
      </c>
      <c r="AL30" s="41" t="e">
        <f t="shared" si="9"/>
        <v>#REF!</v>
      </c>
      <c r="AM30" s="42" t="e">
        <f t="shared" si="10"/>
        <v>#REF!</v>
      </c>
      <c r="AN30" s="7" t="e">
        <f t="shared" si="23"/>
        <v>#REF!</v>
      </c>
      <c r="AO30" s="7">
        <f t="shared" si="23"/>
        <v>1810.3333333333321</v>
      </c>
      <c r="AP30" s="7">
        <f t="shared" si="11"/>
        <v>608000525.44444382</v>
      </c>
      <c r="AQ30" s="7" t="e">
        <f t="shared" si="12"/>
        <v>#REF!</v>
      </c>
      <c r="AR30" s="5" t="e">
        <f t="shared" si="13"/>
        <v>#REF!</v>
      </c>
      <c r="AS30" s="5" t="e">
        <f t="shared" si="14"/>
        <v>#REF!</v>
      </c>
    </row>
    <row r="31" spans="1:45" x14ac:dyDescent="0.2">
      <c r="A31" s="106">
        <v>41671</v>
      </c>
      <c r="B31" s="54" t="e">
        <f>VLOOKUP(MONTH(A31),#REF!,3,FALSE)</f>
        <v>#REF!</v>
      </c>
      <c r="C31" s="105" t="e">
        <f>#REF!</f>
        <v>#REF!</v>
      </c>
      <c r="D31" s="105" t="e">
        <f>#REF!</f>
        <v>#REF!</v>
      </c>
      <c r="E31" s="105" t="e">
        <f>#REF!</f>
        <v>#REF!</v>
      </c>
      <c r="F31" s="105" t="e">
        <f>#REF!</f>
        <v>#REF!</v>
      </c>
      <c r="G31" s="105" t="e">
        <f>#REF!</f>
        <v>#REF!</v>
      </c>
      <c r="H31" s="105" t="e">
        <f>#REF!</f>
        <v>#REF!</v>
      </c>
      <c r="I31" s="105" t="e">
        <f>#REF!</f>
        <v>#REF!</v>
      </c>
      <c r="J31" s="105" t="e">
        <f>#REF!</f>
        <v>#REF!</v>
      </c>
      <c r="K31" s="105" t="e">
        <f>#REF!</f>
        <v>#REF!</v>
      </c>
      <c r="L31" s="105" t="e">
        <f>#REF!</f>
        <v>#REF!</v>
      </c>
      <c r="M31" s="105" t="e">
        <f>#REF!</f>
        <v>#REF!</v>
      </c>
      <c r="N31" s="105" t="e">
        <f>#REF!</f>
        <v>#REF!</v>
      </c>
      <c r="O31" s="105" t="e">
        <f>#REF!</f>
        <v>#REF!</v>
      </c>
      <c r="P31" s="105" t="e">
        <f>#REF!</f>
        <v>#REF!</v>
      </c>
      <c r="Q31" s="105" t="e">
        <f>#REF!</f>
        <v>#REF!</v>
      </c>
      <c r="S31" s="95" t="e">
        <f t="shared" si="2"/>
        <v>#REF!</v>
      </c>
      <c r="T31" s="97" t="e">
        <f t="shared" si="15"/>
        <v>#REF!</v>
      </c>
      <c r="U31" s="93" t="e">
        <f t="shared" si="16"/>
        <v>#REF!</v>
      </c>
      <c r="V31" s="98" t="e">
        <f t="shared" si="24"/>
        <v>#REF!</v>
      </c>
      <c r="W31" s="93" t="e">
        <f t="shared" si="17"/>
        <v>#REF!</v>
      </c>
      <c r="X31" s="98" t="e">
        <f t="shared" si="18"/>
        <v>#REF!</v>
      </c>
      <c r="Y31" s="93" t="e">
        <f t="shared" si="19"/>
        <v>#REF!</v>
      </c>
      <c r="Z31" s="93" t="e">
        <f t="shared" si="3"/>
        <v>#REF!</v>
      </c>
      <c r="AA31" s="93" t="e">
        <f t="shared" si="20"/>
        <v>#REF!</v>
      </c>
      <c r="AB31" s="93" t="e">
        <f t="shared" si="21"/>
        <v>#REF!</v>
      </c>
      <c r="AC31" s="93" t="e">
        <f t="shared" si="22"/>
        <v>#REF!</v>
      </c>
      <c r="AD31" s="120" t="e">
        <f t="shared" si="4"/>
        <v>#REF!</v>
      </c>
      <c r="AE31" s="107">
        <v>273</v>
      </c>
      <c r="AF31" s="94" t="e">
        <f t="shared" si="5"/>
        <v>#REF!</v>
      </c>
      <c r="AG31" s="93" t="e">
        <f t="shared" si="6"/>
        <v>#REF!</v>
      </c>
      <c r="AJ31" s="7">
        <f t="shared" si="7"/>
        <v>101477.64197530864</v>
      </c>
      <c r="AK31" s="7" t="e">
        <f t="shared" si="8"/>
        <v>#REF!</v>
      </c>
      <c r="AL31" s="41" t="e">
        <f t="shared" si="9"/>
        <v>#REF!</v>
      </c>
      <c r="AM31" s="42" t="e">
        <f t="shared" si="10"/>
        <v>#REF!</v>
      </c>
      <c r="AN31" s="7" t="e">
        <f t="shared" si="23"/>
        <v>#REF!</v>
      </c>
      <c r="AO31" s="7">
        <f t="shared" si="23"/>
        <v>1491.7777777777765</v>
      </c>
      <c r="AP31" s="7">
        <f t="shared" si="11"/>
        <v>623811676.49382651</v>
      </c>
      <c r="AQ31" s="7" t="e">
        <f t="shared" si="12"/>
        <v>#REF!</v>
      </c>
      <c r="AR31" s="5" t="e">
        <f t="shared" si="13"/>
        <v>#REF!</v>
      </c>
      <c r="AS31" s="5" t="e">
        <f t="shared" si="14"/>
        <v>#REF!</v>
      </c>
    </row>
    <row r="32" spans="1:45" x14ac:dyDescent="0.2">
      <c r="A32" s="106">
        <v>41699</v>
      </c>
      <c r="B32" s="54" t="e">
        <f>VLOOKUP(MONTH(A32),#REF!,3,FALSE)</f>
        <v>#REF!</v>
      </c>
      <c r="C32" s="105" t="e">
        <f>#REF!</f>
        <v>#REF!</v>
      </c>
      <c r="D32" s="105" t="e">
        <f>#REF!</f>
        <v>#REF!</v>
      </c>
      <c r="E32" s="105" t="e">
        <f>#REF!</f>
        <v>#REF!</v>
      </c>
      <c r="F32" s="105" t="e">
        <f>#REF!</f>
        <v>#REF!</v>
      </c>
      <c r="G32" s="105" t="e">
        <f>#REF!</f>
        <v>#REF!</v>
      </c>
      <c r="H32" s="105" t="e">
        <f>#REF!</f>
        <v>#REF!</v>
      </c>
      <c r="I32" s="105" t="e">
        <f>#REF!</f>
        <v>#REF!</v>
      </c>
      <c r="J32" s="105" t="e">
        <f>#REF!</f>
        <v>#REF!</v>
      </c>
      <c r="K32" s="105" t="e">
        <f>#REF!</f>
        <v>#REF!</v>
      </c>
      <c r="L32" s="105" t="e">
        <f>#REF!</f>
        <v>#REF!</v>
      </c>
      <c r="M32" s="105" t="e">
        <f>#REF!</f>
        <v>#REF!</v>
      </c>
      <c r="N32" s="105" t="e">
        <f>#REF!</f>
        <v>#REF!</v>
      </c>
      <c r="O32" s="105" t="e">
        <f>#REF!</f>
        <v>#REF!</v>
      </c>
      <c r="P32" s="105" t="e">
        <f>#REF!</f>
        <v>#REF!</v>
      </c>
      <c r="Q32" s="105" t="e">
        <f>#REF!</f>
        <v>#REF!</v>
      </c>
      <c r="S32" s="95" t="e">
        <f t="shared" si="2"/>
        <v>#REF!</v>
      </c>
      <c r="T32" s="97" t="e">
        <f t="shared" si="15"/>
        <v>#REF!</v>
      </c>
      <c r="U32" s="93" t="e">
        <f t="shared" si="16"/>
        <v>#REF!</v>
      </c>
      <c r="V32" s="98" t="e">
        <f t="shared" si="24"/>
        <v>#REF!</v>
      </c>
      <c r="W32" s="93" t="e">
        <f t="shared" si="17"/>
        <v>#REF!</v>
      </c>
      <c r="X32" s="98" t="e">
        <f t="shared" si="18"/>
        <v>#REF!</v>
      </c>
      <c r="Y32" s="93" t="e">
        <f t="shared" si="19"/>
        <v>#REF!</v>
      </c>
      <c r="Z32" s="93" t="e">
        <f t="shared" si="3"/>
        <v>#REF!</v>
      </c>
      <c r="AA32" s="93" t="e">
        <f t="shared" si="20"/>
        <v>#REF!</v>
      </c>
      <c r="AB32" s="93" t="e">
        <f t="shared" si="21"/>
        <v>#REF!</v>
      </c>
      <c r="AC32" s="93" t="e">
        <f t="shared" si="22"/>
        <v>#REF!</v>
      </c>
      <c r="AD32" s="120" t="e">
        <f t="shared" si="4"/>
        <v>#REF!</v>
      </c>
      <c r="AE32" s="107">
        <v>335</v>
      </c>
      <c r="AF32" s="94" t="e">
        <f t="shared" si="5"/>
        <v>#REF!</v>
      </c>
      <c r="AG32" s="93" t="e">
        <f t="shared" si="6"/>
        <v>#REF!</v>
      </c>
      <c r="AJ32" s="7">
        <f t="shared" si="7"/>
        <v>65820.753086419747</v>
      </c>
      <c r="AK32" s="7" t="e">
        <f t="shared" si="8"/>
        <v>#REF!</v>
      </c>
      <c r="AL32" s="41" t="e">
        <f t="shared" si="9"/>
        <v>#REF!</v>
      </c>
      <c r="AM32" s="42" t="e">
        <f t="shared" si="10"/>
        <v>#REF!</v>
      </c>
      <c r="AN32" s="7" t="e">
        <f t="shared" si="23"/>
        <v>#REF!</v>
      </c>
      <c r="AO32" s="7">
        <f t="shared" si="23"/>
        <v>1235.2222222222208</v>
      </c>
      <c r="AP32" s="7">
        <f t="shared" si="11"/>
        <v>636693074.38271546</v>
      </c>
      <c r="AQ32" s="7" t="e">
        <f t="shared" si="12"/>
        <v>#REF!</v>
      </c>
      <c r="AR32" s="5" t="e">
        <f t="shared" si="13"/>
        <v>#REF!</v>
      </c>
      <c r="AS32" s="5" t="e">
        <f t="shared" si="14"/>
        <v>#REF!</v>
      </c>
    </row>
    <row r="33" spans="1:45" x14ac:dyDescent="0.2">
      <c r="A33" s="106">
        <v>41730</v>
      </c>
      <c r="B33" s="54" t="e">
        <f>VLOOKUP(MONTH(A33),#REF!,3,FALSE)</f>
        <v>#REF!</v>
      </c>
      <c r="C33" s="105" t="e">
        <f>#REF!</f>
        <v>#REF!</v>
      </c>
      <c r="D33" s="105" t="e">
        <f>#REF!</f>
        <v>#REF!</v>
      </c>
      <c r="E33" s="105" t="e">
        <f>#REF!</f>
        <v>#REF!</v>
      </c>
      <c r="F33" s="105" t="e">
        <f>#REF!</f>
        <v>#REF!</v>
      </c>
      <c r="G33" s="105" t="e">
        <f>#REF!</f>
        <v>#REF!</v>
      </c>
      <c r="H33" s="105" t="e">
        <f>#REF!</f>
        <v>#REF!</v>
      </c>
      <c r="I33" s="105" t="e">
        <f>#REF!</f>
        <v>#REF!</v>
      </c>
      <c r="J33" s="105" t="e">
        <f>#REF!</f>
        <v>#REF!</v>
      </c>
      <c r="K33" s="105" t="e">
        <f>#REF!</f>
        <v>#REF!</v>
      </c>
      <c r="L33" s="105" t="e">
        <f>#REF!</f>
        <v>#REF!</v>
      </c>
      <c r="M33" s="105" t="e">
        <f>#REF!</f>
        <v>#REF!</v>
      </c>
      <c r="N33" s="105" t="e">
        <f>#REF!</f>
        <v>#REF!</v>
      </c>
      <c r="O33" s="105" t="e">
        <f>#REF!</f>
        <v>#REF!</v>
      </c>
      <c r="P33" s="105" t="e">
        <f>#REF!</f>
        <v>#REF!</v>
      </c>
      <c r="Q33" s="105" t="e">
        <f>#REF!</f>
        <v>#REF!</v>
      </c>
      <c r="S33" s="95" t="e">
        <f t="shared" si="2"/>
        <v>#REF!</v>
      </c>
      <c r="T33" s="97" t="e">
        <f t="shared" si="15"/>
        <v>#REF!</v>
      </c>
      <c r="U33" s="93" t="e">
        <f t="shared" si="16"/>
        <v>#REF!</v>
      </c>
      <c r="V33" s="98" t="e">
        <f t="shared" si="24"/>
        <v>#REF!</v>
      </c>
      <c r="W33" s="93" t="e">
        <f t="shared" si="17"/>
        <v>#REF!</v>
      </c>
      <c r="X33" s="98" t="e">
        <f t="shared" si="18"/>
        <v>#REF!</v>
      </c>
      <c r="Y33" s="93" t="e">
        <f t="shared" si="19"/>
        <v>#REF!</v>
      </c>
      <c r="Z33" s="93" t="e">
        <f t="shared" si="3"/>
        <v>#REF!</v>
      </c>
      <c r="AA33" s="93" t="e">
        <f t="shared" si="20"/>
        <v>#REF!</v>
      </c>
      <c r="AB33" s="93" t="e">
        <f t="shared" si="21"/>
        <v>#REF!</v>
      </c>
      <c r="AC33" s="93" t="e">
        <f t="shared" si="22"/>
        <v>#REF!</v>
      </c>
      <c r="AD33" s="120" t="e">
        <f t="shared" si="4"/>
        <v>#REF!</v>
      </c>
      <c r="AE33" s="107">
        <v>389</v>
      </c>
      <c r="AF33" s="94" t="e">
        <f t="shared" si="5"/>
        <v>#REF!</v>
      </c>
      <c r="AG33" s="93" t="e">
        <f t="shared" si="6"/>
        <v>#REF!</v>
      </c>
      <c r="AJ33" s="7">
        <f t="shared" si="7"/>
        <v>41028.753086419747</v>
      </c>
      <c r="AK33" s="7" t="e">
        <f t="shared" si="8"/>
        <v>#REF!</v>
      </c>
      <c r="AL33" s="41" t="e">
        <f t="shared" si="9"/>
        <v>#REF!</v>
      </c>
      <c r="AM33" s="42" t="e">
        <f t="shared" si="10"/>
        <v>#REF!</v>
      </c>
      <c r="AN33" s="7" t="e">
        <f t="shared" si="23"/>
        <v>#REF!</v>
      </c>
      <c r="AO33" s="7">
        <f t="shared" si="23"/>
        <v>1032.6666666666652</v>
      </c>
      <c r="AP33" s="7">
        <f t="shared" si="11"/>
        <v>646956181.77777719</v>
      </c>
      <c r="AQ33" s="7" t="e">
        <f t="shared" si="12"/>
        <v>#REF!</v>
      </c>
      <c r="AR33" s="5" t="e">
        <f t="shared" si="13"/>
        <v>#REF!</v>
      </c>
      <c r="AS33" s="5" t="e">
        <f t="shared" si="14"/>
        <v>#REF!</v>
      </c>
    </row>
    <row r="34" spans="1:45" x14ac:dyDescent="0.2">
      <c r="A34" s="106">
        <v>41760</v>
      </c>
      <c r="B34" s="54" t="e">
        <f>VLOOKUP(MONTH(A34),#REF!,3,FALSE)</f>
        <v>#REF!</v>
      </c>
      <c r="C34" s="105" t="e">
        <f>#REF!</f>
        <v>#REF!</v>
      </c>
      <c r="D34" s="105" t="e">
        <f>#REF!</f>
        <v>#REF!</v>
      </c>
      <c r="E34" s="105" t="e">
        <f>#REF!</f>
        <v>#REF!</v>
      </c>
      <c r="F34" s="105" t="e">
        <f>#REF!</f>
        <v>#REF!</v>
      </c>
      <c r="G34" s="105" t="e">
        <f>#REF!</f>
        <v>#REF!</v>
      </c>
      <c r="H34" s="105" t="e">
        <f>#REF!</f>
        <v>#REF!</v>
      </c>
      <c r="I34" s="105" t="e">
        <f>#REF!</f>
        <v>#REF!</v>
      </c>
      <c r="J34" s="105" t="e">
        <f>#REF!</f>
        <v>#REF!</v>
      </c>
      <c r="K34" s="105" t="e">
        <f>#REF!</f>
        <v>#REF!</v>
      </c>
      <c r="L34" s="105" t="e">
        <f>#REF!</f>
        <v>#REF!</v>
      </c>
      <c r="M34" s="105" t="e">
        <f>#REF!</f>
        <v>#REF!</v>
      </c>
      <c r="N34" s="105" t="e">
        <f>#REF!</f>
        <v>#REF!</v>
      </c>
      <c r="O34" s="105" t="e">
        <f>#REF!</f>
        <v>#REF!</v>
      </c>
      <c r="P34" s="105" t="e">
        <f>#REF!</f>
        <v>#REF!</v>
      </c>
      <c r="Q34" s="105" t="e">
        <f>#REF!</f>
        <v>#REF!</v>
      </c>
      <c r="S34" s="95" t="e">
        <f t="shared" si="2"/>
        <v>#REF!</v>
      </c>
      <c r="T34" s="97" t="e">
        <f t="shared" si="15"/>
        <v>#REF!</v>
      </c>
      <c r="U34" s="93" t="e">
        <f t="shared" si="16"/>
        <v>#REF!</v>
      </c>
      <c r="V34" s="98" t="e">
        <f t="shared" si="24"/>
        <v>#REF!</v>
      </c>
      <c r="W34" s="93" t="e">
        <f t="shared" si="17"/>
        <v>#REF!</v>
      </c>
      <c r="X34" s="98" t="e">
        <f t="shared" si="18"/>
        <v>#REF!</v>
      </c>
      <c r="Y34" s="93" t="e">
        <f t="shared" si="19"/>
        <v>#REF!</v>
      </c>
      <c r="Z34" s="93" t="e">
        <f t="shared" si="3"/>
        <v>#REF!</v>
      </c>
      <c r="AA34" s="93" t="e">
        <f t="shared" si="20"/>
        <v>#REF!</v>
      </c>
      <c r="AB34" s="93" t="e">
        <f t="shared" si="21"/>
        <v>#REF!</v>
      </c>
      <c r="AC34" s="93" t="e">
        <f t="shared" si="22"/>
        <v>#REF!</v>
      </c>
      <c r="AD34" s="120" t="e">
        <f t="shared" si="4"/>
        <v>#REF!</v>
      </c>
      <c r="AE34" s="107">
        <v>263</v>
      </c>
      <c r="AF34" s="94" t="e">
        <f t="shared" si="5"/>
        <v>#REF!</v>
      </c>
      <c r="AG34" s="93" t="e">
        <f t="shared" si="6"/>
        <v>#REF!</v>
      </c>
      <c r="AJ34" s="7">
        <f t="shared" si="7"/>
        <v>107948.75308641975</v>
      </c>
      <c r="AK34" s="7" t="e">
        <f t="shared" si="8"/>
        <v>#REF!</v>
      </c>
      <c r="AL34" s="41" t="e">
        <f t="shared" si="9"/>
        <v>#REF!</v>
      </c>
      <c r="AM34" s="42" t="e">
        <f t="shared" si="10"/>
        <v>#REF!</v>
      </c>
      <c r="AN34" s="7" t="e">
        <f t="shared" si="23"/>
        <v>#REF!</v>
      </c>
      <c r="AO34" s="7">
        <f t="shared" si="23"/>
        <v>704.11111111110961</v>
      </c>
      <c r="AP34" s="7">
        <f t="shared" si="11"/>
        <v>663777970.6790117</v>
      </c>
      <c r="AQ34" s="7" t="e">
        <f t="shared" si="12"/>
        <v>#REF!</v>
      </c>
      <c r="AR34" s="5" t="e">
        <f t="shared" si="13"/>
        <v>#REF!</v>
      </c>
      <c r="AS34" s="5" t="e">
        <f t="shared" si="14"/>
        <v>#REF!</v>
      </c>
    </row>
    <row r="35" spans="1:45" x14ac:dyDescent="0.2">
      <c r="A35" s="106">
        <v>41791</v>
      </c>
      <c r="B35" s="54" t="e">
        <f>VLOOKUP(MONTH(A35),#REF!,3,FALSE)</f>
        <v>#REF!</v>
      </c>
      <c r="C35" s="105" t="e">
        <f>#REF!</f>
        <v>#REF!</v>
      </c>
      <c r="D35" s="105" t="e">
        <f>#REF!</f>
        <v>#REF!</v>
      </c>
      <c r="E35" s="105" t="e">
        <f>#REF!</f>
        <v>#REF!</v>
      </c>
      <c r="F35" s="105" t="e">
        <f>#REF!</f>
        <v>#REF!</v>
      </c>
      <c r="G35" s="105" t="e">
        <f>#REF!</f>
        <v>#REF!</v>
      </c>
      <c r="H35" s="105" t="e">
        <f>#REF!</f>
        <v>#REF!</v>
      </c>
      <c r="I35" s="105" t="e">
        <f>#REF!</f>
        <v>#REF!</v>
      </c>
      <c r="J35" s="105" t="e">
        <f>#REF!</f>
        <v>#REF!</v>
      </c>
      <c r="K35" s="105" t="e">
        <f>#REF!</f>
        <v>#REF!</v>
      </c>
      <c r="L35" s="105" t="e">
        <f>#REF!</f>
        <v>#REF!</v>
      </c>
      <c r="M35" s="105" t="e">
        <f>#REF!</f>
        <v>#REF!</v>
      </c>
      <c r="N35" s="105" t="e">
        <f>#REF!</f>
        <v>#REF!</v>
      </c>
      <c r="O35" s="105" t="e">
        <f>#REF!</f>
        <v>#REF!</v>
      </c>
      <c r="P35" s="105" t="e">
        <f>#REF!</f>
        <v>#REF!</v>
      </c>
      <c r="Q35" s="105" t="e">
        <f>#REF!</f>
        <v>#REF!</v>
      </c>
      <c r="S35" s="95" t="e">
        <f t="shared" si="2"/>
        <v>#REF!</v>
      </c>
      <c r="T35" s="97" t="e">
        <f t="shared" si="15"/>
        <v>#REF!</v>
      </c>
      <c r="U35" s="93" t="e">
        <f t="shared" si="16"/>
        <v>#REF!</v>
      </c>
      <c r="V35" s="98" t="e">
        <f t="shared" si="24"/>
        <v>#REF!</v>
      </c>
      <c r="W35" s="93" t="e">
        <f t="shared" si="17"/>
        <v>#REF!</v>
      </c>
      <c r="X35" s="98" t="e">
        <f t="shared" si="18"/>
        <v>#REF!</v>
      </c>
      <c r="Y35" s="93" t="e">
        <f t="shared" si="19"/>
        <v>#REF!</v>
      </c>
      <c r="Z35" s="93" t="e">
        <f t="shared" si="3"/>
        <v>#REF!</v>
      </c>
      <c r="AA35" s="93" t="e">
        <f t="shared" si="20"/>
        <v>#REF!</v>
      </c>
      <c r="AB35" s="93" t="e">
        <f t="shared" si="21"/>
        <v>#REF!</v>
      </c>
      <c r="AC35" s="93" t="e">
        <f t="shared" si="22"/>
        <v>#REF!</v>
      </c>
      <c r="AD35" s="120" t="e">
        <f t="shared" si="4"/>
        <v>#REF!</v>
      </c>
      <c r="AE35" s="107">
        <v>252</v>
      </c>
      <c r="AF35" s="94" t="e">
        <f t="shared" si="5"/>
        <v>#REF!</v>
      </c>
      <c r="AG35" s="93" t="e">
        <f t="shared" si="6"/>
        <v>#REF!</v>
      </c>
      <c r="AJ35" s="7">
        <f t="shared" si="7"/>
        <v>115297.97530864197</v>
      </c>
      <c r="AK35" s="7" t="e">
        <f t="shared" si="8"/>
        <v>#REF!</v>
      </c>
      <c r="AL35" s="41" t="e">
        <f t="shared" si="9"/>
        <v>#REF!</v>
      </c>
      <c r="AM35" s="42" t="e">
        <f t="shared" si="10"/>
        <v>#REF!</v>
      </c>
      <c r="AN35" s="7" t="e">
        <f t="shared" si="23"/>
        <v>#REF!</v>
      </c>
      <c r="AO35" s="7">
        <f t="shared" si="23"/>
        <v>364.55555555555406</v>
      </c>
      <c r="AP35" s="7">
        <f t="shared" si="11"/>
        <v>681389811.86419678</v>
      </c>
      <c r="AQ35" s="7" t="e">
        <f t="shared" si="12"/>
        <v>#REF!</v>
      </c>
      <c r="AR35" s="5" t="e">
        <f t="shared" si="13"/>
        <v>#REF!</v>
      </c>
      <c r="AS35" s="5" t="e">
        <f t="shared" si="14"/>
        <v>#REF!</v>
      </c>
    </row>
    <row r="36" spans="1:45" x14ac:dyDescent="0.2">
      <c r="A36" s="106">
        <v>41821</v>
      </c>
      <c r="B36" s="54">
        <v>115</v>
      </c>
      <c r="C36" s="105" t="e">
        <f>#REF!</f>
        <v>#REF!</v>
      </c>
      <c r="D36" s="105" t="e">
        <f>#REF!</f>
        <v>#REF!</v>
      </c>
      <c r="E36" s="105" t="e">
        <f>#REF!</f>
        <v>#REF!</v>
      </c>
      <c r="F36" s="105" t="e">
        <f>#REF!</f>
        <v>#REF!</v>
      </c>
      <c r="G36" s="105" t="e">
        <f>#REF!</f>
        <v>#REF!</v>
      </c>
      <c r="H36" s="105" t="e">
        <f>#REF!</f>
        <v>#REF!</v>
      </c>
      <c r="I36" s="105" t="e">
        <f>#REF!</f>
        <v>#REF!</v>
      </c>
      <c r="J36" s="105" t="e">
        <f>#REF!</f>
        <v>#REF!</v>
      </c>
      <c r="K36" s="105" t="e">
        <f>#REF!</f>
        <v>#REF!</v>
      </c>
      <c r="L36" s="105" t="e">
        <f>#REF!</f>
        <v>#REF!</v>
      </c>
      <c r="M36" s="105" t="e">
        <f>#REF!</f>
        <v>#REF!</v>
      </c>
      <c r="N36" s="105" t="e">
        <f>#REF!</f>
        <v>#REF!</v>
      </c>
      <c r="O36" s="105" t="e">
        <f>#REF!</f>
        <v>#REF!</v>
      </c>
      <c r="P36" s="105" t="e">
        <f>#REF!</f>
        <v>#REF!</v>
      </c>
      <c r="Q36" s="105" t="e">
        <f>#REF!</f>
        <v>#REF!</v>
      </c>
      <c r="S36" s="95" t="e">
        <f t="shared" si="2"/>
        <v>#REF!</v>
      </c>
      <c r="T36" s="97" t="e">
        <f t="shared" si="15"/>
        <v>#REF!</v>
      </c>
      <c r="U36" s="93" t="e">
        <f t="shared" si="16"/>
        <v>#REF!</v>
      </c>
      <c r="V36" s="98" t="e">
        <f t="shared" si="24"/>
        <v>#REF!</v>
      </c>
      <c r="W36" s="93" t="e">
        <f t="shared" si="17"/>
        <v>#REF!</v>
      </c>
      <c r="X36" s="98" t="e">
        <f t="shared" si="18"/>
        <v>#REF!</v>
      </c>
      <c r="Y36" s="93" t="e">
        <f t="shared" si="19"/>
        <v>#REF!</v>
      </c>
      <c r="Z36" s="93" t="e">
        <f t="shared" si="3"/>
        <v>#REF!</v>
      </c>
      <c r="AA36" s="93" t="e">
        <f t="shared" si="20"/>
        <v>#REF!</v>
      </c>
      <c r="AB36" s="93" t="e">
        <f t="shared" si="21"/>
        <v>#REF!</v>
      </c>
      <c r="AC36" s="93" t="e">
        <f t="shared" si="22"/>
        <v>#REF!</v>
      </c>
      <c r="AD36" s="120" t="e">
        <f t="shared" si="4"/>
        <v>#REF!</v>
      </c>
      <c r="AE36" s="107">
        <v>227</v>
      </c>
      <c r="AF36" s="94" t="e">
        <f t="shared" si="5"/>
        <v>#REF!</v>
      </c>
      <c r="AG36" s="93" t="e">
        <f t="shared" si="6"/>
        <v>#REF!</v>
      </c>
      <c r="AJ36" s="7">
        <f t="shared" si="7"/>
        <v>132900.75308641975</v>
      </c>
      <c r="AK36" s="7" t="e">
        <f t="shared" si="8"/>
        <v>#REF!</v>
      </c>
      <c r="AL36" s="41" t="e">
        <f t="shared" si="9"/>
        <v>#REF!</v>
      </c>
      <c r="AM36" s="42" t="e">
        <f t="shared" si="10"/>
        <v>#REF!</v>
      </c>
      <c r="AN36" s="7" t="e">
        <f>AD36-AD$14+AN35</f>
        <v>#REF!</v>
      </c>
      <c r="AO36" s="7">
        <f>AE36-AE$14+AO35</f>
        <v>-1.4779288903810084E-12</v>
      </c>
      <c r="AP36" s="7">
        <f t="shared" si="11"/>
        <v>700555023.99999928</v>
      </c>
      <c r="AQ36" s="7" t="e">
        <f t="shared" si="12"/>
        <v>#REF!</v>
      </c>
      <c r="AR36" s="5" t="e">
        <f t="shared" si="13"/>
        <v>#REF!</v>
      </c>
      <c r="AS36" s="5" t="e">
        <f t="shared" si="14"/>
        <v>#REF!</v>
      </c>
    </row>
    <row r="37" spans="1:45" x14ac:dyDescent="0.2">
      <c r="A37" s="108"/>
      <c r="B37" s="54"/>
      <c r="C37" s="109"/>
      <c r="D37" s="64"/>
      <c r="E37" s="64"/>
      <c r="F37" s="64"/>
      <c r="G37" s="64"/>
      <c r="H37" s="64"/>
      <c r="I37" s="64"/>
      <c r="J37" s="64"/>
      <c r="K37" s="64"/>
      <c r="L37" s="64"/>
      <c r="M37" s="64"/>
      <c r="N37" s="64"/>
      <c r="O37" s="64"/>
      <c r="P37" s="64"/>
      <c r="Q37" s="64"/>
      <c r="R37" s="111"/>
      <c r="S37" s="110"/>
      <c r="T37" s="97"/>
      <c r="U37" s="93"/>
      <c r="V37" s="98"/>
      <c r="W37" s="93"/>
      <c r="X37" s="98"/>
      <c r="Y37" s="93"/>
      <c r="Z37" s="93"/>
      <c r="AA37" s="93"/>
      <c r="AB37" s="93"/>
      <c r="AC37" s="93"/>
      <c r="AD37" s="120"/>
      <c r="AE37" s="96"/>
      <c r="AF37" s="94"/>
      <c r="AG37" s="93"/>
      <c r="AJ37" s="7"/>
      <c r="AK37" s="7"/>
      <c r="AL37" s="41"/>
      <c r="AM37" s="42"/>
      <c r="AN37" s="7"/>
      <c r="AO37" s="7"/>
      <c r="AP37" s="7"/>
      <c r="AQ37" s="7"/>
      <c r="AR37" s="5"/>
      <c r="AS37" s="5"/>
    </row>
    <row r="38" spans="1:45" x14ac:dyDescent="0.2">
      <c r="A38" s="108"/>
      <c r="B38" s="54"/>
      <c r="C38" s="109"/>
      <c r="D38" s="64"/>
      <c r="E38" s="64"/>
      <c r="F38" s="64"/>
      <c r="G38" s="64"/>
      <c r="H38" s="64"/>
      <c r="I38" s="64"/>
      <c r="J38" s="64"/>
      <c r="K38" s="64"/>
      <c r="L38" s="64"/>
      <c r="M38" s="64"/>
      <c r="N38" s="64"/>
      <c r="O38" s="64"/>
      <c r="P38" s="64"/>
      <c r="Q38" s="64"/>
      <c r="R38" s="111"/>
      <c r="S38" s="110"/>
      <c r="T38" s="97"/>
      <c r="U38" s="93"/>
      <c r="V38" s="98"/>
      <c r="W38" s="93"/>
      <c r="X38" s="98"/>
      <c r="Y38" s="93"/>
      <c r="Z38" s="93"/>
      <c r="AA38" s="93"/>
      <c r="AB38" s="93"/>
      <c r="AC38" s="93"/>
      <c r="AD38" s="120"/>
      <c r="AE38" s="96"/>
      <c r="AF38" s="94"/>
      <c r="AG38" s="93"/>
      <c r="AJ38" s="7"/>
      <c r="AK38" s="7"/>
      <c r="AL38" s="41"/>
      <c r="AM38" s="42"/>
      <c r="AN38" s="7"/>
      <c r="AO38" s="7"/>
      <c r="AP38" s="7"/>
      <c r="AQ38" s="7"/>
      <c r="AR38" s="5"/>
      <c r="AS38" s="5"/>
    </row>
    <row r="39" spans="1:45" x14ac:dyDescent="0.2">
      <c r="A39" s="108"/>
      <c r="B39" s="54"/>
      <c r="C39" s="109"/>
      <c r="D39" s="64"/>
      <c r="E39" s="64"/>
      <c r="F39" s="64"/>
      <c r="G39" s="64"/>
      <c r="H39" s="64"/>
      <c r="I39" s="64"/>
      <c r="J39" s="64"/>
      <c r="K39" s="64"/>
      <c r="L39" s="64"/>
      <c r="M39" s="64"/>
      <c r="N39" s="64"/>
      <c r="O39" s="64"/>
      <c r="P39" s="64"/>
      <c r="Q39" s="64"/>
      <c r="R39" s="111"/>
      <c r="S39" s="110"/>
      <c r="T39" s="97"/>
      <c r="U39" s="93"/>
      <c r="V39" s="98"/>
      <c r="W39" s="93"/>
      <c r="X39" s="98"/>
      <c r="Y39" s="93"/>
      <c r="Z39" s="93"/>
      <c r="AA39" s="93"/>
      <c r="AB39" s="93"/>
      <c r="AC39" s="93"/>
      <c r="AD39" s="120"/>
      <c r="AE39" s="96"/>
      <c r="AF39" s="94"/>
      <c r="AG39" s="93"/>
      <c r="AJ39" s="7"/>
      <c r="AK39" s="7"/>
      <c r="AL39" s="41"/>
      <c r="AM39" s="42"/>
      <c r="AN39" s="7"/>
      <c r="AO39" s="7"/>
      <c r="AP39" s="7"/>
      <c r="AQ39" s="7"/>
      <c r="AR39" s="5"/>
      <c r="AS39" s="5"/>
    </row>
    <row r="40" spans="1:45" x14ac:dyDescent="0.2">
      <c r="A40" s="108"/>
      <c r="B40" s="54"/>
      <c r="C40" s="109"/>
      <c r="D40" s="64"/>
      <c r="E40" s="64"/>
      <c r="F40" s="64"/>
      <c r="G40" s="64"/>
      <c r="H40" s="64"/>
      <c r="I40" s="64"/>
      <c r="J40" s="64"/>
      <c r="K40" s="64"/>
      <c r="L40" s="64"/>
      <c r="M40" s="64"/>
      <c r="N40" s="64"/>
      <c r="O40" s="64"/>
      <c r="P40" s="64"/>
      <c r="Q40" s="64"/>
      <c r="R40" s="111"/>
      <c r="S40" s="110"/>
      <c r="T40" s="97"/>
      <c r="U40" s="93"/>
      <c r="V40" s="98"/>
      <c r="W40" s="93"/>
      <c r="X40" s="98"/>
      <c r="Y40" s="93"/>
      <c r="Z40" s="93"/>
      <c r="AA40" s="93"/>
      <c r="AB40" s="93"/>
      <c r="AC40" s="93"/>
      <c r="AD40" s="120"/>
      <c r="AE40" s="96"/>
      <c r="AF40" s="94"/>
      <c r="AG40" s="93"/>
      <c r="AJ40" s="7"/>
      <c r="AK40" s="7"/>
      <c r="AL40" s="41"/>
      <c r="AM40" s="42"/>
      <c r="AN40" s="7"/>
      <c r="AO40" s="7"/>
      <c r="AP40" s="7"/>
      <c r="AQ40" s="7"/>
      <c r="AR40" s="5"/>
      <c r="AS40" s="5"/>
    </row>
    <row r="41" spans="1:45" x14ac:dyDescent="0.2">
      <c r="A41" s="108"/>
      <c r="B41" s="54"/>
      <c r="C41" s="109"/>
      <c r="D41" s="64"/>
      <c r="E41" s="64"/>
      <c r="F41" s="64"/>
      <c r="G41" s="64"/>
      <c r="H41" s="64"/>
      <c r="I41" s="64"/>
      <c r="J41" s="64"/>
      <c r="K41" s="64"/>
      <c r="L41" s="64"/>
      <c r="M41" s="64"/>
      <c r="N41" s="64"/>
      <c r="O41" s="64"/>
      <c r="P41" s="64"/>
      <c r="Q41" s="64"/>
      <c r="R41" s="111"/>
      <c r="S41" s="110"/>
      <c r="T41" s="97"/>
      <c r="U41" s="93"/>
      <c r="V41" s="98"/>
      <c r="W41" s="93"/>
      <c r="X41" s="98"/>
      <c r="Y41" s="93"/>
      <c r="Z41" s="93"/>
      <c r="AA41" s="93"/>
      <c r="AB41" s="93"/>
      <c r="AC41" s="93"/>
      <c r="AD41" s="120"/>
      <c r="AE41" s="96"/>
      <c r="AF41" s="94"/>
      <c r="AG41" s="93"/>
      <c r="AJ41" s="7"/>
      <c r="AK41" s="7"/>
      <c r="AL41" s="41"/>
      <c r="AM41" s="42"/>
      <c r="AN41" s="7"/>
      <c r="AO41" s="7"/>
      <c r="AP41" s="7"/>
      <c r="AQ41" s="7"/>
      <c r="AR41" s="5"/>
      <c r="AS41" s="5"/>
    </row>
    <row r="42" spans="1:45" x14ac:dyDescent="0.2">
      <c r="A42" s="108"/>
      <c r="B42" s="54"/>
      <c r="C42" s="109"/>
      <c r="D42" s="64"/>
      <c r="E42" s="64"/>
      <c r="F42" s="64"/>
      <c r="G42" s="64"/>
      <c r="H42" s="64"/>
      <c r="I42" s="64"/>
      <c r="J42" s="64"/>
      <c r="K42" s="64"/>
      <c r="L42" s="64"/>
      <c r="M42" s="64"/>
      <c r="N42" s="64"/>
      <c r="O42" s="64"/>
      <c r="P42" s="64"/>
      <c r="Q42" s="64"/>
      <c r="R42" s="111"/>
      <c r="S42" s="110"/>
      <c r="T42" s="97"/>
      <c r="U42" s="93"/>
      <c r="V42" s="98"/>
      <c r="W42" s="93"/>
      <c r="X42" s="98"/>
      <c r="Y42" s="93"/>
      <c r="Z42" s="93"/>
      <c r="AA42" s="93"/>
      <c r="AB42" s="93"/>
      <c r="AC42" s="93"/>
      <c r="AD42" s="120"/>
      <c r="AE42" s="96"/>
      <c r="AF42" s="94"/>
      <c r="AG42" s="93"/>
      <c r="AJ42" s="7"/>
      <c r="AK42" s="7"/>
      <c r="AL42" s="41"/>
      <c r="AM42" s="42"/>
      <c r="AN42" s="7"/>
      <c r="AO42" s="7"/>
      <c r="AP42" s="7"/>
      <c r="AQ42" s="7"/>
      <c r="AR42" s="5"/>
      <c r="AS42" s="5"/>
    </row>
    <row r="43" spans="1:45" x14ac:dyDescent="0.2">
      <c r="A43" s="108"/>
      <c r="B43" s="54"/>
      <c r="C43" s="109"/>
      <c r="D43" s="64"/>
      <c r="E43" s="64"/>
      <c r="F43" s="64"/>
      <c r="G43" s="64"/>
      <c r="H43" s="64"/>
      <c r="I43" s="64"/>
      <c r="J43" s="64"/>
      <c r="K43" s="64"/>
      <c r="L43" s="64"/>
      <c r="M43" s="64"/>
      <c r="N43" s="64"/>
      <c r="O43" s="64"/>
      <c r="P43" s="64"/>
      <c r="Q43" s="64"/>
      <c r="R43" s="111"/>
      <c r="S43" s="110"/>
      <c r="T43" s="97"/>
      <c r="U43" s="93"/>
      <c r="V43" s="98"/>
      <c r="W43" s="93"/>
      <c r="X43" s="98"/>
      <c r="Y43" s="93"/>
      <c r="Z43" s="93"/>
      <c r="AA43" s="93"/>
      <c r="AB43" s="93"/>
      <c r="AC43" s="93"/>
      <c r="AD43" s="120"/>
      <c r="AE43" s="96"/>
      <c r="AF43" s="94"/>
      <c r="AG43" s="93"/>
      <c r="AJ43" s="7"/>
      <c r="AK43" s="7"/>
      <c r="AL43" s="41"/>
      <c r="AM43" s="42"/>
      <c r="AN43" s="7"/>
      <c r="AO43" s="7"/>
      <c r="AP43" s="7"/>
      <c r="AQ43" s="7"/>
      <c r="AR43" s="5"/>
      <c r="AS43" s="5"/>
    </row>
    <row r="44" spans="1:45" x14ac:dyDescent="0.2">
      <c r="A44" s="108"/>
      <c r="B44" s="54"/>
      <c r="C44" s="109"/>
      <c r="D44" s="64"/>
      <c r="E44" s="64"/>
      <c r="F44" s="64"/>
      <c r="G44" s="64"/>
      <c r="H44" s="64"/>
      <c r="I44" s="64"/>
      <c r="J44" s="64"/>
      <c r="K44" s="64"/>
      <c r="L44" s="64"/>
      <c r="M44" s="64"/>
      <c r="N44" s="64"/>
      <c r="O44" s="64"/>
      <c r="P44" s="64"/>
      <c r="Q44" s="64"/>
      <c r="R44" s="111"/>
      <c r="S44" s="110"/>
      <c r="T44" s="97"/>
      <c r="U44" s="93"/>
      <c r="V44" s="98"/>
      <c r="W44" s="93"/>
      <c r="X44" s="98"/>
      <c r="Y44" s="93"/>
      <c r="Z44" s="93"/>
      <c r="AA44" s="93"/>
      <c r="AB44" s="93"/>
      <c r="AC44" s="93"/>
      <c r="AD44" s="120"/>
      <c r="AE44" s="96"/>
      <c r="AF44" s="94"/>
      <c r="AG44" s="93"/>
      <c r="AJ44" s="7"/>
      <c r="AK44" s="7"/>
      <c r="AL44" s="41"/>
      <c r="AM44" s="42"/>
      <c r="AN44" s="7"/>
      <c r="AO44" s="7"/>
      <c r="AP44" s="7"/>
      <c r="AQ44" s="7"/>
      <c r="AR44" s="5"/>
      <c r="AS44" s="5"/>
    </row>
    <row r="45" spans="1:45" x14ac:dyDescent="0.2">
      <c r="A45" s="108"/>
      <c r="B45" s="54"/>
      <c r="C45" s="109"/>
      <c r="D45" s="64"/>
      <c r="E45" s="64"/>
      <c r="F45" s="64"/>
      <c r="G45" s="64"/>
      <c r="H45" s="64"/>
      <c r="I45" s="64"/>
      <c r="J45" s="64"/>
      <c r="K45" s="64"/>
      <c r="L45" s="64"/>
      <c r="M45" s="64"/>
      <c r="N45" s="64"/>
      <c r="O45" s="64"/>
      <c r="P45" s="64"/>
      <c r="Q45" s="64"/>
      <c r="R45" s="111"/>
      <c r="S45" s="110"/>
      <c r="T45" s="97"/>
      <c r="U45" s="93"/>
      <c r="V45" s="98"/>
      <c r="W45" s="93"/>
      <c r="X45" s="98"/>
      <c r="Y45" s="93"/>
      <c r="Z45" s="93"/>
      <c r="AA45" s="93"/>
      <c r="AB45" s="93"/>
      <c r="AC45" s="93"/>
      <c r="AD45" s="120"/>
      <c r="AE45" s="96"/>
      <c r="AF45" s="94"/>
      <c r="AG45" s="93"/>
      <c r="AJ45" s="7"/>
      <c r="AK45" s="7"/>
      <c r="AL45" s="41"/>
      <c r="AM45" s="42"/>
      <c r="AN45" s="7"/>
      <c r="AO45" s="7"/>
      <c r="AP45" s="7"/>
      <c r="AQ45" s="7"/>
      <c r="AR45" s="5"/>
      <c r="AS45" s="5"/>
    </row>
    <row r="46" spans="1:45" x14ac:dyDescent="0.2">
      <c r="A46" s="108"/>
      <c r="B46" s="54"/>
      <c r="C46" s="109"/>
      <c r="D46" s="64"/>
      <c r="E46" s="64"/>
      <c r="F46" s="64"/>
      <c r="G46" s="64"/>
      <c r="H46" s="64"/>
      <c r="I46" s="64"/>
      <c r="J46" s="64"/>
      <c r="K46" s="64"/>
      <c r="L46" s="64"/>
      <c r="M46" s="64"/>
      <c r="N46" s="64"/>
      <c r="O46" s="64"/>
      <c r="P46" s="64"/>
      <c r="Q46" s="64"/>
      <c r="R46" s="111"/>
      <c r="S46" s="110"/>
      <c r="T46" s="97"/>
      <c r="U46" s="93"/>
      <c r="V46" s="98"/>
      <c r="W46" s="93"/>
      <c r="X46" s="98"/>
      <c r="Y46" s="93"/>
      <c r="Z46" s="93"/>
      <c r="AA46" s="93"/>
      <c r="AB46" s="93"/>
      <c r="AC46" s="93"/>
      <c r="AD46" s="120"/>
      <c r="AE46" s="96"/>
      <c r="AF46" s="94"/>
      <c r="AG46" s="93"/>
      <c r="AJ46" s="7"/>
      <c r="AK46" s="7"/>
      <c r="AL46" s="41"/>
      <c r="AM46" s="42"/>
      <c r="AN46" s="7"/>
      <c r="AO46" s="7"/>
      <c r="AP46" s="7"/>
      <c r="AQ46" s="7"/>
      <c r="AR46" s="5"/>
      <c r="AS46" s="5"/>
    </row>
    <row r="47" spans="1:45" x14ac:dyDescent="0.2">
      <c r="A47" s="108"/>
      <c r="B47" s="54"/>
      <c r="C47" s="109"/>
      <c r="D47" s="64"/>
      <c r="E47" s="64"/>
      <c r="F47" s="64"/>
      <c r="G47" s="64"/>
      <c r="H47" s="64"/>
      <c r="I47" s="64"/>
      <c r="J47" s="64"/>
      <c r="K47" s="64"/>
      <c r="L47" s="64"/>
      <c r="M47" s="64"/>
      <c r="N47" s="64"/>
      <c r="O47" s="64"/>
      <c r="P47" s="64"/>
      <c r="Q47" s="64"/>
      <c r="R47" s="111"/>
      <c r="S47" s="110"/>
      <c r="T47" s="97"/>
      <c r="U47" s="93"/>
      <c r="V47" s="98"/>
      <c r="W47" s="93"/>
      <c r="X47" s="98"/>
      <c r="Y47" s="93"/>
      <c r="Z47" s="93"/>
      <c r="AA47" s="93"/>
      <c r="AB47" s="93"/>
      <c r="AC47" s="93"/>
      <c r="AD47" s="120"/>
      <c r="AE47" s="96"/>
      <c r="AF47" s="94"/>
      <c r="AG47" s="93"/>
      <c r="AJ47" s="7"/>
      <c r="AK47" s="7"/>
      <c r="AL47" s="41"/>
      <c r="AM47" s="42"/>
      <c r="AN47" s="7"/>
      <c r="AO47" s="7"/>
      <c r="AP47" s="7"/>
      <c r="AQ47" s="7"/>
      <c r="AR47" s="5"/>
      <c r="AS47" s="5"/>
    </row>
    <row r="48" spans="1:45" x14ac:dyDescent="0.2">
      <c r="A48" s="108"/>
      <c r="B48" s="54"/>
      <c r="C48" s="109"/>
      <c r="D48" s="64"/>
      <c r="E48" s="64"/>
      <c r="F48" s="64"/>
      <c r="G48" s="64"/>
      <c r="H48" s="64"/>
      <c r="I48" s="64"/>
      <c r="J48" s="64"/>
      <c r="K48" s="64"/>
      <c r="L48" s="64"/>
      <c r="M48" s="64"/>
      <c r="N48" s="64"/>
      <c r="O48" s="64"/>
      <c r="P48" s="64"/>
      <c r="Q48" s="64"/>
      <c r="R48" s="111"/>
      <c r="S48" s="110"/>
      <c r="T48" s="97"/>
      <c r="U48" s="93"/>
      <c r="V48" s="98"/>
      <c r="W48" s="93"/>
      <c r="X48" s="98"/>
      <c r="Y48" s="93"/>
      <c r="Z48" s="93"/>
      <c r="AA48" s="93"/>
      <c r="AB48" s="93"/>
      <c r="AC48" s="93"/>
      <c r="AD48" s="120"/>
      <c r="AE48" s="96"/>
      <c r="AF48" s="94"/>
      <c r="AG48" s="93"/>
      <c r="AJ48" s="7"/>
      <c r="AK48" s="7"/>
      <c r="AL48" s="41"/>
      <c r="AM48" s="42"/>
      <c r="AN48" s="7"/>
      <c r="AO48" s="7"/>
      <c r="AP48" s="7"/>
      <c r="AQ48" s="7"/>
      <c r="AR48" s="5"/>
      <c r="AS48" s="5"/>
    </row>
    <row r="49" spans="1:45" ht="15.75" x14ac:dyDescent="0.25">
      <c r="A49" s="56"/>
      <c r="B49" s="54"/>
      <c r="C49" s="63"/>
      <c r="D49" s="64"/>
      <c r="E49" s="64"/>
      <c r="F49" s="64"/>
      <c r="G49" s="64"/>
      <c r="H49" s="64"/>
      <c r="I49" s="64"/>
      <c r="J49" s="64"/>
      <c r="K49" s="64"/>
      <c r="L49" s="64"/>
      <c r="M49" s="64"/>
      <c r="N49" s="64"/>
      <c r="O49" s="64"/>
      <c r="P49" s="64"/>
      <c r="Q49" s="65"/>
      <c r="S49" s="95"/>
      <c r="T49" s="97"/>
      <c r="U49" s="93"/>
      <c r="V49" s="98"/>
      <c r="W49" s="93"/>
      <c r="X49" s="98"/>
      <c r="Y49" s="93"/>
      <c r="Z49" s="93"/>
      <c r="AA49" s="93"/>
      <c r="AB49" s="93"/>
      <c r="AC49" s="93"/>
      <c r="AD49" s="93"/>
      <c r="AE49" s="96"/>
      <c r="AF49" s="94"/>
      <c r="AG49" s="93"/>
      <c r="AJ49" s="7"/>
      <c r="AK49" s="7"/>
      <c r="AL49" s="41"/>
      <c r="AM49" s="42"/>
      <c r="AN49" s="7"/>
      <c r="AO49" s="7"/>
      <c r="AP49" s="7"/>
      <c r="AQ49" s="7"/>
      <c r="AR49" s="5"/>
      <c r="AS49" s="5"/>
    </row>
    <row r="50" spans="1:45" ht="15.75" x14ac:dyDescent="0.25">
      <c r="A50" s="56"/>
      <c r="B50" s="54"/>
      <c r="C50" s="63"/>
      <c r="D50" s="64"/>
      <c r="E50" s="64"/>
      <c r="F50" s="64"/>
      <c r="G50" s="64"/>
      <c r="H50" s="64"/>
      <c r="I50" s="64"/>
      <c r="J50" s="64"/>
      <c r="K50" s="64"/>
      <c r="L50" s="64"/>
      <c r="M50" s="64"/>
      <c r="N50" s="64"/>
      <c r="O50" s="64"/>
      <c r="P50" s="64"/>
      <c r="Q50" s="65"/>
      <c r="S50" s="95"/>
      <c r="T50" s="97"/>
      <c r="U50" s="93"/>
      <c r="V50" s="98"/>
      <c r="W50" s="93"/>
      <c r="X50" s="98"/>
      <c r="Y50" s="93"/>
      <c r="Z50" s="93"/>
      <c r="AA50" s="93"/>
      <c r="AB50" s="93"/>
      <c r="AC50" s="93"/>
      <c r="AD50" s="93"/>
      <c r="AE50" s="96"/>
      <c r="AF50" s="94"/>
      <c r="AG50" s="93"/>
      <c r="AJ50" s="7"/>
      <c r="AK50" s="7"/>
      <c r="AL50" s="41"/>
      <c r="AM50" s="42"/>
      <c r="AN50" s="7"/>
      <c r="AO50" s="7"/>
      <c r="AP50" s="7"/>
      <c r="AQ50" s="7"/>
      <c r="AR50" s="5"/>
      <c r="AS50" s="5"/>
    </row>
    <row r="51" spans="1:45" ht="15.75" x14ac:dyDescent="0.25">
      <c r="A51" s="56"/>
      <c r="B51" s="54"/>
      <c r="C51" s="63"/>
      <c r="D51" s="64"/>
      <c r="E51" s="64"/>
      <c r="F51" s="64"/>
      <c r="G51" s="64"/>
      <c r="H51" s="64"/>
      <c r="I51" s="64"/>
      <c r="J51" s="64"/>
      <c r="K51" s="64"/>
      <c r="L51" s="64"/>
      <c r="M51" s="64"/>
      <c r="N51" s="64"/>
      <c r="O51" s="64"/>
      <c r="P51" s="64"/>
      <c r="Q51" s="65"/>
      <c r="S51" s="95"/>
      <c r="T51" s="97"/>
      <c r="U51" s="93"/>
      <c r="V51" s="98"/>
      <c r="W51" s="93"/>
      <c r="X51" s="98"/>
      <c r="Y51" s="93"/>
      <c r="Z51" s="93"/>
      <c r="AA51" s="93"/>
      <c r="AB51" s="93"/>
      <c r="AC51" s="93"/>
      <c r="AD51" s="93"/>
      <c r="AE51" s="96"/>
      <c r="AF51" s="94"/>
      <c r="AG51" s="93"/>
      <c r="AJ51" s="7"/>
      <c r="AK51" s="7"/>
      <c r="AL51" s="41"/>
      <c r="AM51" s="42"/>
      <c r="AN51" s="7"/>
      <c r="AO51" s="7"/>
      <c r="AP51" s="7"/>
      <c r="AQ51" s="7"/>
      <c r="AR51" s="5"/>
      <c r="AS51" s="5"/>
    </row>
    <row r="52" spans="1:45" ht="15.75" x14ac:dyDescent="0.25">
      <c r="A52" s="56"/>
      <c r="B52" s="54"/>
      <c r="C52" s="63"/>
      <c r="D52" s="64"/>
      <c r="E52" s="64"/>
      <c r="F52" s="64"/>
      <c r="G52" s="64"/>
      <c r="H52" s="64"/>
      <c r="I52" s="64"/>
      <c r="J52" s="64"/>
      <c r="K52" s="64"/>
      <c r="L52" s="64"/>
      <c r="M52" s="64"/>
      <c r="N52" s="64"/>
      <c r="O52" s="64"/>
      <c r="P52" s="64"/>
      <c r="Q52" s="65"/>
      <c r="R52" s="4"/>
      <c r="S52" s="95"/>
      <c r="T52" s="97"/>
      <c r="U52" s="93"/>
      <c r="V52" s="98"/>
      <c r="W52" s="93"/>
      <c r="X52" s="98"/>
      <c r="Y52" s="93"/>
      <c r="Z52" s="93"/>
      <c r="AA52" s="93"/>
      <c r="AB52" s="93"/>
      <c r="AC52" s="93"/>
      <c r="AD52" s="93"/>
      <c r="AE52" s="96"/>
      <c r="AF52" s="94"/>
      <c r="AG52" s="93"/>
      <c r="AJ52" s="7"/>
      <c r="AK52" s="7"/>
      <c r="AL52" s="41"/>
      <c r="AM52" s="42"/>
      <c r="AN52" s="7"/>
      <c r="AO52" s="7"/>
      <c r="AP52" s="7"/>
      <c r="AQ52" s="7"/>
      <c r="AR52" s="5"/>
      <c r="AS52" s="5"/>
    </row>
    <row r="53" spans="1:45" ht="15.75" x14ac:dyDescent="0.25">
      <c r="A53" s="56"/>
      <c r="B53" s="54"/>
      <c r="C53" s="63"/>
      <c r="D53" s="64"/>
      <c r="E53" s="64"/>
      <c r="F53" s="64"/>
      <c r="G53" s="64"/>
      <c r="H53" s="64"/>
      <c r="I53" s="64"/>
      <c r="J53" s="64"/>
      <c r="K53" s="64"/>
      <c r="L53" s="64"/>
      <c r="M53" s="64"/>
      <c r="N53" s="64"/>
      <c r="O53" s="64"/>
      <c r="P53" s="64"/>
      <c r="Q53" s="65"/>
      <c r="R53" s="4"/>
      <c r="S53" s="95"/>
      <c r="T53" s="97"/>
      <c r="U53" s="93"/>
      <c r="V53" s="98"/>
      <c r="W53" s="93"/>
      <c r="X53" s="98"/>
      <c r="Y53" s="93"/>
      <c r="Z53" s="93"/>
      <c r="AA53" s="93"/>
      <c r="AB53" s="93"/>
      <c r="AC53" s="93"/>
      <c r="AD53" s="93"/>
      <c r="AE53" s="96"/>
      <c r="AF53" s="94"/>
      <c r="AG53" s="93"/>
      <c r="AJ53" s="7"/>
      <c r="AK53" s="7"/>
      <c r="AL53" s="41"/>
      <c r="AM53" s="42"/>
      <c r="AN53" s="7"/>
      <c r="AO53" s="7"/>
      <c r="AP53" s="7"/>
      <c r="AQ53" s="7"/>
      <c r="AR53" s="5"/>
      <c r="AS53" s="5"/>
    </row>
    <row r="54" spans="1:45" ht="15.75" x14ac:dyDescent="0.25">
      <c r="A54" s="56"/>
      <c r="B54" s="54"/>
      <c r="C54" s="63"/>
      <c r="D54" s="64"/>
      <c r="E54" s="64"/>
      <c r="F54" s="64"/>
      <c r="G54" s="64"/>
      <c r="H54" s="64"/>
      <c r="I54" s="64"/>
      <c r="J54" s="64"/>
      <c r="K54" s="64"/>
      <c r="L54" s="64"/>
      <c r="M54" s="64"/>
      <c r="N54" s="64"/>
      <c r="O54" s="64"/>
      <c r="P54" s="64"/>
      <c r="Q54" s="65"/>
      <c r="R54" s="4"/>
      <c r="S54" s="95"/>
      <c r="T54" s="97"/>
      <c r="U54" s="93"/>
      <c r="V54" s="98"/>
      <c r="W54" s="93"/>
      <c r="X54" s="98"/>
      <c r="Y54" s="93"/>
      <c r="Z54" s="93"/>
      <c r="AA54" s="93"/>
      <c r="AB54" s="93"/>
      <c r="AC54" s="93"/>
      <c r="AD54" s="93"/>
      <c r="AE54" s="96"/>
      <c r="AF54" s="94"/>
      <c r="AG54" s="93"/>
      <c r="AJ54" s="7"/>
      <c r="AK54" s="7"/>
      <c r="AL54" s="41"/>
      <c r="AM54" s="42"/>
      <c r="AN54" s="7"/>
      <c r="AO54" s="7"/>
      <c r="AP54" s="7"/>
      <c r="AQ54" s="7"/>
      <c r="AR54" s="5"/>
      <c r="AS54" s="5"/>
    </row>
    <row r="55" spans="1:45" ht="15.75" x14ac:dyDescent="0.25">
      <c r="A55" s="56"/>
      <c r="B55" s="54"/>
      <c r="C55" s="63"/>
      <c r="D55" s="64"/>
      <c r="E55" s="64"/>
      <c r="F55" s="64"/>
      <c r="G55" s="64"/>
      <c r="H55" s="64"/>
      <c r="I55" s="64"/>
      <c r="J55" s="64"/>
      <c r="K55" s="64"/>
      <c r="L55" s="64"/>
      <c r="M55" s="64"/>
      <c r="N55" s="64"/>
      <c r="O55" s="64"/>
      <c r="P55" s="64"/>
      <c r="Q55" s="65"/>
      <c r="R55" s="4"/>
      <c r="S55" s="95"/>
      <c r="T55" s="97"/>
      <c r="U55" s="93"/>
      <c r="V55" s="98"/>
      <c r="W55" s="93"/>
      <c r="X55" s="98"/>
      <c r="Y55" s="93"/>
      <c r="Z55" s="93"/>
      <c r="AA55" s="93"/>
      <c r="AB55" s="93"/>
      <c r="AC55" s="93"/>
      <c r="AD55" s="93"/>
      <c r="AE55" s="96"/>
      <c r="AF55" s="94"/>
      <c r="AG55" s="93"/>
      <c r="AJ55" s="7"/>
      <c r="AK55" s="7"/>
      <c r="AL55" s="41"/>
      <c r="AM55" s="42"/>
      <c r="AN55" s="7"/>
      <c r="AO55" s="7"/>
      <c r="AP55" s="7"/>
      <c r="AQ55" s="7"/>
      <c r="AR55" s="5"/>
      <c r="AS55" s="5"/>
    </row>
    <row r="56" spans="1:45" ht="16.5" thickBot="1" x14ac:dyDescent="0.3">
      <c r="A56" s="56"/>
      <c r="B56" s="54"/>
      <c r="C56" s="66"/>
      <c r="D56" s="67"/>
      <c r="E56" s="67"/>
      <c r="F56" s="67"/>
      <c r="G56" s="67"/>
      <c r="H56" s="67"/>
      <c r="I56" s="67"/>
      <c r="J56" s="67"/>
      <c r="K56" s="67"/>
      <c r="L56" s="67"/>
      <c r="M56" s="67"/>
      <c r="N56" s="67"/>
      <c r="O56" s="67"/>
      <c r="P56" s="67"/>
      <c r="Q56" s="68"/>
      <c r="R56" s="4"/>
      <c r="S56" s="95"/>
      <c r="T56" s="97"/>
      <c r="U56" s="93"/>
      <c r="V56" s="98"/>
      <c r="W56" s="93"/>
      <c r="X56" s="98"/>
      <c r="Y56" s="93"/>
      <c r="Z56" s="93"/>
      <c r="AA56" s="93"/>
      <c r="AB56" s="93"/>
      <c r="AC56" s="93"/>
      <c r="AD56" s="93"/>
      <c r="AE56" s="96"/>
      <c r="AF56" s="94"/>
      <c r="AG56" s="93"/>
      <c r="AJ56" s="7"/>
      <c r="AK56" s="7"/>
      <c r="AL56" s="41"/>
      <c r="AM56" s="42"/>
      <c r="AN56" s="7"/>
      <c r="AO56" s="7"/>
      <c r="AP56" s="7"/>
      <c r="AQ56" s="7"/>
      <c r="AR56" s="5"/>
      <c r="AS56" s="5"/>
    </row>
    <row r="57" spans="1:45" ht="16.5" thickTop="1" x14ac:dyDescent="0.25">
      <c r="A57" s="56"/>
      <c r="B57" s="54"/>
      <c r="C57" s="69"/>
      <c r="D57" s="70"/>
      <c r="E57" s="70"/>
      <c r="F57" s="70"/>
      <c r="G57" s="70"/>
      <c r="H57" s="70"/>
      <c r="I57" s="70"/>
      <c r="J57" s="70"/>
      <c r="K57" s="70"/>
      <c r="L57" s="70"/>
      <c r="M57" s="70"/>
      <c r="N57" s="70"/>
      <c r="O57" s="70"/>
      <c r="P57" s="70"/>
      <c r="Q57" s="71"/>
      <c r="R57" s="4"/>
      <c r="S57" s="95"/>
      <c r="T57" s="97"/>
      <c r="U57" s="93"/>
      <c r="V57" s="98"/>
      <c r="W57" s="93"/>
      <c r="X57" s="98"/>
      <c r="Y57" s="93"/>
      <c r="Z57" s="93"/>
      <c r="AA57" s="93"/>
      <c r="AB57" s="93"/>
      <c r="AC57" s="93"/>
      <c r="AD57" s="93"/>
      <c r="AE57" s="96"/>
      <c r="AF57" s="94"/>
      <c r="AG57" s="93"/>
      <c r="AJ57" s="7"/>
      <c r="AK57" s="7"/>
      <c r="AL57" s="41"/>
      <c r="AM57" s="42"/>
      <c r="AN57" s="7"/>
      <c r="AO57" s="7"/>
      <c r="AP57" s="7"/>
      <c r="AQ57" s="7"/>
      <c r="AR57" s="5"/>
      <c r="AS57" s="5"/>
    </row>
    <row r="58" spans="1:45" ht="15.75" x14ac:dyDescent="0.25">
      <c r="A58" s="56"/>
      <c r="B58" s="54"/>
      <c r="C58" s="63"/>
      <c r="D58" s="64"/>
      <c r="E58" s="64"/>
      <c r="F58" s="64"/>
      <c r="G58" s="64"/>
      <c r="H58" s="64"/>
      <c r="I58" s="64"/>
      <c r="J58" s="64"/>
      <c r="K58" s="64"/>
      <c r="L58" s="64"/>
      <c r="M58" s="64"/>
      <c r="N58" s="64"/>
      <c r="O58" s="64"/>
      <c r="P58" s="64"/>
      <c r="Q58" s="65"/>
      <c r="R58" s="4"/>
      <c r="S58" s="95"/>
      <c r="T58" s="97"/>
      <c r="U58" s="93"/>
      <c r="V58" s="98"/>
      <c r="W58" s="93"/>
      <c r="X58" s="98"/>
      <c r="Y58" s="93"/>
      <c r="Z58" s="93"/>
      <c r="AA58" s="93"/>
      <c r="AB58" s="93"/>
      <c r="AC58" s="93"/>
      <c r="AD58" s="93"/>
      <c r="AE58" s="96"/>
      <c r="AF58" s="94"/>
      <c r="AG58" s="93"/>
      <c r="AJ58" s="7"/>
      <c r="AK58" s="7"/>
      <c r="AL58" s="41"/>
      <c r="AM58" s="42"/>
      <c r="AN58" s="7"/>
      <c r="AO58" s="7"/>
      <c r="AP58" s="7"/>
      <c r="AQ58" s="7"/>
      <c r="AR58" s="5"/>
      <c r="AS58" s="5"/>
    </row>
    <row r="59" spans="1:45" ht="15.75" x14ac:dyDescent="0.25">
      <c r="A59" s="56"/>
      <c r="B59" s="54"/>
      <c r="C59" s="63"/>
      <c r="D59" s="64"/>
      <c r="E59" s="64"/>
      <c r="F59" s="64"/>
      <c r="G59" s="64"/>
      <c r="H59" s="64"/>
      <c r="I59" s="64"/>
      <c r="J59" s="64"/>
      <c r="K59" s="64"/>
      <c r="L59" s="64"/>
      <c r="M59" s="64"/>
      <c r="N59" s="64"/>
      <c r="O59" s="64"/>
      <c r="P59" s="64"/>
      <c r="Q59" s="65"/>
      <c r="R59" s="4"/>
      <c r="S59" s="95"/>
      <c r="T59" s="97"/>
      <c r="U59" s="93"/>
      <c r="V59" s="98"/>
      <c r="W59" s="93"/>
      <c r="X59" s="98"/>
      <c r="Y59" s="93"/>
      <c r="Z59" s="93"/>
      <c r="AA59" s="93"/>
      <c r="AB59" s="93"/>
      <c r="AC59" s="93"/>
      <c r="AD59" s="93"/>
      <c r="AE59" s="96"/>
      <c r="AF59" s="94"/>
      <c r="AG59" s="93"/>
      <c r="AJ59" s="7"/>
      <c r="AK59" s="7"/>
      <c r="AL59" s="41"/>
      <c r="AM59" s="42"/>
      <c r="AN59" s="7"/>
      <c r="AO59" s="7"/>
      <c r="AP59" s="7"/>
      <c r="AQ59" s="7"/>
      <c r="AR59" s="5"/>
      <c r="AS59" s="5"/>
    </row>
    <row r="60" spans="1:45" ht="15.75" x14ac:dyDescent="0.25">
      <c r="A60" s="56"/>
      <c r="B60" s="54"/>
      <c r="C60" s="63"/>
      <c r="D60" s="64"/>
      <c r="E60" s="64"/>
      <c r="F60" s="64"/>
      <c r="G60" s="64"/>
      <c r="H60" s="64"/>
      <c r="I60" s="64"/>
      <c r="J60" s="64"/>
      <c r="K60" s="64"/>
      <c r="L60" s="64"/>
      <c r="M60" s="64"/>
      <c r="N60" s="64"/>
      <c r="O60" s="64"/>
      <c r="P60" s="64"/>
      <c r="Q60" s="65"/>
      <c r="R60" s="4"/>
      <c r="S60" s="95"/>
      <c r="T60" s="97"/>
      <c r="U60" s="93"/>
      <c r="V60" s="98"/>
      <c r="W60" s="93"/>
      <c r="X60" s="98"/>
      <c r="Y60" s="93"/>
      <c r="Z60" s="93"/>
      <c r="AA60" s="93"/>
      <c r="AB60" s="93"/>
      <c r="AC60" s="93"/>
      <c r="AD60" s="93"/>
      <c r="AE60" s="96"/>
      <c r="AF60" s="94"/>
      <c r="AG60" s="93"/>
      <c r="AJ60" s="7"/>
      <c r="AK60" s="7"/>
      <c r="AL60" s="41"/>
      <c r="AM60" s="42"/>
      <c r="AN60" s="7"/>
      <c r="AO60" s="7"/>
      <c r="AP60" s="7"/>
      <c r="AQ60" s="7"/>
      <c r="AR60" s="5"/>
      <c r="AS60" s="5"/>
    </row>
    <row r="61" spans="1:45" ht="15.75" x14ac:dyDescent="0.25">
      <c r="A61" s="56"/>
      <c r="B61" s="54"/>
      <c r="C61" s="63"/>
      <c r="D61" s="64"/>
      <c r="E61" s="64"/>
      <c r="F61" s="64"/>
      <c r="G61" s="64"/>
      <c r="H61" s="64"/>
      <c r="I61" s="64"/>
      <c r="J61" s="64"/>
      <c r="K61" s="64"/>
      <c r="L61" s="64"/>
      <c r="M61" s="64"/>
      <c r="N61" s="64"/>
      <c r="O61" s="64"/>
      <c r="P61" s="64"/>
      <c r="Q61" s="65"/>
      <c r="R61" s="4"/>
      <c r="S61" s="95"/>
      <c r="T61" s="97"/>
      <c r="U61" s="93"/>
      <c r="V61" s="98"/>
      <c r="W61" s="93"/>
      <c r="X61" s="98"/>
      <c r="Y61" s="93"/>
      <c r="Z61" s="93"/>
      <c r="AA61" s="93"/>
      <c r="AB61" s="93"/>
      <c r="AC61" s="93"/>
      <c r="AD61" s="93"/>
      <c r="AE61" s="96"/>
      <c r="AF61" s="94"/>
      <c r="AG61" s="93"/>
      <c r="AJ61" s="7"/>
      <c r="AK61" s="7"/>
      <c r="AL61" s="41"/>
      <c r="AM61" s="42"/>
      <c r="AN61" s="7"/>
      <c r="AO61" s="7"/>
      <c r="AP61" s="7"/>
      <c r="AQ61" s="7"/>
      <c r="AR61" s="5"/>
      <c r="AS61" s="5"/>
    </row>
    <row r="62" spans="1:45" ht="15.75" x14ac:dyDescent="0.25">
      <c r="A62" s="56"/>
      <c r="B62" s="54"/>
      <c r="C62" s="63"/>
      <c r="D62" s="64"/>
      <c r="E62" s="64"/>
      <c r="F62" s="64"/>
      <c r="G62" s="64"/>
      <c r="H62" s="64"/>
      <c r="I62" s="64"/>
      <c r="J62" s="64"/>
      <c r="K62" s="64"/>
      <c r="L62" s="64"/>
      <c r="M62" s="64"/>
      <c r="N62" s="64"/>
      <c r="O62" s="64"/>
      <c r="P62" s="64"/>
      <c r="Q62" s="65"/>
      <c r="R62" s="4"/>
      <c r="S62" s="95"/>
      <c r="T62" s="97"/>
      <c r="U62" s="93"/>
      <c r="V62" s="98"/>
      <c r="W62" s="93"/>
      <c r="X62" s="98"/>
      <c r="Y62" s="93"/>
      <c r="Z62" s="93"/>
      <c r="AA62" s="93"/>
      <c r="AB62" s="93"/>
      <c r="AC62" s="93"/>
      <c r="AD62" s="93"/>
      <c r="AE62" s="96"/>
      <c r="AF62" s="94"/>
      <c r="AG62" s="93"/>
      <c r="AJ62" s="7"/>
      <c r="AK62" s="7"/>
      <c r="AL62" s="41"/>
      <c r="AM62" s="42"/>
      <c r="AN62" s="7"/>
      <c r="AO62" s="7"/>
      <c r="AP62" s="7"/>
      <c r="AQ62" s="7"/>
      <c r="AR62" s="5"/>
      <c r="AS62" s="5"/>
    </row>
    <row r="63" spans="1:45" ht="15.75" x14ac:dyDescent="0.25">
      <c r="A63" s="56"/>
      <c r="B63" s="54"/>
      <c r="C63" s="63"/>
      <c r="D63" s="64"/>
      <c r="E63" s="64"/>
      <c r="F63" s="64"/>
      <c r="G63" s="64"/>
      <c r="H63" s="64"/>
      <c r="I63" s="64"/>
      <c r="J63" s="64"/>
      <c r="K63" s="64"/>
      <c r="L63" s="64"/>
      <c r="M63" s="64"/>
      <c r="N63" s="64"/>
      <c r="O63" s="64"/>
      <c r="P63" s="64"/>
      <c r="Q63" s="65"/>
      <c r="R63" s="4"/>
      <c r="S63" s="95"/>
      <c r="T63" s="97"/>
      <c r="U63" s="93"/>
      <c r="V63" s="98"/>
      <c r="W63" s="93"/>
      <c r="X63" s="98"/>
      <c r="Y63" s="93"/>
      <c r="Z63" s="93"/>
      <c r="AA63" s="93"/>
      <c r="AB63" s="93"/>
      <c r="AC63" s="93"/>
      <c r="AD63" s="93"/>
      <c r="AE63" s="96"/>
      <c r="AF63" s="94"/>
      <c r="AG63" s="93"/>
      <c r="AJ63" s="7"/>
      <c r="AK63" s="7"/>
      <c r="AL63" s="41"/>
      <c r="AM63" s="42"/>
      <c r="AN63" s="7"/>
      <c r="AO63" s="7"/>
      <c r="AP63" s="7"/>
      <c r="AQ63" s="7"/>
      <c r="AR63" s="5"/>
      <c r="AS63" s="5"/>
    </row>
    <row r="64" spans="1:45" ht="15.75" x14ac:dyDescent="0.25">
      <c r="A64" s="56"/>
      <c r="B64" s="54"/>
      <c r="C64" s="63"/>
      <c r="D64" s="64"/>
      <c r="E64" s="64"/>
      <c r="F64" s="64"/>
      <c r="G64" s="64"/>
      <c r="H64" s="64"/>
      <c r="I64" s="64"/>
      <c r="J64" s="64"/>
      <c r="K64" s="64"/>
      <c r="L64" s="64"/>
      <c r="M64" s="64"/>
      <c r="N64" s="64"/>
      <c r="O64" s="64"/>
      <c r="P64" s="64"/>
      <c r="Q64" s="65"/>
      <c r="S64" s="95"/>
      <c r="T64" s="97"/>
      <c r="U64" s="93"/>
      <c r="V64" s="98"/>
      <c r="W64" s="93"/>
      <c r="X64" s="98"/>
      <c r="Y64" s="93"/>
      <c r="Z64" s="93"/>
      <c r="AA64" s="93"/>
      <c r="AB64" s="93"/>
      <c r="AC64" s="93"/>
      <c r="AD64" s="93"/>
      <c r="AE64" s="96"/>
      <c r="AF64" s="94"/>
      <c r="AG64" s="93"/>
      <c r="AJ64" s="7"/>
      <c r="AK64" s="7"/>
      <c r="AL64" s="41"/>
      <c r="AM64" s="42"/>
      <c r="AN64" s="7"/>
      <c r="AO64" s="7"/>
      <c r="AP64" s="7"/>
      <c r="AQ64" s="7"/>
      <c r="AR64" s="5"/>
      <c r="AS64" s="5"/>
    </row>
    <row r="65" spans="1:45" ht="15.75" x14ac:dyDescent="0.25">
      <c r="A65" s="56"/>
      <c r="B65" s="54"/>
      <c r="C65" s="63"/>
      <c r="D65" s="64"/>
      <c r="E65" s="64"/>
      <c r="F65" s="64"/>
      <c r="G65" s="64"/>
      <c r="H65" s="64"/>
      <c r="I65" s="64"/>
      <c r="J65" s="64"/>
      <c r="K65" s="64"/>
      <c r="L65" s="64"/>
      <c r="M65" s="64"/>
      <c r="N65" s="64"/>
      <c r="O65" s="64"/>
      <c r="P65" s="64"/>
      <c r="Q65" s="65"/>
      <c r="S65" s="95"/>
      <c r="T65" s="97"/>
      <c r="U65" s="93"/>
      <c r="V65" s="98"/>
      <c r="W65" s="93"/>
      <c r="X65" s="98"/>
      <c r="Y65" s="93"/>
      <c r="Z65" s="93"/>
      <c r="AA65" s="93"/>
      <c r="AB65" s="93"/>
      <c r="AC65" s="93"/>
      <c r="AD65" s="93"/>
      <c r="AE65" s="96"/>
      <c r="AF65" s="94"/>
      <c r="AG65" s="93"/>
      <c r="AJ65" s="7"/>
      <c r="AK65" s="7"/>
      <c r="AL65" s="41"/>
      <c r="AM65" s="42"/>
      <c r="AN65" s="7"/>
      <c r="AO65" s="7"/>
      <c r="AP65" s="7"/>
      <c r="AQ65" s="7"/>
      <c r="AR65" s="5"/>
      <c r="AS65" s="5"/>
    </row>
    <row r="66" spans="1:45" ht="15.75" x14ac:dyDescent="0.25">
      <c r="A66" s="56"/>
      <c r="B66" s="54"/>
      <c r="C66" s="63"/>
      <c r="D66" s="64"/>
      <c r="E66" s="64"/>
      <c r="F66" s="64"/>
      <c r="G66" s="64"/>
      <c r="H66" s="64"/>
      <c r="I66" s="64"/>
      <c r="J66" s="64"/>
      <c r="K66" s="64"/>
      <c r="L66" s="64"/>
      <c r="M66" s="64"/>
      <c r="N66" s="64"/>
      <c r="O66" s="64"/>
      <c r="P66" s="64"/>
      <c r="Q66" s="65"/>
      <c r="S66" s="95"/>
      <c r="T66" s="97"/>
      <c r="U66" s="93"/>
      <c r="V66" s="98"/>
      <c r="W66" s="93"/>
      <c r="X66" s="98"/>
      <c r="Y66" s="93"/>
      <c r="Z66" s="93"/>
      <c r="AA66" s="93"/>
      <c r="AB66" s="93"/>
      <c r="AC66" s="93"/>
      <c r="AD66" s="93"/>
      <c r="AE66" s="96"/>
      <c r="AF66" s="94"/>
      <c r="AG66" s="93"/>
      <c r="AJ66" s="7"/>
      <c r="AK66" s="7"/>
      <c r="AL66" s="41"/>
      <c r="AM66" s="42"/>
      <c r="AN66" s="7"/>
      <c r="AO66" s="7"/>
      <c r="AP66" s="7"/>
      <c r="AQ66" s="7"/>
      <c r="AR66" s="5"/>
      <c r="AS66" s="5"/>
    </row>
    <row r="67" spans="1:45" ht="15.75" x14ac:dyDescent="0.25">
      <c r="A67" s="56"/>
      <c r="B67" s="54"/>
      <c r="C67" s="63"/>
      <c r="D67" s="64"/>
      <c r="E67" s="64"/>
      <c r="F67" s="64"/>
      <c r="G67" s="64"/>
      <c r="H67" s="64"/>
      <c r="I67" s="64"/>
      <c r="J67" s="64"/>
      <c r="K67" s="64"/>
      <c r="L67" s="64"/>
      <c r="M67" s="64"/>
      <c r="N67" s="64"/>
      <c r="O67" s="64"/>
      <c r="P67" s="64"/>
      <c r="Q67" s="65"/>
      <c r="S67" s="95"/>
      <c r="T67" s="97"/>
      <c r="U67" s="93"/>
      <c r="V67" s="98"/>
      <c r="W67" s="93"/>
      <c r="X67" s="98"/>
      <c r="Y67" s="93"/>
      <c r="Z67" s="93"/>
      <c r="AA67" s="93"/>
      <c r="AB67" s="93"/>
      <c r="AC67" s="93"/>
      <c r="AD67" s="93"/>
      <c r="AE67" s="96"/>
      <c r="AF67" s="94"/>
      <c r="AG67" s="93"/>
      <c r="AJ67" s="7"/>
      <c r="AK67" s="7"/>
      <c r="AL67" s="41"/>
      <c r="AM67" s="42"/>
      <c r="AN67" s="7"/>
      <c r="AO67" s="7"/>
      <c r="AP67" s="7"/>
      <c r="AQ67" s="7"/>
      <c r="AR67" s="5"/>
      <c r="AS67" s="5"/>
    </row>
    <row r="68" spans="1:45" ht="16.5" thickBot="1" x14ac:dyDescent="0.3">
      <c r="A68" s="56"/>
      <c r="B68" s="54"/>
      <c r="C68" s="66"/>
      <c r="D68" s="67"/>
      <c r="E68" s="67"/>
      <c r="F68" s="67"/>
      <c r="G68" s="67"/>
      <c r="H68" s="67"/>
      <c r="I68" s="67"/>
      <c r="J68" s="67"/>
      <c r="K68" s="67"/>
      <c r="L68" s="67"/>
      <c r="M68" s="67"/>
      <c r="N68" s="67"/>
      <c r="O68" s="67"/>
      <c r="P68" s="67"/>
      <c r="Q68" s="68"/>
      <c r="S68" s="95"/>
      <c r="T68" s="97"/>
      <c r="U68" s="93"/>
      <c r="V68" s="98"/>
      <c r="W68" s="93"/>
      <c r="X68" s="98"/>
      <c r="Y68" s="93"/>
      <c r="Z68" s="93"/>
      <c r="AA68" s="93"/>
      <c r="AB68" s="93"/>
      <c r="AC68" s="93"/>
      <c r="AD68" s="93"/>
      <c r="AE68" s="96"/>
      <c r="AF68" s="94"/>
      <c r="AG68" s="93"/>
      <c r="AJ68" s="7"/>
      <c r="AK68" s="7"/>
      <c r="AL68" s="41"/>
      <c r="AM68" s="42"/>
      <c r="AN68" s="7"/>
      <c r="AO68" s="7"/>
      <c r="AP68" s="7"/>
      <c r="AQ68" s="7"/>
      <c r="AR68" s="5"/>
      <c r="AS68" s="5"/>
    </row>
    <row r="69" spans="1:45" ht="16.5" thickTop="1" x14ac:dyDescent="0.25">
      <c r="A69" s="56"/>
      <c r="B69" s="54"/>
      <c r="C69" s="69"/>
      <c r="D69" s="70"/>
      <c r="E69" s="70"/>
      <c r="F69" s="70"/>
      <c r="G69" s="70"/>
      <c r="H69" s="70"/>
      <c r="I69" s="70"/>
      <c r="J69" s="70"/>
      <c r="K69" s="70"/>
      <c r="L69" s="70"/>
      <c r="M69" s="70"/>
      <c r="N69" s="70"/>
      <c r="O69" s="70"/>
      <c r="P69" s="70"/>
      <c r="Q69" s="71"/>
      <c r="S69" s="95"/>
      <c r="T69" s="97"/>
      <c r="U69" s="93"/>
      <c r="V69" s="98"/>
      <c r="W69" s="93"/>
      <c r="X69" s="98"/>
      <c r="Y69" s="93"/>
      <c r="Z69" s="93"/>
      <c r="AA69" s="93"/>
      <c r="AB69" s="93"/>
      <c r="AC69" s="93"/>
      <c r="AD69" s="93"/>
      <c r="AE69" s="96"/>
      <c r="AF69" s="94"/>
      <c r="AG69" s="93"/>
      <c r="AJ69" s="7"/>
      <c r="AK69" s="7"/>
      <c r="AL69" s="41"/>
      <c r="AM69" s="42"/>
      <c r="AN69" s="7"/>
      <c r="AO69" s="7"/>
      <c r="AP69" s="7"/>
      <c r="AQ69" s="7"/>
      <c r="AR69" s="5"/>
      <c r="AS69" s="5"/>
    </row>
    <row r="70" spans="1:45" ht="15.75" x14ac:dyDescent="0.25">
      <c r="A70" s="56"/>
      <c r="B70" s="54"/>
      <c r="C70" s="63"/>
      <c r="D70" s="64"/>
      <c r="E70" s="64"/>
      <c r="F70" s="64"/>
      <c r="G70" s="64"/>
      <c r="H70" s="64"/>
      <c r="I70" s="64"/>
      <c r="J70" s="64"/>
      <c r="K70" s="64"/>
      <c r="L70" s="64"/>
      <c r="M70" s="64"/>
      <c r="N70" s="64"/>
      <c r="O70" s="64"/>
      <c r="P70" s="64"/>
      <c r="Q70" s="65"/>
      <c r="S70" s="95"/>
      <c r="T70" s="97"/>
      <c r="U70" s="93"/>
      <c r="V70" s="98"/>
      <c r="W70" s="93"/>
      <c r="X70" s="98"/>
      <c r="Y70" s="93"/>
      <c r="Z70" s="93"/>
      <c r="AA70" s="93"/>
      <c r="AB70" s="93"/>
      <c r="AC70" s="93"/>
      <c r="AD70" s="93"/>
      <c r="AE70" s="96"/>
      <c r="AF70" s="94"/>
      <c r="AG70" s="93"/>
      <c r="AJ70" s="7"/>
      <c r="AK70" s="7"/>
      <c r="AL70" s="41"/>
      <c r="AM70" s="42"/>
      <c r="AN70" s="7"/>
      <c r="AO70" s="7"/>
      <c r="AP70" s="7"/>
      <c r="AQ70" s="7"/>
      <c r="AR70" s="5"/>
      <c r="AS70" s="5"/>
    </row>
    <row r="71" spans="1:45" ht="15.75" x14ac:dyDescent="0.25">
      <c r="A71" s="56"/>
      <c r="B71" s="54"/>
      <c r="C71" s="63"/>
      <c r="D71" s="64"/>
      <c r="E71" s="64"/>
      <c r="F71" s="64"/>
      <c r="G71" s="64"/>
      <c r="H71" s="64"/>
      <c r="I71" s="64"/>
      <c r="J71" s="64"/>
      <c r="K71" s="64"/>
      <c r="L71" s="64"/>
      <c r="M71" s="64"/>
      <c r="N71" s="64"/>
      <c r="O71" s="64"/>
      <c r="P71" s="64"/>
      <c r="Q71" s="65"/>
      <c r="S71" s="95"/>
      <c r="T71" s="97"/>
      <c r="U71" s="93"/>
      <c r="V71" s="98"/>
      <c r="W71" s="93"/>
      <c r="X71" s="98"/>
      <c r="Y71" s="93"/>
      <c r="Z71" s="93"/>
      <c r="AA71" s="93"/>
      <c r="AB71" s="93"/>
      <c r="AC71" s="93"/>
      <c r="AD71" s="93"/>
      <c r="AE71" s="96"/>
      <c r="AF71" s="94"/>
      <c r="AG71" s="93"/>
      <c r="AJ71" s="7"/>
      <c r="AK71" s="7"/>
      <c r="AL71" s="41"/>
      <c r="AM71" s="42"/>
      <c r="AN71" s="7"/>
      <c r="AO71" s="7"/>
      <c r="AP71" s="7"/>
      <c r="AQ71" s="7"/>
      <c r="AR71" s="5"/>
      <c r="AS71" s="5"/>
    </row>
    <row r="72" spans="1:45" ht="15.75" x14ac:dyDescent="0.25">
      <c r="A72" s="56"/>
      <c r="B72" s="54"/>
      <c r="C72" s="63"/>
      <c r="D72" s="64"/>
      <c r="E72" s="64"/>
      <c r="F72" s="64"/>
      <c r="G72" s="64"/>
      <c r="H72" s="64"/>
      <c r="I72" s="64"/>
      <c r="J72" s="64"/>
      <c r="K72" s="64"/>
      <c r="L72" s="64"/>
      <c r="M72" s="64"/>
      <c r="N72" s="64"/>
      <c r="O72" s="64"/>
      <c r="P72" s="64"/>
      <c r="Q72" s="65"/>
      <c r="S72" s="95"/>
      <c r="T72" s="97"/>
      <c r="U72" s="93"/>
      <c r="V72" s="98"/>
      <c r="W72" s="93"/>
      <c r="X72" s="98"/>
      <c r="Y72" s="93"/>
      <c r="Z72" s="93"/>
      <c r="AA72" s="93"/>
      <c r="AB72" s="93"/>
      <c r="AC72" s="93"/>
      <c r="AD72" s="93"/>
      <c r="AE72" s="96"/>
      <c r="AF72" s="94"/>
      <c r="AG72" s="93"/>
      <c r="AJ72" s="7"/>
      <c r="AK72" s="7"/>
      <c r="AL72" s="41"/>
      <c r="AM72" s="42"/>
      <c r="AN72" s="7"/>
      <c r="AO72" s="7"/>
      <c r="AP72" s="7"/>
      <c r="AQ72" s="7"/>
      <c r="AR72" s="5"/>
      <c r="AS72" s="5"/>
    </row>
    <row r="73" spans="1:45" ht="15.75" x14ac:dyDescent="0.25">
      <c r="A73" s="56"/>
      <c r="B73" s="54"/>
      <c r="C73" s="63"/>
      <c r="D73" s="64"/>
      <c r="E73" s="64"/>
      <c r="F73" s="64"/>
      <c r="G73" s="64"/>
      <c r="H73" s="64"/>
      <c r="I73" s="64"/>
      <c r="J73" s="64"/>
      <c r="K73" s="64"/>
      <c r="L73" s="64"/>
      <c r="M73" s="64"/>
      <c r="N73" s="64"/>
      <c r="O73" s="64"/>
      <c r="P73" s="64"/>
      <c r="Q73" s="65"/>
      <c r="S73" s="95"/>
      <c r="T73" s="97"/>
      <c r="U73" s="93"/>
      <c r="V73" s="98"/>
      <c r="W73" s="93"/>
      <c r="X73" s="98"/>
      <c r="Y73" s="93"/>
      <c r="Z73" s="93"/>
      <c r="AA73" s="93"/>
      <c r="AB73" s="93"/>
      <c r="AC73" s="93"/>
      <c r="AD73" s="93"/>
      <c r="AE73" s="96"/>
      <c r="AF73" s="94"/>
      <c r="AG73" s="93"/>
      <c r="AJ73" s="7"/>
      <c r="AK73" s="7"/>
      <c r="AL73" s="41"/>
      <c r="AM73" s="42"/>
      <c r="AN73" s="7"/>
      <c r="AO73" s="7"/>
      <c r="AP73" s="7"/>
      <c r="AQ73" s="7"/>
      <c r="AR73" s="5"/>
      <c r="AS73" s="5"/>
    </row>
    <row r="74" spans="1:45" ht="15.75" x14ac:dyDescent="0.25">
      <c r="A74" s="56"/>
      <c r="B74" s="54"/>
      <c r="C74" s="63"/>
      <c r="D74" s="64"/>
      <c r="E74" s="64"/>
      <c r="F74" s="64"/>
      <c r="G74" s="64"/>
      <c r="H74" s="64"/>
      <c r="I74" s="64"/>
      <c r="J74" s="64"/>
      <c r="K74" s="64"/>
      <c r="L74" s="64"/>
      <c r="M74" s="64"/>
      <c r="N74" s="64"/>
      <c r="O74" s="64"/>
      <c r="P74" s="64"/>
      <c r="Q74" s="65"/>
      <c r="S74" s="95"/>
      <c r="T74" s="97"/>
      <c r="U74" s="93"/>
      <c r="V74" s="98"/>
      <c r="W74" s="93"/>
      <c r="X74" s="98"/>
      <c r="Y74" s="93"/>
      <c r="Z74" s="93"/>
      <c r="AA74" s="93"/>
      <c r="AB74" s="93"/>
      <c r="AC74" s="93"/>
      <c r="AD74" s="93"/>
      <c r="AE74" s="96"/>
      <c r="AF74" s="94"/>
      <c r="AG74" s="93"/>
      <c r="AJ74" s="7"/>
      <c r="AK74" s="7"/>
      <c r="AL74" s="41"/>
      <c r="AM74" s="42"/>
      <c r="AN74" s="7"/>
      <c r="AO74" s="7"/>
      <c r="AP74" s="7"/>
      <c r="AQ74" s="7"/>
      <c r="AR74" s="5"/>
      <c r="AS74" s="5"/>
    </row>
    <row r="75" spans="1:45" ht="15.75" x14ac:dyDescent="0.25">
      <c r="A75" s="56"/>
      <c r="B75" s="54"/>
      <c r="C75" s="63"/>
      <c r="D75" s="64"/>
      <c r="E75" s="64"/>
      <c r="F75" s="64"/>
      <c r="G75" s="64"/>
      <c r="H75" s="64"/>
      <c r="I75" s="64"/>
      <c r="J75" s="64"/>
      <c r="K75" s="64"/>
      <c r="L75" s="64"/>
      <c r="M75" s="64"/>
      <c r="N75" s="64"/>
      <c r="O75" s="64"/>
      <c r="P75" s="64"/>
      <c r="Q75" s="65"/>
      <c r="S75" s="95"/>
      <c r="T75" s="97"/>
      <c r="U75" s="93"/>
      <c r="V75" s="98"/>
      <c r="W75" s="93"/>
      <c r="X75" s="98"/>
      <c r="Y75" s="93"/>
      <c r="Z75" s="93"/>
      <c r="AA75" s="93"/>
      <c r="AB75" s="93"/>
      <c r="AC75" s="93"/>
      <c r="AD75" s="93"/>
      <c r="AE75" s="96"/>
      <c r="AF75" s="94"/>
      <c r="AG75" s="93"/>
      <c r="AJ75" s="7"/>
      <c r="AK75" s="7"/>
      <c r="AL75" s="41"/>
      <c r="AM75" s="42"/>
      <c r="AN75" s="7"/>
      <c r="AO75" s="7"/>
      <c r="AP75" s="7"/>
      <c r="AQ75" s="7"/>
      <c r="AR75" s="5"/>
      <c r="AS75" s="5"/>
    </row>
    <row r="76" spans="1:45" ht="15.75" x14ac:dyDescent="0.25">
      <c r="A76" s="56"/>
      <c r="B76" s="54"/>
      <c r="C76" s="63"/>
      <c r="D76" s="64"/>
      <c r="E76" s="64"/>
      <c r="F76" s="64"/>
      <c r="G76" s="64"/>
      <c r="H76" s="64"/>
      <c r="I76" s="64"/>
      <c r="J76" s="64"/>
      <c r="K76" s="64"/>
      <c r="L76" s="64"/>
      <c r="M76" s="64"/>
      <c r="N76" s="64"/>
      <c r="O76" s="64"/>
      <c r="P76" s="64"/>
      <c r="Q76" s="65"/>
      <c r="S76" s="95"/>
      <c r="T76" s="97"/>
      <c r="U76" s="93"/>
      <c r="V76" s="98"/>
      <c r="W76" s="93"/>
      <c r="X76" s="98"/>
      <c r="Y76" s="93"/>
      <c r="Z76" s="93"/>
      <c r="AA76" s="93"/>
      <c r="AB76" s="93"/>
      <c r="AC76" s="93"/>
      <c r="AD76" s="93"/>
      <c r="AE76" s="96"/>
      <c r="AF76" s="94"/>
      <c r="AG76" s="93"/>
      <c r="AJ76" s="7"/>
      <c r="AK76" s="7"/>
      <c r="AL76" s="41"/>
      <c r="AM76" s="42"/>
      <c r="AN76" s="7"/>
      <c r="AO76" s="7"/>
      <c r="AP76" s="7"/>
      <c r="AQ76" s="7"/>
      <c r="AR76" s="5"/>
      <c r="AS76" s="5"/>
    </row>
    <row r="77" spans="1:45" ht="15.75" x14ac:dyDescent="0.25">
      <c r="A77" s="56"/>
      <c r="B77" s="54"/>
      <c r="C77" s="63"/>
      <c r="D77" s="64"/>
      <c r="E77" s="64"/>
      <c r="F77" s="64"/>
      <c r="G77" s="64"/>
      <c r="H77" s="64"/>
      <c r="I77" s="64"/>
      <c r="J77" s="64"/>
      <c r="K77" s="64"/>
      <c r="L77" s="64"/>
      <c r="M77" s="64"/>
      <c r="N77" s="64"/>
      <c r="O77" s="64"/>
      <c r="P77" s="64"/>
      <c r="Q77" s="65"/>
      <c r="S77" s="95"/>
      <c r="T77" s="97"/>
      <c r="U77" s="93"/>
      <c r="V77" s="98"/>
      <c r="W77" s="93"/>
      <c r="X77" s="98"/>
      <c r="Y77" s="93"/>
      <c r="Z77" s="93"/>
      <c r="AA77" s="93"/>
      <c r="AB77" s="93"/>
      <c r="AC77" s="93"/>
      <c r="AD77" s="93"/>
      <c r="AE77" s="96"/>
      <c r="AF77" s="94"/>
      <c r="AG77" s="93"/>
      <c r="AJ77" s="7"/>
      <c r="AK77" s="7"/>
      <c r="AL77" s="41"/>
      <c r="AM77" s="42"/>
      <c r="AN77" s="7"/>
      <c r="AO77" s="7"/>
      <c r="AP77" s="7"/>
      <c r="AQ77" s="7"/>
      <c r="AR77" s="5"/>
      <c r="AS77" s="5"/>
    </row>
    <row r="78" spans="1:45" ht="15.75" x14ac:dyDescent="0.25">
      <c r="A78" s="56"/>
      <c r="B78" s="54"/>
      <c r="C78" s="63"/>
      <c r="D78" s="64"/>
      <c r="E78" s="64"/>
      <c r="F78" s="64"/>
      <c r="G78" s="64"/>
      <c r="H78" s="64"/>
      <c r="I78" s="64"/>
      <c r="J78" s="64"/>
      <c r="K78" s="64"/>
      <c r="L78" s="64"/>
      <c r="M78" s="64"/>
      <c r="N78" s="64"/>
      <c r="O78" s="64"/>
      <c r="P78" s="64"/>
      <c r="Q78" s="65"/>
      <c r="S78" s="95"/>
      <c r="T78" s="97"/>
      <c r="U78" s="93"/>
      <c r="V78" s="98"/>
      <c r="W78" s="93"/>
      <c r="X78" s="98"/>
      <c r="Y78" s="93"/>
      <c r="Z78" s="93"/>
      <c r="AA78" s="93"/>
      <c r="AB78" s="93"/>
      <c r="AC78" s="93"/>
      <c r="AD78" s="93"/>
      <c r="AE78" s="96"/>
      <c r="AF78" s="94"/>
      <c r="AG78" s="93"/>
      <c r="AJ78" s="7"/>
      <c r="AK78" s="7"/>
      <c r="AL78" s="41"/>
      <c r="AM78" s="42"/>
      <c r="AN78" s="7"/>
      <c r="AO78" s="7"/>
      <c r="AP78" s="7"/>
      <c r="AQ78" s="7"/>
      <c r="AR78" s="5"/>
      <c r="AS78" s="5"/>
    </row>
    <row r="79" spans="1:45" ht="15.75" x14ac:dyDescent="0.25">
      <c r="A79" s="56"/>
      <c r="B79" s="54"/>
      <c r="C79" s="63"/>
      <c r="D79" s="64"/>
      <c r="E79" s="64"/>
      <c r="F79" s="64"/>
      <c r="G79" s="64"/>
      <c r="H79" s="64"/>
      <c r="I79" s="64"/>
      <c r="J79" s="64"/>
      <c r="K79" s="64"/>
      <c r="L79" s="64"/>
      <c r="M79" s="64"/>
      <c r="N79" s="64"/>
      <c r="O79" s="64"/>
      <c r="P79" s="64"/>
      <c r="Q79" s="65"/>
      <c r="S79" s="95"/>
      <c r="T79" s="97"/>
      <c r="U79" s="93"/>
      <c r="V79" s="98"/>
      <c r="W79" s="93"/>
      <c r="X79" s="98"/>
      <c r="Y79" s="93"/>
      <c r="Z79" s="93"/>
      <c r="AA79" s="93"/>
      <c r="AB79" s="93"/>
      <c r="AC79" s="93"/>
      <c r="AD79" s="93"/>
      <c r="AE79" s="96"/>
      <c r="AF79" s="94"/>
      <c r="AG79" s="93"/>
      <c r="AJ79" s="7"/>
      <c r="AK79" s="7"/>
      <c r="AL79" s="41"/>
      <c r="AM79" s="42"/>
      <c r="AN79" s="7"/>
      <c r="AO79" s="7"/>
      <c r="AP79" s="7"/>
      <c r="AQ79" s="7"/>
      <c r="AR79" s="5"/>
      <c r="AS79" s="5"/>
    </row>
    <row r="80" spans="1:45" ht="16.5" thickBot="1" x14ac:dyDescent="0.3">
      <c r="A80" s="56"/>
      <c r="B80" s="54"/>
      <c r="C80" s="66"/>
      <c r="D80" s="67"/>
      <c r="E80" s="67"/>
      <c r="F80" s="67"/>
      <c r="G80" s="67"/>
      <c r="H80" s="67"/>
      <c r="I80" s="67"/>
      <c r="J80" s="67"/>
      <c r="K80" s="67"/>
      <c r="L80" s="67"/>
      <c r="M80" s="67"/>
      <c r="N80" s="67"/>
      <c r="O80" s="67"/>
      <c r="P80" s="67"/>
      <c r="Q80" s="68"/>
      <c r="S80" s="95"/>
      <c r="T80" s="97"/>
      <c r="U80" s="93"/>
      <c r="V80" s="98"/>
      <c r="W80" s="93"/>
      <c r="X80" s="98"/>
      <c r="Y80" s="93"/>
      <c r="Z80" s="93"/>
      <c r="AA80" s="93"/>
      <c r="AB80" s="93"/>
      <c r="AC80" s="93"/>
      <c r="AD80" s="93"/>
      <c r="AE80" s="96"/>
      <c r="AF80" s="94"/>
      <c r="AG80" s="93"/>
      <c r="AJ80" s="7"/>
      <c r="AK80" s="7"/>
      <c r="AL80" s="41"/>
      <c r="AM80" s="42"/>
      <c r="AN80" s="7"/>
      <c r="AO80" s="7"/>
      <c r="AP80" s="7"/>
      <c r="AQ80" s="7"/>
      <c r="AR80" s="5"/>
      <c r="AS80" s="5"/>
    </row>
    <row r="81" spans="1:45" ht="16.5" thickTop="1" x14ac:dyDescent="0.25">
      <c r="A81" s="56"/>
      <c r="B81" s="54"/>
      <c r="C81" s="69"/>
      <c r="D81" s="70"/>
      <c r="E81" s="70"/>
      <c r="F81" s="70"/>
      <c r="G81" s="70"/>
      <c r="H81" s="70"/>
      <c r="I81" s="70"/>
      <c r="J81" s="70"/>
      <c r="K81" s="70"/>
      <c r="L81" s="70"/>
      <c r="M81" s="70"/>
      <c r="N81" s="70"/>
      <c r="O81" s="70"/>
      <c r="P81" s="70"/>
      <c r="Q81" s="71"/>
      <c r="S81" s="95"/>
      <c r="T81" s="97"/>
      <c r="U81" s="93"/>
      <c r="V81" s="98"/>
      <c r="W81" s="93"/>
      <c r="X81" s="98"/>
      <c r="Y81" s="93"/>
      <c r="Z81" s="93"/>
      <c r="AA81" s="93"/>
      <c r="AB81" s="93"/>
      <c r="AC81" s="93"/>
      <c r="AD81" s="93"/>
      <c r="AE81" s="96"/>
      <c r="AF81" s="94"/>
      <c r="AG81" s="93"/>
      <c r="AJ81" s="7"/>
      <c r="AK81" s="7"/>
      <c r="AL81" s="41"/>
      <c r="AM81" s="42"/>
      <c r="AN81" s="7"/>
      <c r="AO81" s="7"/>
      <c r="AP81" s="7"/>
      <c r="AQ81" s="7"/>
      <c r="AR81" s="5"/>
      <c r="AS81" s="5"/>
    </row>
    <row r="82" spans="1:45" ht="15.75" x14ac:dyDescent="0.25">
      <c r="A82" s="56"/>
      <c r="B82" s="54"/>
      <c r="C82" s="63"/>
      <c r="D82" s="64"/>
      <c r="E82" s="64"/>
      <c r="F82" s="64"/>
      <c r="G82" s="64"/>
      <c r="H82" s="64"/>
      <c r="I82" s="64"/>
      <c r="J82" s="64"/>
      <c r="K82" s="64"/>
      <c r="L82" s="64"/>
      <c r="M82" s="64"/>
      <c r="N82" s="64"/>
      <c r="O82" s="64"/>
      <c r="P82" s="64"/>
      <c r="Q82" s="65"/>
      <c r="S82" s="95"/>
      <c r="T82" s="97"/>
      <c r="U82" s="93"/>
      <c r="V82" s="98"/>
      <c r="W82" s="93"/>
      <c r="X82" s="98"/>
      <c r="Y82" s="93"/>
      <c r="Z82" s="93"/>
      <c r="AA82" s="93"/>
      <c r="AB82" s="93"/>
      <c r="AC82" s="93"/>
      <c r="AD82" s="93"/>
      <c r="AE82" s="96"/>
      <c r="AF82" s="94"/>
      <c r="AG82" s="93"/>
      <c r="AJ82" s="7"/>
      <c r="AK82" s="7"/>
      <c r="AL82" s="41"/>
      <c r="AM82" s="42"/>
      <c r="AN82" s="7"/>
      <c r="AO82" s="7"/>
      <c r="AP82" s="7"/>
      <c r="AQ82" s="7"/>
      <c r="AR82" s="5"/>
      <c r="AS82" s="5"/>
    </row>
    <row r="83" spans="1:45" ht="15.75" x14ac:dyDescent="0.25">
      <c r="A83" s="56"/>
      <c r="B83" s="54"/>
      <c r="C83" s="63"/>
      <c r="D83" s="64"/>
      <c r="E83" s="64"/>
      <c r="F83" s="64"/>
      <c r="G83" s="64"/>
      <c r="H83" s="64"/>
      <c r="I83" s="64"/>
      <c r="J83" s="64"/>
      <c r="K83" s="64"/>
      <c r="L83" s="64"/>
      <c r="M83" s="64"/>
      <c r="N83" s="64"/>
      <c r="O83" s="64"/>
      <c r="P83" s="64"/>
      <c r="Q83" s="65"/>
      <c r="S83" s="95"/>
      <c r="T83" s="97"/>
      <c r="U83" s="93"/>
      <c r="V83" s="98"/>
      <c r="W83" s="93"/>
      <c r="X83" s="98"/>
      <c r="Y83" s="93"/>
      <c r="Z83" s="93"/>
      <c r="AA83" s="93"/>
      <c r="AB83" s="93"/>
      <c r="AC83" s="93"/>
      <c r="AD83" s="93"/>
      <c r="AE83" s="96"/>
      <c r="AF83" s="94"/>
      <c r="AG83" s="93"/>
      <c r="AJ83" s="7"/>
      <c r="AK83" s="7"/>
      <c r="AL83" s="41"/>
      <c r="AM83" s="42"/>
      <c r="AN83" s="7"/>
      <c r="AO83" s="7"/>
      <c r="AP83" s="7"/>
      <c r="AQ83" s="7"/>
      <c r="AR83" s="5"/>
      <c r="AS83" s="5"/>
    </row>
    <row r="84" spans="1:45" ht="15.75" x14ac:dyDescent="0.25">
      <c r="A84" s="56"/>
      <c r="B84" s="54"/>
      <c r="C84" s="63"/>
      <c r="D84" s="64"/>
      <c r="E84" s="64"/>
      <c r="F84" s="64"/>
      <c r="G84" s="64"/>
      <c r="H84" s="64"/>
      <c r="I84" s="64"/>
      <c r="J84" s="64"/>
      <c r="K84" s="64"/>
      <c r="L84" s="64"/>
      <c r="M84" s="64"/>
      <c r="N84" s="64"/>
      <c r="O84" s="64"/>
      <c r="P84" s="64"/>
      <c r="Q84" s="65"/>
      <c r="S84" s="95"/>
      <c r="T84" s="97"/>
      <c r="U84" s="93"/>
      <c r="V84" s="98"/>
      <c r="W84" s="93"/>
      <c r="X84" s="98"/>
      <c r="Y84" s="93"/>
      <c r="Z84" s="93"/>
      <c r="AA84" s="93"/>
      <c r="AB84" s="93"/>
      <c r="AC84" s="93"/>
      <c r="AD84" s="93"/>
      <c r="AE84" s="96"/>
      <c r="AF84" s="94"/>
      <c r="AG84" s="93"/>
      <c r="AJ84" s="7"/>
      <c r="AK84" s="7"/>
      <c r="AL84" s="41"/>
      <c r="AM84" s="42"/>
      <c r="AN84" s="7"/>
      <c r="AO84" s="7"/>
      <c r="AP84" s="7"/>
      <c r="AQ84" s="7"/>
      <c r="AR84" s="5"/>
      <c r="AS84" s="5"/>
    </row>
    <row r="85" spans="1:45" ht="15.75" x14ac:dyDescent="0.25">
      <c r="A85" s="56"/>
      <c r="B85" s="54"/>
      <c r="C85" s="63"/>
      <c r="D85" s="64"/>
      <c r="E85" s="64"/>
      <c r="F85" s="64"/>
      <c r="G85" s="64"/>
      <c r="H85" s="64"/>
      <c r="I85" s="64"/>
      <c r="J85" s="64"/>
      <c r="K85" s="64"/>
      <c r="L85" s="64"/>
      <c r="M85" s="64"/>
      <c r="N85" s="64"/>
      <c r="O85" s="64"/>
      <c r="P85" s="64"/>
      <c r="Q85" s="65"/>
      <c r="S85" s="95"/>
      <c r="T85" s="97"/>
      <c r="U85" s="93"/>
      <c r="V85" s="98"/>
      <c r="W85" s="93"/>
      <c r="X85" s="98"/>
      <c r="Y85" s="93"/>
      <c r="Z85" s="93"/>
      <c r="AA85" s="93"/>
      <c r="AB85" s="93"/>
      <c r="AC85" s="93"/>
      <c r="AD85" s="93"/>
      <c r="AE85" s="96"/>
      <c r="AF85" s="94"/>
      <c r="AG85" s="93"/>
      <c r="AJ85" s="7"/>
      <c r="AK85" s="7"/>
      <c r="AL85" s="41"/>
      <c r="AM85" s="42"/>
      <c r="AN85" s="7"/>
      <c r="AO85" s="7"/>
      <c r="AP85" s="7"/>
      <c r="AQ85" s="7"/>
      <c r="AR85" s="5"/>
      <c r="AS85" s="5"/>
    </row>
    <row r="86" spans="1:45" ht="15.75" x14ac:dyDescent="0.25">
      <c r="A86" s="56"/>
      <c r="B86" s="54"/>
      <c r="C86" s="63"/>
      <c r="D86" s="64"/>
      <c r="E86" s="64"/>
      <c r="F86" s="64"/>
      <c r="G86" s="64"/>
      <c r="H86" s="64"/>
      <c r="I86" s="64"/>
      <c r="J86" s="64"/>
      <c r="K86" s="64"/>
      <c r="L86" s="64"/>
      <c r="M86" s="64"/>
      <c r="N86" s="64"/>
      <c r="O86" s="64"/>
      <c r="P86" s="64"/>
      <c r="Q86" s="65"/>
      <c r="S86" s="95"/>
      <c r="T86" s="97"/>
      <c r="U86" s="93"/>
      <c r="V86" s="98"/>
      <c r="W86" s="93"/>
      <c r="X86" s="98"/>
      <c r="Y86" s="93"/>
      <c r="Z86" s="93"/>
      <c r="AA86" s="93"/>
      <c r="AB86" s="93"/>
      <c r="AC86" s="93"/>
      <c r="AD86" s="93"/>
      <c r="AE86" s="96"/>
      <c r="AF86" s="94"/>
      <c r="AG86" s="93"/>
      <c r="AJ86" s="7"/>
      <c r="AK86" s="7"/>
      <c r="AL86" s="41"/>
      <c r="AM86" s="42"/>
      <c r="AN86" s="7"/>
      <c r="AO86" s="7"/>
      <c r="AP86" s="7"/>
      <c r="AQ86" s="7"/>
      <c r="AR86" s="5"/>
      <c r="AS86" s="5"/>
    </row>
    <row r="87" spans="1:45" ht="15.75" x14ac:dyDescent="0.25">
      <c r="A87" s="56"/>
      <c r="B87" s="54"/>
      <c r="C87" s="63"/>
      <c r="D87" s="64"/>
      <c r="E87" s="64"/>
      <c r="F87" s="64"/>
      <c r="G87" s="64"/>
      <c r="H87" s="64"/>
      <c r="I87" s="64"/>
      <c r="J87" s="64"/>
      <c r="K87" s="64"/>
      <c r="L87" s="64"/>
      <c r="M87" s="64"/>
      <c r="N87" s="64"/>
      <c r="O87" s="64"/>
      <c r="P87" s="64"/>
      <c r="Q87" s="65"/>
      <c r="S87" s="95"/>
      <c r="T87" s="97"/>
      <c r="U87" s="93"/>
      <c r="V87" s="98"/>
      <c r="W87" s="93"/>
      <c r="X87" s="98"/>
      <c r="Y87" s="93"/>
      <c r="Z87" s="93"/>
      <c r="AA87" s="93"/>
      <c r="AB87" s="93"/>
      <c r="AC87" s="93"/>
      <c r="AD87" s="93"/>
      <c r="AE87" s="96"/>
      <c r="AF87" s="94"/>
      <c r="AG87" s="93"/>
      <c r="AJ87" s="7"/>
      <c r="AK87" s="7"/>
      <c r="AL87" s="41"/>
      <c r="AM87" s="42"/>
      <c r="AN87" s="7"/>
      <c r="AO87" s="7"/>
      <c r="AP87" s="7"/>
      <c r="AQ87" s="7"/>
      <c r="AR87" s="5"/>
      <c r="AS87" s="5"/>
    </row>
    <row r="88" spans="1:45" ht="15.75" x14ac:dyDescent="0.25">
      <c r="A88" s="56"/>
      <c r="B88" s="54"/>
      <c r="C88" s="63"/>
      <c r="D88" s="64"/>
      <c r="E88" s="64"/>
      <c r="F88" s="64"/>
      <c r="G88" s="64"/>
      <c r="H88" s="64"/>
      <c r="I88" s="64"/>
      <c r="J88" s="64"/>
      <c r="K88" s="64"/>
      <c r="L88" s="64"/>
      <c r="M88" s="64"/>
      <c r="N88" s="64"/>
      <c r="O88" s="64"/>
      <c r="P88" s="64"/>
      <c r="Q88" s="65"/>
      <c r="S88" s="95"/>
      <c r="T88" s="97"/>
      <c r="U88" s="93"/>
      <c r="V88" s="98"/>
      <c r="W88" s="93"/>
      <c r="X88" s="98"/>
      <c r="Y88" s="93"/>
      <c r="Z88" s="93"/>
      <c r="AA88" s="93"/>
      <c r="AB88" s="93"/>
      <c r="AC88" s="93"/>
      <c r="AD88" s="93"/>
      <c r="AE88" s="96"/>
      <c r="AF88" s="94"/>
      <c r="AG88" s="93"/>
      <c r="AJ88" s="7"/>
      <c r="AK88" s="7"/>
      <c r="AL88" s="41"/>
      <c r="AM88" s="42"/>
      <c r="AN88" s="7"/>
      <c r="AO88" s="7"/>
      <c r="AP88" s="7"/>
      <c r="AQ88" s="7"/>
      <c r="AR88" s="5"/>
      <c r="AS88" s="5"/>
    </row>
    <row r="89" spans="1:45" ht="15.75" x14ac:dyDescent="0.25">
      <c r="A89" s="56"/>
      <c r="B89" s="54"/>
      <c r="C89" s="63"/>
      <c r="D89" s="64"/>
      <c r="E89" s="64"/>
      <c r="F89" s="64"/>
      <c r="G89" s="64"/>
      <c r="H89" s="64"/>
      <c r="I89" s="64"/>
      <c r="J89" s="64"/>
      <c r="K89" s="64"/>
      <c r="L89" s="64"/>
      <c r="M89" s="64"/>
      <c r="N89" s="64"/>
      <c r="O89" s="64"/>
      <c r="P89" s="64"/>
      <c r="Q89" s="65"/>
      <c r="S89" s="95"/>
      <c r="T89" s="97"/>
      <c r="U89" s="93"/>
      <c r="V89" s="98"/>
      <c r="W89" s="93"/>
      <c r="X89" s="98"/>
      <c r="Y89" s="93"/>
      <c r="Z89" s="93"/>
      <c r="AA89" s="93"/>
      <c r="AB89" s="93"/>
      <c r="AC89" s="93"/>
      <c r="AD89" s="93"/>
      <c r="AE89" s="96"/>
      <c r="AF89" s="94"/>
      <c r="AG89" s="93"/>
      <c r="AJ89" s="7"/>
      <c r="AK89" s="7"/>
      <c r="AL89" s="41"/>
      <c r="AM89" s="42"/>
      <c r="AN89" s="7"/>
      <c r="AO89" s="7"/>
      <c r="AP89" s="7"/>
      <c r="AQ89" s="7"/>
      <c r="AR89" s="5"/>
      <c r="AS89" s="5"/>
    </row>
    <row r="90" spans="1:45" ht="15.75" x14ac:dyDescent="0.25">
      <c r="A90" s="56"/>
      <c r="B90" s="54"/>
      <c r="C90" s="63"/>
      <c r="D90" s="64"/>
      <c r="E90" s="64"/>
      <c r="F90" s="64"/>
      <c r="G90" s="64"/>
      <c r="H90" s="64"/>
      <c r="I90" s="64"/>
      <c r="J90" s="64"/>
      <c r="K90" s="64"/>
      <c r="L90" s="64"/>
      <c r="M90" s="64"/>
      <c r="N90" s="64"/>
      <c r="O90" s="64"/>
      <c r="P90" s="64"/>
      <c r="Q90" s="65"/>
      <c r="S90" s="95"/>
      <c r="T90" s="97"/>
      <c r="U90" s="93"/>
      <c r="V90" s="98"/>
      <c r="W90" s="93"/>
      <c r="X90" s="98"/>
      <c r="Y90" s="93"/>
      <c r="Z90" s="93"/>
      <c r="AA90" s="93"/>
      <c r="AB90" s="93"/>
      <c r="AC90" s="93"/>
      <c r="AD90" s="93"/>
      <c r="AE90" s="96"/>
      <c r="AF90" s="94"/>
      <c r="AG90" s="93"/>
      <c r="AJ90" s="7"/>
      <c r="AK90" s="7"/>
      <c r="AL90" s="41"/>
      <c r="AM90" s="42"/>
      <c r="AN90" s="7"/>
      <c r="AO90" s="7"/>
      <c r="AP90" s="7"/>
      <c r="AQ90" s="7"/>
      <c r="AR90" s="5"/>
      <c r="AS90" s="5"/>
    </row>
    <row r="91" spans="1:45" ht="15.75" x14ac:dyDescent="0.25">
      <c r="A91" s="56"/>
      <c r="B91" s="54"/>
      <c r="C91" s="63"/>
      <c r="D91" s="64"/>
      <c r="E91" s="64"/>
      <c r="F91" s="64"/>
      <c r="G91" s="64"/>
      <c r="H91" s="64"/>
      <c r="I91" s="64"/>
      <c r="J91" s="64"/>
      <c r="K91" s="64"/>
      <c r="L91" s="64"/>
      <c r="M91" s="64"/>
      <c r="N91" s="64"/>
      <c r="O91" s="64"/>
      <c r="P91" s="64"/>
      <c r="Q91" s="65"/>
      <c r="S91" s="95"/>
      <c r="T91" s="97"/>
      <c r="U91" s="93"/>
      <c r="V91" s="98"/>
      <c r="W91" s="93"/>
      <c r="X91" s="98"/>
      <c r="Y91" s="93"/>
      <c r="Z91" s="93"/>
      <c r="AA91" s="93"/>
      <c r="AB91" s="93"/>
      <c r="AC91" s="93"/>
      <c r="AD91" s="93"/>
      <c r="AE91" s="96"/>
      <c r="AF91" s="94"/>
      <c r="AG91" s="93"/>
      <c r="AJ91" s="7"/>
      <c r="AK91" s="7"/>
      <c r="AL91" s="41"/>
      <c r="AM91" s="42"/>
      <c r="AN91" s="7"/>
      <c r="AO91" s="7"/>
      <c r="AP91" s="7"/>
      <c r="AQ91" s="7"/>
      <c r="AR91" s="5"/>
      <c r="AS91" s="5"/>
    </row>
    <row r="92" spans="1:45" ht="16.5" thickBot="1" x14ac:dyDescent="0.3">
      <c r="A92" s="56"/>
      <c r="B92" s="54"/>
      <c r="C92" s="66"/>
      <c r="D92" s="67"/>
      <c r="E92" s="67"/>
      <c r="F92" s="67"/>
      <c r="G92" s="67"/>
      <c r="H92" s="67"/>
      <c r="I92" s="67"/>
      <c r="J92" s="67"/>
      <c r="K92" s="67"/>
      <c r="L92" s="67"/>
      <c r="M92" s="67"/>
      <c r="N92" s="67"/>
      <c r="O92" s="67"/>
      <c r="P92" s="67"/>
      <c r="Q92" s="68"/>
      <c r="S92" s="95"/>
      <c r="T92" s="97"/>
      <c r="U92" s="93"/>
      <c r="V92" s="98"/>
      <c r="W92" s="93"/>
      <c r="X92" s="98"/>
      <c r="Y92" s="93"/>
      <c r="Z92" s="93"/>
      <c r="AA92" s="93"/>
      <c r="AB92" s="93"/>
      <c r="AC92" s="93"/>
      <c r="AD92" s="93"/>
      <c r="AE92" s="96"/>
      <c r="AF92" s="94"/>
      <c r="AG92" s="93"/>
      <c r="AJ92" s="7"/>
      <c r="AK92" s="7"/>
      <c r="AL92" s="41"/>
      <c r="AM92" s="42"/>
      <c r="AN92" s="7"/>
      <c r="AO92" s="7"/>
      <c r="AP92" s="7"/>
      <c r="AQ92" s="7"/>
      <c r="AR92" s="5"/>
      <c r="AS92" s="5"/>
    </row>
    <row r="93" spans="1:45" ht="16.5" thickTop="1" x14ac:dyDescent="0.25">
      <c r="A93" s="56"/>
      <c r="B93" s="54"/>
      <c r="C93" s="69"/>
      <c r="D93" s="70"/>
      <c r="E93" s="70"/>
      <c r="F93" s="70"/>
      <c r="G93" s="70"/>
      <c r="H93" s="70"/>
      <c r="I93" s="70"/>
      <c r="J93" s="70"/>
      <c r="K93" s="70"/>
      <c r="L93" s="70"/>
      <c r="M93" s="70"/>
      <c r="N93" s="70"/>
      <c r="O93" s="70"/>
      <c r="P93" s="70"/>
      <c r="Q93" s="71"/>
      <c r="S93" s="95"/>
      <c r="T93" s="97"/>
      <c r="U93" s="93"/>
      <c r="V93" s="98"/>
      <c r="W93" s="93"/>
      <c r="X93" s="98"/>
      <c r="Y93" s="93"/>
      <c r="Z93" s="93"/>
      <c r="AA93" s="93"/>
      <c r="AB93" s="93"/>
      <c r="AC93" s="93"/>
      <c r="AD93" s="93"/>
      <c r="AE93" s="96"/>
      <c r="AF93" s="94"/>
      <c r="AG93" s="93"/>
      <c r="AJ93" s="7"/>
      <c r="AK93" s="7"/>
      <c r="AL93" s="41"/>
      <c r="AM93" s="42"/>
      <c r="AN93" s="7"/>
      <c r="AO93" s="7"/>
      <c r="AP93" s="7"/>
      <c r="AQ93" s="7"/>
      <c r="AR93" s="5"/>
      <c r="AS93" s="5"/>
    </row>
    <row r="94" spans="1:45" ht="15.75" x14ac:dyDescent="0.25">
      <c r="A94" s="56"/>
      <c r="B94" s="54"/>
      <c r="C94" s="63"/>
      <c r="D94" s="64"/>
      <c r="E94" s="64"/>
      <c r="F94" s="64"/>
      <c r="G94" s="64"/>
      <c r="H94" s="64"/>
      <c r="I94" s="64"/>
      <c r="J94" s="64"/>
      <c r="K94" s="64"/>
      <c r="L94" s="64"/>
      <c r="M94" s="64"/>
      <c r="N94" s="64"/>
      <c r="O94" s="64"/>
      <c r="P94" s="64"/>
      <c r="Q94" s="65"/>
      <c r="S94" s="95"/>
      <c r="T94" s="97"/>
      <c r="U94" s="93"/>
      <c r="V94" s="98"/>
      <c r="W94" s="93"/>
      <c r="X94" s="98"/>
      <c r="Y94" s="93"/>
      <c r="Z94" s="93"/>
      <c r="AA94" s="93"/>
      <c r="AB94" s="93"/>
      <c r="AC94" s="93"/>
      <c r="AD94" s="93"/>
      <c r="AE94" s="96"/>
      <c r="AF94" s="94"/>
      <c r="AG94" s="93"/>
      <c r="AJ94" s="7"/>
      <c r="AK94" s="7"/>
      <c r="AL94" s="41"/>
      <c r="AM94" s="42"/>
      <c r="AN94" s="7"/>
      <c r="AO94" s="7"/>
      <c r="AP94" s="7"/>
      <c r="AQ94" s="7"/>
      <c r="AR94" s="5"/>
      <c r="AS94" s="5"/>
    </row>
    <row r="95" spans="1:45" ht="15.75" x14ac:dyDescent="0.25">
      <c r="A95" s="56"/>
      <c r="B95" s="54"/>
      <c r="C95" s="63"/>
      <c r="D95" s="64"/>
      <c r="E95" s="64"/>
      <c r="F95" s="64"/>
      <c r="G95" s="64"/>
      <c r="H95" s="64"/>
      <c r="I95" s="64"/>
      <c r="J95" s="64"/>
      <c r="K95" s="64"/>
      <c r="L95" s="64"/>
      <c r="M95" s="64"/>
      <c r="N95" s="64"/>
      <c r="O95" s="64"/>
      <c r="P95" s="64"/>
      <c r="Q95" s="65"/>
      <c r="S95" s="95"/>
      <c r="T95" s="97"/>
      <c r="U95" s="93"/>
      <c r="V95" s="98"/>
      <c r="W95" s="93"/>
      <c r="X95" s="98"/>
      <c r="Y95" s="93"/>
      <c r="Z95" s="93"/>
      <c r="AA95" s="93"/>
      <c r="AB95" s="93"/>
      <c r="AC95" s="93"/>
      <c r="AD95" s="93"/>
      <c r="AE95" s="96"/>
      <c r="AF95" s="94"/>
      <c r="AG95" s="93"/>
      <c r="AJ95" s="7"/>
      <c r="AK95" s="7"/>
      <c r="AL95" s="41"/>
      <c r="AM95" s="42"/>
      <c r="AN95" s="7"/>
      <c r="AO95" s="7"/>
      <c r="AP95" s="7"/>
      <c r="AQ95" s="7"/>
      <c r="AR95" s="5"/>
      <c r="AS95" s="5"/>
    </row>
    <row r="96" spans="1:45" ht="15.75" x14ac:dyDescent="0.25">
      <c r="A96" s="56"/>
      <c r="B96" s="54"/>
      <c r="C96" s="63"/>
      <c r="D96" s="64"/>
      <c r="E96" s="64"/>
      <c r="F96" s="64"/>
      <c r="G96" s="64"/>
      <c r="H96" s="64"/>
      <c r="I96" s="64"/>
      <c r="J96" s="64"/>
      <c r="K96" s="64"/>
      <c r="L96" s="64"/>
      <c r="M96" s="64"/>
      <c r="N96" s="64"/>
      <c r="O96" s="64"/>
      <c r="P96" s="64"/>
      <c r="Q96" s="65"/>
      <c r="S96" s="95"/>
      <c r="T96" s="97"/>
      <c r="U96" s="93"/>
      <c r="V96" s="98"/>
      <c r="W96" s="93"/>
      <c r="X96" s="98"/>
      <c r="Y96" s="93"/>
      <c r="Z96" s="93"/>
      <c r="AA96" s="93"/>
      <c r="AB96" s="93"/>
      <c r="AC96" s="93"/>
      <c r="AD96" s="93"/>
      <c r="AE96" s="96"/>
      <c r="AF96" s="94"/>
      <c r="AG96" s="93"/>
      <c r="AJ96" s="7"/>
      <c r="AK96" s="7"/>
      <c r="AL96" s="41"/>
      <c r="AM96" s="42"/>
      <c r="AN96" s="7"/>
      <c r="AO96" s="7"/>
      <c r="AP96" s="7"/>
      <c r="AQ96" s="7"/>
      <c r="AR96" s="5"/>
      <c r="AS96" s="5"/>
    </row>
    <row r="97" spans="1:45" ht="15.75" x14ac:dyDescent="0.25">
      <c r="A97" s="56"/>
      <c r="B97" s="54"/>
      <c r="C97" s="63"/>
      <c r="D97" s="64"/>
      <c r="E97" s="64"/>
      <c r="F97" s="64"/>
      <c r="G97" s="64"/>
      <c r="H97" s="64"/>
      <c r="I97" s="64"/>
      <c r="J97" s="64"/>
      <c r="K97" s="64"/>
      <c r="L97" s="64"/>
      <c r="M97" s="64"/>
      <c r="N97" s="64"/>
      <c r="O97" s="64"/>
      <c r="P97" s="64"/>
      <c r="Q97" s="65"/>
      <c r="S97" s="95"/>
      <c r="T97" s="97"/>
      <c r="U97" s="93"/>
      <c r="V97" s="98"/>
      <c r="W97" s="93"/>
      <c r="X97" s="98"/>
      <c r="Y97" s="93"/>
      <c r="Z97" s="93"/>
      <c r="AA97" s="93"/>
      <c r="AB97" s="93"/>
      <c r="AC97" s="93"/>
      <c r="AD97" s="93"/>
      <c r="AE97" s="96"/>
      <c r="AF97" s="94"/>
      <c r="AG97" s="93"/>
      <c r="AJ97" s="7"/>
      <c r="AK97" s="7"/>
      <c r="AL97" s="41"/>
      <c r="AM97" s="42"/>
      <c r="AN97" s="7"/>
      <c r="AO97" s="7"/>
      <c r="AP97" s="7"/>
      <c r="AQ97" s="7"/>
      <c r="AR97" s="5"/>
      <c r="AS97" s="5"/>
    </row>
    <row r="98" spans="1:45" ht="15.75" x14ac:dyDescent="0.25">
      <c r="A98" s="56"/>
      <c r="B98" s="54"/>
      <c r="C98" s="63"/>
      <c r="D98" s="64"/>
      <c r="E98" s="64"/>
      <c r="F98" s="64"/>
      <c r="G98" s="64"/>
      <c r="H98" s="64"/>
      <c r="I98" s="64"/>
      <c r="J98" s="64"/>
      <c r="K98" s="64"/>
      <c r="L98" s="64"/>
      <c r="M98" s="64"/>
      <c r="N98" s="64"/>
      <c r="O98" s="64"/>
      <c r="P98" s="64"/>
      <c r="Q98" s="65"/>
      <c r="S98" s="95"/>
      <c r="T98" s="97"/>
      <c r="U98" s="93"/>
      <c r="V98" s="98"/>
      <c r="W98" s="93"/>
      <c r="X98" s="98"/>
      <c r="Y98" s="93"/>
      <c r="Z98" s="93"/>
      <c r="AA98" s="93"/>
      <c r="AB98" s="93"/>
      <c r="AC98" s="93"/>
      <c r="AD98" s="93"/>
      <c r="AE98" s="96"/>
      <c r="AF98" s="94"/>
      <c r="AG98" s="93"/>
      <c r="AJ98" s="7"/>
      <c r="AK98" s="7"/>
      <c r="AL98" s="41"/>
      <c r="AM98" s="42"/>
      <c r="AN98" s="7"/>
      <c r="AO98" s="7"/>
      <c r="AP98" s="7"/>
      <c r="AQ98" s="7"/>
      <c r="AR98" s="5"/>
      <c r="AS98" s="5"/>
    </row>
    <row r="99" spans="1:45" ht="15.75" x14ac:dyDescent="0.25">
      <c r="A99" s="56"/>
      <c r="B99" s="54"/>
      <c r="C99" s="63"/>
      <c r="D99" s="64"/>
      <c r="E99" s="64"/>
      <c r="F99" s="64"/>
      <c r="G99" s="64"/>
      <c r="H99" s="64"/>
      <c r="I99" s="64"/>
      <c r="J99" s="64"/>
      <c r="K99" s="64"/>
      <c r="L99" s="64"/>
      <c r="M99" s="64"/>
      <c r="N99" s="64"/>
      <c r="O99" s="64"/>
      <c r="P99" s="64"/>
      <c r="Q99" s="65"/>
      <c r="S99" s="95"/>
      <c r="T99" s="97"/>
      <c r="U99" s="93"/>
      <c r="V99" s="98"/>
      <c r="W99" s="93"/>
      <c r="X99" s="98"/>
      <c r="Y99" s="93"/>
      <c r="Z99" s="93"/>
      <c r="AA99" s="93"/>
      <c r="AB99" s="93"/>
      <c r="AC99" s="93"/>
      <c r="AD99" s="93"/>
      <c r="AE99" s="96"/>
      <c r="AF99" s="94"/>
      <c r="AG99" s="93"/>
      <c r="AJ99" s="7"/>
      <c r="AK99" s="7"/>
      <c r="AL99" s="41"/>
      <c r="AM99" s="42"/>
      <c r="AN99" s="7"/>
      <c r="AO99" s="7"/>
      <c r="AP99" s="7"/>
      <c r="AQ99" s="7"/>
      <c r="AR99" s="5"/>
      <c r="AS99" s="5"/>
    </row>
    <row r="100" spans="1:45" ht="15.75" x14ac:dyDescent="0.25">
      <c r="A100" s="56"/>
      <c r="B100" s="54"/>
      <c r="C100" s="63"/>
      <c r="D100" s="64"/>
      <c r="E100" s="64"/>
      <c r="F100" s="64"/>
      <c r="G100" s="64"/>
      <c r="H100" s="64"/>
      <c r="I100" s="64"/>
      <c r="J100" s="64"/>
      <c r="K100" s="64"/>
      <c r="L100" s="64"/>
      <c r="M100" s="64"/>
      <c r="N100" s="64"/>
      <c r="O100" s="64"/>
      <c r="P100" s="64"/>
      <c r="Q100" s="65"/>
      <c r="S100" s="95"/>
      <c r="T100" s="97"/>
      <c r="U100" s="93"/>
      <c r="V100" s="98"/>
      <c r="W100" s="93"/>
      <c r="X100" s="98"/>
      <c r="Y100" s="93"/>
      <c r="Z100" s="93"/>
      <c r="AA100" s="93"/>
      <c r="AB100" s="93"/>
      <c r="AC100" s="93"/>
      <c r="AD100" s="93"/>
      <c r="AE100" s="96"/>
      <c r="AF100" s="94"/>
      <c r="AG100" s="93"/>
      <c r="AJ100" s="7"/>
      <c r="AK100" s="7"/>
      <c r="AL100" s="41"/>
      <c r="AM100" s="42"/>
      <c r="AN100" s="7"/>
      <c r="AO100" s="7"/>
      <c r="AP100" s="7"/>
      <c r="AQ100" s="7"/>
      <c r="AR100" s="5"/>
      <c r="AS100" s="5"/>
    </row>
    <row r="101" spans="1:45" ht="15.75" x14ac:dyDescent="0.25">
      <c r="A101" s="56"/>
      <c r="B101" s="54"/>
      <c r="C101" s="63"/>
      <c r="D101" s="64"/>
      <c r="E101" s="64"/>
      <c r="F101" s="64"/>
      <c r="G101" s="64"/>
      <c r="H101" s="64"/>
      <c r="I101" s="64"/>
      <c r="J101" s="64"/>
      <c r="K101" s="64"/>
      <c r="L101" s="64"/>
      <c r="M101" s="64"/>
      <c r="N101" s="64"/>
      <c r="O101" s="64"/>
      <c r="P101" s="64"/>
      <c r="Q101" s="65"/>
      <c r="S101" s="95"/>
      <c r="T101" s="97"/>
      <c r="U101" s="93"/>
      <c r="V101" s="98"/>
      <c r="W101" s="93"/>
      <c r="X101" s="98"/>
      <c r="Y101" s="93"/>
      <c r="Z101" s="93"/>
      <c r="AA101" s="93"/>
      <c r="AB101" s="93"/>
      <c r="AC101" s="93"/>
      <c r="AD101" s="93"/>
      <c r="AE101" s="96"/>
      <c r="AF101" s="94"/>
      <c r="AG101" s="93"/>
      <c r="AJ101" s="7"/>
      <c r="AK101" s="7"/>
      <c r="AL101" s="41"/>
      <c r="AM101" s="42"/>
      <c r="AN101" s="7"/>
      <c r="AO101" s="7"/>
      <c r="AP101" s="7"/>
      <c r="AQ101" s="7"/>
      <c r="AR101" s="5"/>
      <c r="AS101" s="5"/>
    </row>
    <row r="102" spans="1:45" ht="15.75" x14ac:dyDescent="0.25">
      <c r="A102" s="56"/>
      <c r="B102" s="54"/>
      <c r="C102" s="63"/>
      <c r="D102" s="64"/>
      <c r="E102" s="64"/>
      <c r="F102" s="64"/>
      <c r="G102" s="64"/>
      <c r="H102" s="64"/>
      <c r="I102" s="64"/>
      <c r="J102" s="64"/>
      <c r="K102" s="64"/>
      <c r="L102" s="64"/>
      <c r="M102" s="64"/>
      <c r="N102" s="64"/>
      <c r="O102" s="64"/>
      <c r="P102" s="64"/>
      <c r="Q102" s="65"/>
      <c r="S102" s="95"/>
      <c r="T102" s="97"/>
      <c r="U102" s="93"/>
      <c r="V102" s="98"/>
      <c r="W102" s="93"/>
      <c r="X102" s="98"/>
      <c r="Y102" s="93"/>
      <c r="Z102" s="93"/>
      <c r="AA102" s="93"/>
      <c r="AB102" s="93"/>
      <c r="AC102" s="93"/>
      <c r="AD102" s="93"/>
      <c r="AE102" s="96"/>
      <c r="AF102" s="94"/>
      <c r="AG102" s="93"/>
      <c r="AJ102" s="7"/>
      <c r="AK102" s="7"/>
      <c r="AL102" s="41"/>
      <c r="AM102" s="42"/>
      <c r="AN102" s="7"/>
      <c r="AO102" s="7"/>
      <c r="AP102" s="7"/>
      <c r="AQ102" s="7"/>
      <c r="AR102" s="5"/>
      <c r="AS102" s="5"/>
    </row>
    <row r="103" spans="1:45" ht="15.75" x14ac:dyDescent="0.25">
      <c r="A103" s="56"/>
      <c r="B103" s="54"/>
      <c r="C103" s="63"/>
      <c r="D103" s="64"/>
      <c r="E103" s="64"/>
      <c r="F103" s="64"/>
      <c r="G103" s="64"/>
      <c r="H103" s="64"/>
      <c r="I103" s="64"/>
      <c r="J103" s="64"/>
      <c r="K103" s="64"/>
      <c r="L103" s="64"/>
      <c r="M103" s="64"/>
      <c r="N103" s="64"/>
      <c r="O103" s="64"/>
      <c r="P103" s="64"/>
      <c r="Q103" s="65"/>
      <c r="S103" s="95"/>
      <c r="T103" s="97"/>
      <c r="U103" s="93"/>
      <c r="V103" s="98"/>
      <c r="W103" s="93"/>
      <c r="X103" s="98"/>
      <c r="Y103" s="93"/>
      <c r="Z103" s="93"/>
      <c r="AA103" s="93"/>
      <c r="AB103" s="93"/>
      <c r="AC103" s="93"/>
      <c r="AD103" s="93"/>
      <c r="AE103" s="96"/>
      <c r="AF103" s="94"/>
      <c r="AG103" s="93"/>
      <c r="AJ103" s="7"/>
      <c r="AK103" s="7"/>
      <c r="AL103" s="41"/>
      <c r="AM103" s="42"/>
      <c r="AN103" s="7"/>
      <c r="AO103" s="7"/>
      <c r="AP103" s="7"/>
      <c r="AQ103" s="7"/>
      <c r="AR103" s="5"/>
      <c r="AS103" s="5"/>
    </row>
    <row r="104" spans="1:45" ht="16.5" thickBot="1" x14ac:dyDescent="0.3">
      <c r="A104" s="56"/>
      <c r="B104" s="54"/>
      <c r="C104" s="66"/>
      <c r="D104" s="67"/>
      <c r="E104" s="67"/>
      <c r="F104" s="67"/>
      <c r="G104" s="67"/>
      <c r="H104" s="67"/>
      <c r="I104" s="67"/>
      <c r="J104" s="67"/>
      <c r="K104" s="67"/>
      <c r="L104" s="67"/>
      <c r="M104" s="67"/>
      <c r="N104" s="67"/>
      <c r="O104" s="67"/>
      <c r="P104" s="67"/>
      <c r="Q104" s="68"/>
      <c r="S104" s="95"/>
      <c r="T104" s="97"/>
      <c r="U104" s="93"/>
      <c r="V104" s="98"/>
      <c r="W104" s="93"/>
      <c r="X104" s="98"/>
      <c r="Y104" s="93"/>
      <c r="Z104" s="93"/>
      <c r="AA104" s="93"/>
      <c r="AB104" s="93"/>
      <c r="AC104" s="93"/>
      <c r="AD104" s="93"/>
      <c r="AE104" s="96"/>
      <c r="AF104" s="94"/>
      <c r="AG104" s="93"/>
      <c r="AJ104" s="7"/>
      <c r="AK104" s="7"/>
      <c r="AL104" s="41"/>
      <c r="AM104" s="42"/>
      <c r="AN104" s="7"/>
      <c r="AO104" s="7"/>
      <c r="AP104" s="7"/>
      <c r="AQ104" s="7"/>
      <c r="AR104" s="5"/>
      <c r="AS104" s="5"/>
    </row>
    <row r="105" spans="1:45" ht="16.5" thickTop="1" x14ac:dyDescent="0.25">
      <c r="A105" s="56"/>
      <c r="B105" s="54"/>
      <c r="C105" s="69"/>
      <c r="D105" s="70"/>
      <c r="E105" s="70"/>
      <c r="F105" s="70"/>
      <c r="G105" s="70"/>
      <c r="H105" s="70"/>
      <c r="I105" s="70"/>
      <c r="J105" s="70"/>
      <c r="K105" s="70"/>
      <c r="L105" s="70"/>
      <c r="M105" s="70"/>
      <c r="N105" s="70"/>
      <c r="O105" s="70"/>
      <c r="P105" s="70"/>
      <c r="Q105" s="71"/>
      <c r="S105" s="95"/>
      <c r="T105" s="97"/>
      <c r="U105" s="93"/>
      <c r="V105" s="98"/>
      <c r="W105" s="93"/>
      <c r="X105" s="98"/>
      <c r="Y105" s="93"/>
      <c r="Z105" s="93"/>
      <c r="AA105" s="93"/>
      <c r="AB105" s="93"/>
      <c r="AC105" s="93"/>
      <c r="AD105" s="93"/>
      <c r="AE105" s="72"/>
      <c r="AF105" s="94"/>
      <c r="AG105" s="93"/>
      <c r="AJ105" s="7"/>
      <c r="AK105" s="7"/>
      <c r="AL105" s="41"/>
      <c r="AM105" s="42"/>
      <c r="AN105" s="7"/>
      <c r="AO105" s="7"/>
      <c r="AP105" s="7"/>
      <c r="AQ105" s="7"/>
      <c r="AR105" s="5"/>
      <c r="AS105" s="5"/>
    </row>
    <row r="106" spans="1:45" ht="15.75" x14ac:dyDescent="0.25">
      <c r="A106" s="56"/>
      <c r="B106" s="54"/>
      <c r="C106" s="63"/>
      <c r="D106" s="64"/>
      <c r="E106" s="64"/>
      <c r="F106" s="64"/>
      <c r="G106" s="64"/>
      <c r="H106" s="64"/>
      <c r="I106" s="64"/>
      <c r="J106" s="64"/>
      <c r="K106" s="64"/>
      <c r="L106" s="64"/>
      <c r="M106" s="64"/>
      <c r="N106" s="64"/>
      <c r="O106" s="64"/>
      <c r="P106" s="64"/>
      <c r="Q106" s="65"/>
      <c r="S106" s="95"/>
      <c r="T106" s="97"/>
      <c r="U106" s="93"/>
      <c r="V106" s="98"/>
      <c r="W106" s="93"/>
      <c r="X106" s="98"/>
      <c r="Y106" s="93"/>
      <c r="Z106" s="93"/>
      <c r="AA106" s="93"/>
      <c r="AB106" s="93"/>
      <c r="AC106" s="93"/>
      <c r="AD106" s="93"/>
      <c r="AE106" s="72"/>
      <c r="AF106" s="94"/>
      <c r="AG106" s="93"/>
      <c r="AJ106" s="7"/>
      <c r="AK106" s="7"/>
      <c r="AL106" s="41"/>
      <c r="AM106" s="42"/>
      <c r="AN106" s="7"/>
      <c r="AO106" s="7"/>
      <c r="AP106" s="7"/>
      <c r="AQ106" s="7"/>
      <c r="AR106" s="5"/>
      <c r="AS106" s="5"/>
    </row>
    <row r="107" spans="1:45" ht="15.75" x14ac:dyDescent="0.25">
      <c r="A107" s="56"/>
      <c r="B107" s="54"/>
      <c r="C107" s="63"/>
      <c r="D107" s="64"/>
      <c r="E107" s="64"/>
      <c r="F107" s="64"/>
      <c r="G107" s="64"/>
      <c r="H107" s="64"/>
      <c r="I107" s="64"/>
      <c r="J107" s="64"/>
      <c r="K107" s="64"/>
      <c r="L107" s="64"/>
      <c r="M107" s="64"/>
      <c r="N107" s="64"/>
      <c r="O107" s="64"/>
      <c r="P107" s="64"/>
      <c r="Q107" s="65"/>
      <c r="S107" s="95"/>
      <c r="T107" s="97"/>
      <c r="U107" s="93"/>
      <c r="V107" s="98"/>
      <c r="W107" s="93"/>
      <c r="X107" s="98"/>
      <c r="Y107" s="93"/>
      <c r="Z107" s="93"/>
      <c r="AA107" s="93"/>
      <c r="AB107" s="93"/>
      <c r="AC107" s="93"/>
      <c r="AD107" s="93"/>
      <c r="AE107" s="72"/>
      <c r="AF107" s="94"/>
      <c r="AG107" s="93"/>
      <c r="AJ107" s="7"/>
      <c r="AK107" s="7"/>
      <c r="AL107" s="41"/>
      <c r="AM107" s="42"/>
      <c r="AN107" s="7"/>
      <c r="AO107" s="7"/>
      <c r="AP107" s="7"/>
      <c r="AQ107" s="7"/>
      <c r="AR107" s="5"/>
      <c r="AS107" s="5"/>
    </row>
    <row r="108" spans="1:45" ht="15.75" x14ac:dyDescent="0.25">
      <c r="A108" s="56"/>
      <c r="B108" s="54"/>
      <c r="C108" s="63"/>
      <c r="D108" s="64"/>
      <c r="E108" s="64"/>
      <c r="F108" s="64"/>
      <c r="G108" s="64"/>
      <c r="H108" s="64"/>
      <c r="I108" s="64"/>
      <c r="J108" s="64"/>
      <c r="K108" s="64"/>
      <c r="L108" s="64"/>
      <c r="M108" s="64"/>
      <c r="N108" s="64"/>
      <c r="O108" s="64"/>
      <c r="P108" s="64"/>
      <c r="Q108" s="65"/>
      <c r="S108" s="95"/>
      <c r="T108" s="97"/>
      <c r="U108" s="93"/>
      <c r="V108" s="98"/>
      <c r="W108" s="93"/>
      <c r="X108" s="98"/>
      <c r="Y108" s="93"/>
      <c r="Z108" s="93"/>
      <c r="AA108" s="93"/>
      <c r="AB108" s="93"/>
      <c r="AC108" s="93"/>
      <c r="AD108" s="93"/>
      <c r="AE108" s="72"/>
      <c r="AF108" s="94"/>
      <c r="AG108" s="93"/>
      <c r="AJ108" s="7"/>
      <c r="AK108" s="7"/>
      <c r="AL108" s="41"/>
      <c r="AM108" s="42"/>
      <c r="AN108" s="7"/>
      <c r="AO108" s="7"/>
      <c r="AP108" s="7"/>
      <c r="AQ108" s="7"/>
      <c r="AR108" s="5"/>
      <c r="AS108" s="5"/>
    </row>
    <row r="109" spans="1:45" ht="15.75" x14ac:dyDescent="0.25">
      <c r="A109" s="56"/>
      <c r="B109" s="54"/>
      <c r="C109" s="63"/>
      <c r="D109" s="64"/>
      <c r="E109" s="64"/>
      <c r="F109" s="64"/>
      <c r="G109" s="64"/>
      <c r="H109" s="64"/>
      <c r="I109" s="64"/>
      <c r="J109" s="64"/>
      <c r="K109" s="64"/>
      <c r="L109" s="64"/>
      <c r="M109" s="64"/>
      <c r="N109" s="64"/>
      <c r="O109" s="64"/>
      <c r="P109" s="64"/>
      <c r="Q109" s="65"/>
      <c r="S109" s="95"/>
      <c r="T109" s="97"/>
      <c r="U109" s="93"/>
      <c r="V109" s="98"/>
      <c r="W109" s="93"/>
      <c r="X109" s="98"/>
      <c r="Y109" s="93"/>
      <c r="Z109" s="93"/>
      <c r="AA109" s="93"/>
      <c r="AB109" s="93"/>
      <c r="AC109" s="93"/>
      <c r="AD109" s="93"/>
      <c r="AE109" s="93"/>
      <c r="AF109" s="94"/>
      <c r="AG109" s="93"/>
      <c r="AJ109" s="7"/>
      <c r="AK109" s="7"/>
      <c r="AL109" s="41"/>
      <c r="AM109" s="42"/>
      <c r="AN109" s="7"/>
      <c r="AO109" s="7"/>
      <c r="AP109" s="7"/>
      <c r="AQ109" s="7"/>
      <c r="AR109" s="5"/>
      <c r="AS109" s="5"/>
    </row>
    <row r="110" spans="1:45" ht="15.75" x14ac:dyDescent="0.25">
      <c r="A110" s="56"/>
      <c r="B110" s="54"/>
      <c r="C110" s="63"/>
      <c r="D110" s="64"/>
      <c r="E110" s="64"/>
      <c r="F110" s="64"/>
      <c r="G110" s="64"/>
      <c r="H110" s="64"/>
      <c r="I110" s="64"/>
      <c r="J110" s="64"/>
      <c r="K110" s="64"/>
      <c r="L110" s="64"/>
      <c r="M110" s="64"/>
      <c r="N110" s="64"/>
      <c r="O110" s="64"/>
      <c r="P110" s="64"/>
      <c r="Q110" s="65"/>
      <c r="S110" s="95"/>
      <c r="T110" s="97"/>
      <c r="U110" s="93"/>
      <c r="V110" s="98"/>
      <c r="W110" s="93"/>
      <c r="X110" s="98"/>
      <c r="Y110" s="93"/>
      <c r="Z110" s="93"/>
      <c r="AA110" s="93"/>
      <c r="AB110" s="93"/>
      <c r="AC110" s="93"/>
      <c r="AD110" s="93"/>
      <c r="AE110" s="72"/>
      <c r="AF110" s="94"/>
      <c r="AG110" s="93"/>
      <c r="AJ110" s="7"/>
      <c r="AK110" s="7"/>
      <c r="AL110" s="41"/>
      <c r="AM110" s="42"/>
      <c r="AN110" s="7"/>
      <c r="AO110" s="7"/>
      <c r="AP110" s="7"/>
      <c r="AQ110" s="7"/>
      <c r="AR110" s="5"/>
      <c r="AS110" s="5"/>
    </row>
    <row r="111" spans="1:45" ht="15.75" x14ac:dyDescent="0.25">
      <c r="A111" s="56"/>
      <c r="B111" s="54"/>
      <c r="C111" s="63"/>
      <c r="D111" s="64"/>
      <c r="E111" s="64"/>
      <c r="F111" s="64"/>
      <c r="G111" s="64"/>
      <c r="H111" s="64"/>
      <c r="I111" s="64"/>
      <c r="J111" s="64"/>
      <c r="K111" s="64"/>
      <c r="L111" s="64"/>
      <c r="M111" s="64"/>
      <c r="N111" s="64"/>
      <c r="O111" s="64"/>
      <c r="P111" s="64"/>
      <c r="Q111" s="65"/>
      <c r="S111" s="95"/>
      <c r="T111" s="97"/>
      <c r="U111" s="93"/>
      <c r="V111" s="98"/>
      <c r="W111" s="93"/>
      <c r="X111" s="98"/>
      <c r="Y111" s="93"/>
      <c r="Z111" s="93"/>
      <c r="AA111" s="93"/>
      <c r="AB111" s="93"/>
      <c r="AC111" s="93"/>
      <c r="AD111" s="93"/>
      <c r="AE111" s="72"/>
      <c r="AF111" s="94"/>
      <c r="AG111" s="93"/>
      <c r="AJ111" s="7"/>
      <c r="AK111" s="7"/>
      <c r="AL111" s="41"/>
      <c r="AM111" s="42"/>
      <c r="AN111" s="7"/>
      <c r="AO111" s="7"/>
      <c r="AP111" s="7"/>
      <c r="AQ111" s="7"/>
      <c r="AR111" s="5"/>
      <c r="AS111" s="5"/>
    </row>
    <row r="112" spans="1:45" ht="15.75" x14ac:dyDescent="0.25">
      <c r="A112" s="56"/>
      <c r="B112" s="54"/>
      <c r="C112" s="63"/>
      <c r="D112" s="64"/>
      <c r="E112" s="64"/>
      <c r="F112" s="64"/>
      <c r="G112" s="64"/>
      <c r="H112" s="64"/>
      <c r="I112" s="64"/>
      <c r="J112" s="64"/>
      <c r="K112" s="64"/>
      <c r="L112" s="64"/>
      <c r="M112" s="64"/>
      <c r="N112" s="64"/>
      <c r="O112" s="64"/>
      <c r="P112" s="64"/>
      <c r="Q112" s="65"/>
      <c r="S112" s="95"/>
      <c r="T112" s="97"/>
      <c r="U112" s="93"/>
      <c r="V112" s="98"/>
      <c r="W112" s="93"/>
      <c r="X112" s="98"/>
      <c r="Y112" s="93"/>
      <c r="Z112" s="93"/>
      <c r="AA112" s="93"/>
      <c r="AB112" s="93"/>
      <c r="AC112" s="93"/>
      <c r="AD112" s="93"/>
      <c r="AE112" s="72"/>
      <c r="AF112" s="94"/>
      <c r="AG112" s="93"/>
      <c r="AJ112" s="7"/>
      <c r="AK112" s="7"/>
      <c r="AL112" s="41"/>
      <c r="AM112" s="42"/>
      <c r="AN112" s="7"/>
      <c r="AO112" s="7"/>
      <c r="AP112" s="7"/>
      <c r="AQ112" s="7"/>
      <c r="AR112" s="5"/>
      <c r="AS112" s="5"/>
    </row>
    <row r="113" spans="1:45" ht="15.75" x14ac:dyDescent="0.25">
      <c r="A113" s="56"/>
      <c r="B113" s="54"/>
      <c r="C113" s="63"/>
      <c r="D113" s="64"/>
      <c r="E113" s="64"/>
      <c r="F113" s="64"/>
      <c r="G113" s="64"/>
      <c r="H113" s="64"/>
      <c r="I113" s="64"/>
      <c r="J113" s="64"/>
      <c r="K113" s="64"/>
      <c r="L113" s="64"/>
      <c r="M113" s="64"/>
      <c r="N113" s="64"/>
      <c r="O113" s="64"/>
      <c r="P113" s="64"/>
      <c r="Q113" s="65"/>
      <c r="S113" s="95"/>
      <c r="T113" s="97"/>
      <c r="U113" s="93"/>
      <c r="V113" s="98"/>
      <c r="W113" s="93"/>
      <c r="X113" s="98"/>
      <c r="Y113" s="93"/>
      <c r="Z113" s="93"/>
      <c r="AA113" s="93"/>
      <c r="AB113" s="93"/>
      <c r="AC113" s="93"/>
      <c r="AD113" s="93"/>
      <c r="AE113" s="72"/>
      <c r="AF113" s="94"/>
      <c r="AG113" s="93"/>
      <c r="AJ113" s="7"/>
      <c r="AK113" s="7"/>
      <c r="AL113" s="41"/>
      <c r="AM113" s="42"/>
      <c r="AN113" s="7"/>
      <c r="AO113" s="7"/>
      <c r="AP113" s="7"/>
      <c r="AQ113" s="7"/>
      <c r="AR113" s="5"/>
      <c r="AS113" s="5"/>
    </row>
    <row r="114" spans="1:45" ht="15.75" x14ac:dyDescent="0.25">
      <c r="A114" s="56"/>
      <c r="B114" s="54"/>
      <c r="C114" s="63"/>
      <c r="D114" s="64"/>
      <c r="E114" s="64"/>
      <c r="F114" s="64"/>
      <c r="G114" s="64"/>
      <c r="H114" s="64"/>
      <c r="I114" s="64"/>
      <c r="J114" s="64"/>
      <c r="K114" s="64"/>
      <c r="L114" s="64"/>
      <c r="M114" s="64"/>
      <c r="N114" s="64"/>
      <c r="O114" s="64"/>
      <c r="P114" s="64"/>
      <c r="Q114" s="65"/>
      <c r="S114" s="95"/>
      <c r="T114" s="97"/>
      <c r="U114" s="93"/>
      <c r="V114" s="98"/>
      <c r="W114" s="93"/>
      <c r="X114" s="98"/>
      <c r="Y114" s="93"/>
      <c r="Z114" s="93"/>
      <c r="AA114" s="93"/>
      <c r="AB114" s="93"/>
      <c r="AC114" s="93"/>
      <c r="AD114" s="93"/>
      <c r="AE114" s="72"/>
      <c r="AF114" s="94"/>
      <c r="AG114" s="93"/>
      <c r="AJ114" s="7"/>
      <c r="AK114" s="7"/>
      <c r="AL114" s="41"/>
      <c r="AM114" s="42"/>
      <c r="AN114" s="7"/>
      <c r="AO114" s="7"/>
      <c r="AP114" s="7"/>
      <c r="AQ114" s="7"/>
      <c r="AR114" s="5"/>
      <c r="AS114" s="5"/>
    </row>
    <row r="115" spans="1:45" ht="15.75" x14ac:dyDescent="0.25">
      <c r="A115" s="56"/>
      <c r="B115" s="54"/>
      <c r="C115" s="63"/>
      <c r="D115" s="64"/>
      <c r="E115" s="64"/>
      <c r="F115" s="64"/>
      <c r="G115" s="64"/>
      <c r="H115" s="64"/>
      <c r="I115" s="64"/>
      <c r="J115" s="64"/>
      <c r="K115" s="64"/>
      <c r="L115" s="64"/>
      <c r="M115" s="64"/>
      <c r="N115" s="64"/>
      <c r="O115" s="64"/>
      <c r="P115" s="64"/>
      <c r="Q115" s="65"/>
      <c r="S115" s="95"/>
      <c r="T115" s="97"/>
      <c r="U115" s="93"/>
      <c r="V115" s="98"/>
      <c r="W115" s="93"/>
      <c r="X115" s="98"/>
      <c r="Y115" s="93"/>
      <c r="Z115" s="93"/>
      <c r="AA115" s="93"/>
      <c r="AB115" s="93"/>
      <c r="AC115" s="93"/>
      <c r="AD115" s="93"/>
      <c r="AE115" s="72"/>
      <c r="AF115" s="94"/>
      <c r="AG115" s="93"/>
      <c r="AJ115" s="7"/>
      <c r="AK115" s="7"/>
      <c r="AL115" s="41"/>
      <c r="AM115" s="42"/>
      <c r="AN115" s="7"/>
      <c r="AO115" s="7"/>
      <c r="AP115" s="7"/>
      <c r="AQ115" s="7"/>
      <c r="AR115" s="5"/>
      <c r="AS115" s="5"/>
    </row>
    <row r="116" spans="1:45" ht="16.5" thickBot="1" x14ac:dyDescent="0.3">
      <c r="A116" s="56"/>
      <c r="B116" s="54"/>
      <c r="C116" s="66"/>
      <c r="D116" s="67"/>
      <c r="E116" s="67"/>
      <c r="F116" s="67"/>
      <c r="G116" s="67"/>
      <c r="H116" s="67"/>
      <c r="I116" s="67"/>
      <c r="J116" s="67"/>
      <c r="K116" s="67"/>
      <c r="L116" s="67"/>
      <c r="M116" s="67"/>
      <c r="N116" s="67"/>
      <c r="O116" s="67"/>
      <c r="P116" s="67"/>
      <c r="Q116" s="68"/>
      <c r="S116" s="95"/>
      <c r="T116" s="97"/>
      <c r="U116" s="93"/>
      <c r="V116" s="98"/>
      <c r="W116" s="93"/>
      <c r="X116" s="98"/>
      <c r="Y116" s="93"/>
      <c r="Z116" s="93"/>
      <c r="AA116" s="93"/>
      <c r="AB116" s="93"/>
      <c r="AC116" s="93"/>
      <c r="AD116" s="93"/>
      <c r="AE116" s="72"/>
      <c r="AF116" s="94"/>
      <c r="AG116" s="93"/>
      <c r="AJ116" s="7"/>
      <c r="AK116" s="7"/>
      <c r="AL116" s="41"/>
      <c r="AM116" s="42"/>
      <c r="AN116" s="7"/>
      <c r="AO116" s="7"/>
      <c r="AP116" s="7"/>
      <c r="AQ116" s="7"/>
      <c r="AR116" s="5"/>
      <c r="AS116" s="5"/>
    </row>
    <row r="117" spans="1:45" ht="16.5" thickTop="1" x14ac:dyDescent="0.25">
      <c r="A117" s="56"/>
      <c r="B117" s="54"/>
      <c r="C117" s="69"/>
      <c r="D117" s="70"/>
      <c r="E117" s="70"/>
      <c r="F117" s="70"/>
      <c r="G117" s="70"/>
      <c r="H117" s="70"/>
      <c r="I117" s="70"/>
      <c r="J117" s="70"/>
      <c r="K117" s="70"/>
      <c r="L117" s="70"/>
      <c r="M117" s="70"/>
      <c r="N117" s="70"/>
      <c r="O117" s="70"/>
      <c r="P117" s="70"/>
      <c r="Q117" s="71"/>
      <c r="S117" s="95"/>
      <c r="T117" s="97"/>
      <c r="U117" s="93"/>
      <c r="V117" s="98"/>
      <c r="W117" s="93"/>
      <c r="X117" s="98"/>
      <c r="Y117" s="93"/>
      <c r="Z117" s="93"/>
      <c r="AA117" s="93"/>
      <c r="AB117" s="93"/>
      <c r="AC117" s="93"/>
      <c r="AD117" s="93"/>
      <c r="AE117" s="72"/>
      <c r="AF117" s="94"/>
      <c r="AG117" s="93"/>
      <c r="AJ117" s="7"/>
      <c r="AK117" s="7"/>
      <c r="AL117" s="41"/>
      <c r="AM117" s="42"/>
      <c r="AN117" s="7"/>
      <c r="AO117" s="7"/>
      <c r="AP117" s="7"/>
      <c r="AQ117" s="7"/>
      <c r="AR117" s="5"/>
      <c r="AS117" s="5"/>
    </row>
    <row r="118" spans="1:45" ht="15.75" x14ac:dyDescent="0.25">
      <c r="A118" s="56"/>
      <c r="B118" s="54"/>
      <c r="C118" s="63"/>
      <c r="D118" s="64"/>
      <c r="E118" s="64"/>
      <c r="F118" s="64"/>
      <c r="G118" s="64"/>
      <c r="H118" s="64"/>
      <c r="I118" s="64"/>
      <c r="J118" s="64"/>
      <c r="K118" s="64"/>
      <c r="L118" s="64"/>
      <c r="M118" s="64"/>
      <c r="N118" s="64"/>
      <c r="O118" s="64"/>
      <c r="P118" s="64"/>
      <c r="Q118" s="65"/>
      <c r="S118" s="95"/>
      <c r="T118" s="97"/>
      <c r="U118" s="93"/>
      <c r="V118" s="98"/>
      <c r="W118" s="93"/>
      <c r="X118" s="98"/>
      <c r="Y118" s="93"/>
      <c r="Z118" s="93"/>
      <c r="AA118" s="93"/>
      <c r="AB118" s="93"/>
      <c r="AC118" s="93"/>
      <c r="AD118" s="93"/>
      <c r="AE118" s="72"/>
      <c r="AF118" s="94"/>
      <c r="AG118" s="93"/>
      <c r="AJ118" s="7"/>
      <c r="AK118" s="7"/>
      <c r="AL118" s="41"/>
      <c r="AM118" s="42"/>
      <c r="AN118" s="7"/>
      <c r="AO118" s="7"/>
      <c r="AP118" s="7"/>
      <c r="AQ118" s="7"/>
      <c r="AR118" s="5"/>
      <c r="AS118" s="5"/>
    </row>
    <row r="119" spans="1:45" ht="15.75" x14ac:dyDescent="0.25">
      <c r="A119" s="56"/>
      <c r="B119" s="54"/>
      <c r="C119" s="63"/>
      <c r="D119" s="64"/>
      <c r="E119" s="64"/>
      <c r="F119" s="64"/>
      <c r="G119" s="64"/>
      <c r="H119" s="64"/>
      <c r="I119" s="64"/>
      <c r="J119" s="64"/>
      <c r="K119" s="64"/>
      <c r="L119" s="64"/>
      <c r="M119" s="64"/>
      <c r="N119" s="64"/>
      <c r="O119" s="64"/>
      <c r="P119" s="64"/>
      <c r="Q119" s="65"/>
      <c r="S119" s="95"/>
      <c r="T119" s="97"/>
      <c r="U119" s="93"/>
      <c r="V119" s="98"/>
      <c r="W119" s="93"/>
      <c r="X119" s="98"/>
      <c r="Y119" s="93"/>
      <c r="Z119" s="93"/>
      <c r="AA119" s="93"/>
      <c r="AB119" s="93"/>
      <c r="AC119" s="93"/>
      <c r="AD119" s="93"/>
      <c r="AE119" s="72"/>
      <c r="AF119" s="94"/>
      <c r="AG119" s="93"/>
      <c r="AJ119" s="7"/>
      <c r="AK119" s="7"/>
      <c r="AL119" s="41"/>
      <c r="AM119" s="42"/>
      <c r="AN119" s="7"/>
      <c r="AO119" s="7"/>
      <c r="AP119" s="7"/>
      <c r="AQ119" s="7"/>
      <c r="AR119" s="5"/>
      <c r="AS119" s="5"/>
    </row>
    <row r="120" spans="1:45" ht="15.75" x14ac:dyDescent="0.25">
      <c r="A120" s="56"/>
      <c r="B120" s="54"/>
      <c r="C120" s="63"/>
      <c r="D120" s="64"/>
      <c r="E120" s="64"/>
      <c r="F120" s="64"/>
      <c r="G120" s="64"/>
      <c r="H120" s="64"/>
      <c r="I120" s="64"/>
      <c r="J120" s="64"/>
      <c r="K120" s="64"/>
      <c r="L120" s="64"/>
      <c r="M120" s="64"/>
      <c r="N120" s="64"/>
      <c r="O120" s="64"/>
      <c r="P120" s="64"/>
      <c r="Q120" s="65"/>
      <c r="S120" s="95"/>
      <c r="T120" s="97"/>
      <c r="U120" s="93"/>
      <c r="V120" s="98"/>
      <c r="W120" s="93"/>
      <c r="X120" s="98"/>
      <c r="Y120" s="93"/>
      <c r="Z120" s="93"/>
      <c r="AA120" s="93"/>
      <c r="AB120" s="93"/>
      <c r="AC120" s="93"/>
      <c r="AD120" s="93"/>
      <c r="AE120" s="72"/>
      <c r="AF120" s="94"/>
      <c r="AG120" s="93"/>
      <c r="AJ120" s="7"/>
      <c r="AK120" s="7"/>
      <c r="AL120" s="41"/>
      <c r="AM120" s="42"/>
      <c r="AN120" s="7"/>
      <c r="AO120" s="7"/>
      <c r="AP120" s="7"/>
      <c r="AQ120" s="7"/>
      <c r="AR120" s="5"/>
      <c r="AS120" s="5"/>
    </row>
    <row r="121" spans="1:45" ht="15.75" x14ac:dyDescent="0.25">
      <c r="A121" s="56"/>
      <c r="B121" s="54"/>
      <c r="C121" s="63"/>
      <c r="D121" s="64"/>
      <c r="E121" s="64"/>
      <c r="F121" s="64"/>
      <c r="G121" s="64"/>
      <c r="H121" s="64"/>
      <c r="I121" s="64"/>
      <c r="J121" s="64"/>
      <c r="K121" s="64"/>
      <c r="L121" s="64"/>
      <c r="M121" s="64"/>
      <c r="N121" s="64"/>
      <c r="O121" s="64"/>
      <c r="P121" s="64"/>
      <c r="Q121" s="65"/>
      <c r="S121" s="95"/>
      <c r="T121" s="97"/>
      <c r="U121" s="93"/>
      <c r="V121" s="98"/>
      <c r="W121" s="93"/>
      <c r="X121" s="98"/>
      <c r="Y121" s="93"/>
      <c r="Z121" s="93"/>
      <c r="AA121" s="93"/>
      <c r="AB121" s="93"/>
      <c r="AC121" s="93"/>
      <c r="AD121" s="93"/>
      <c r="AE121" s="72"/>
      <c r="AF121" s="94"/>
      <c r="AG121" s="93"/>
      <c r="AJ121" s="7"/>
      <c r="AK121" s="7"/>
      <c r="AL121" s="41"/>
      <c r="AM121" s="42"/>
      <c r="AN121" s="7"/>
      <c r="AO121" s="7"/>
      <c r="AP121" s="7"/>
      <c r="AQ121" s="7"/>
      <c r="AR121" s="5"/>
      <c r="AS121" s="5"/>
    </row>
    <row r="122" spans="1:45" ht="15.75" x14ac:dyDescent="0.25">
      <c r="A122" s="56"/>
      <c r="B122" s="54"/>
      <c r="C122" s="63"/>
      <c r="D122" s="64"/>
      <c r="E122" s="64"/>
      <c r="F122" s="64"/>
      <c r="G122" s="64"/>
      <c r="H122" s="64"/>
      <c r="I122" s="64"/>
      <c r="J122" s="64"/>
      <c r="K122" s="64"/>
      <c r="L122" s="64"/>
      <c r="M122" s="64"/>
      <c r="N122" s="64"/>
      <c r="O122" s="64"/>
      <c r="P122" s="64"/>
      <c r="Q122" s="65"/>
      <c r="S122" s="95"/>
      <c r="T122" s="97"/>
      <c r="U122" s="93"/>
      <c r="V122" s="98"/>
      <c r="W122" s="93"/>
      <c r="X122" s="98"/>
      <c r="Y122" s="93"/>
      <c r="Z122" s="93"/>
      <c r="AA122" s="93"/>
      <c r="AB122" s="93"/>
      <c r="AC122" s="93"/>
      <c r="AD122" s="93"/>
      <c r="AE122" s="72"/>
      <c r="AF122" s="94"/>
      <c r="AG122" s="93"/>
      <c r="AJ122" s="7"/>
      <c r="AK122" s="7"/>
      <c r="AL122" s="41"/>
      <c r="AM122" s="42"/>
      <c r="AN122" s="7"/>
      <c r="AO122" s="7"/>
      <c r="AP122" s="7"/>
      <c r="AQ122" s="7"/>
      <c r="AR122" s="5"/>
      <c r="AS122" s="5"/>
    </row>
    <row r="123" spans="1:45" ht="15.75" x14ac:dyDescent="0.25">
      <c r="A123" s="56"/>
      <c r="B123" s="54"/>
      <c r="C123" s="63"/>
      <c r="D123" s="64"/>
      <c r="E123" s="64"/>
      <c r="F123" s="64"/>
      <c r="G123" s="64"/>
      <c r="H123" s="64"/>
      <c r="I123" s="64"/>
      <c r="J123" s="64"/>
      <c r="K123" s="64"/>
      <c r="L123" s="64"/>
      <c r="M123" s="64"/>
      <c r="N123" s="64"/>
      <c r="O123" s="64"/>
      <c r="P123" s="64"/>
      <c r="Q123" s="65"/>
      <c r="S123" s="95"/>
      <c r="T123" s="97"/>
      <c r="U123" s="93"/>
      <c r="V123" s="98"/>
      <c r="W123" s="93"/>
      <c r="X123" s="98"/>
      <c r="Y123" s="93"/>
      <c r="Z123" s="93"/>
      <c r="AA123" s="93"/>
      <c r="AB123" s="93"/>
      <c r="AC123" s="93"/>
      <c r="AD123" s="93"/>
      <c r="AE123" s="72"/>
      <c r="AF123" s="94"/>
      <c r="AG123" s="93"/>
      <c r="AJ123" s="7"/>
      <c r="AK123" s="7"/>
      <c r="AL123" s="41"/>
      <c r="AM123" s="42"/>
      <c r="AN123" s="7"/>
      <c r="AO123" s="7"/>
      <c r="AP123" s="7"/>
      <c r="AQ123" s="7"/>
      <c r="AR123" s="5"/>
      <c r="AS123" s="5"/>
    </row>
    <row r="124" spans="1:45" ht="15.75" x14ac:dyDescent="0.25">
      <c r="A124" s="56"/>
      <c r="B124" s="54"/>
      <c r="C124" s="63"/>
      <c r="D124" s="64"/>
      <c r="E124" s="64"/>
      <c r="F124" s="64"/>
      <c r="G124" s="64"/>
      <c r="H124" s="64"/>
      <c r="I124" s="64"/>
      <c r="J124" s="64"/>
      <c r="K124" s="64"/>
      <c r="L124" s="64"/>
      <c r="M124" s="64"/>
      <c r="N124" s="64"/>
      <c r="O124" s="64"/>
      <c r="P124" s="64"/>
      <c r="Q124" s="65"/>
      <c r="S124" s="95"/>
      <c r="T124" s="97"/>
      <c r="U124" s="93"/>
      <c r="V124" s="98"/>
      <c r="W124" s="93"/>
      <c r="X124" s="98"/>
      <c r="Y124" s="93"/>
      <c r="Z124" s="93"/>
      <c r="AA124" s="93"/>
      <c r="AB124" s="93"/>
      <c r="AC124" s="93"/>
      <c r="AD124" s="93"/>
      <c r="AE124" s="72"/>
      <c r="AF124" s="94"/>
      <c r="AG124" s="93"/>
      <c r="AJ124" s="7"/>
      <c r="AK124" s="7"/>
      <c r="AL124" s="41"/>
      <c r="AM124" s="42"/>
      <c r="AN124" s="7"/>
      <c r="AO124" s="7"/>
      <c r="AP124" s="7"/>
      <c r="AQ124" s="7"/>
      <c r="AR124" s="5"/>
      <c r="AS124" s="5"/>
    </row>
    <row r="125" spans="1:45" ht="15.75" x14ac:dyDescent="0.25">
      <c r="A125" s="56"/>
      <c r="B125" s="54"/>
      <c r="C125" s="63"/>
      <c r="D125" s="64"/>
      <c r="E125" s="64"/>
      <c r="F125" s="64"/>
      <c r="G125" s="64"/>
      <c r="H125" s="64"/>
      <c r="I125" s="64"/>
      <c r="J125" s="64"/>
      <c r="K125" s="64"/>
      <c r="L125" s="64"/>
      <c r="M125" s="64"/>
      <c r="N125" s="64"/>
      <c r="O125" s="64"/>
      <c r="P125" s="64"/>
      <c r="Q125" s="65"/>
      <c r="S125" s="95"/>
      <c r="T125" s="97"/>
      <c r="U125" s="93"/>
      <c r="V125" s="98"/>
      <c r="W125" s="93"/>
      <c r="X125" s="98"/>
      <c r="Y125" s="93"/>
      <c r="Z125" s="93"/>
      <c r="AA125" s="93"/>
      <c r="AB125" s="93"/>
      <c r="AC125" s="93"/>
      <c r="AD125" s="93"/>
      <c r="AE125" s="72"/>
      <c r="AF125" s="94"/>
      <c r="AG125" s="93"/>
      <c r="AJ125" s="7"/>
      <c r="AK125" s="7"/>
      <c r="AL125" s="41"/>
      <c r="AM125" s="42"/>
      <c r="AN125" s="7"/>
      <c r="AO125" s="7"/>
      <c r="AP125" s="7"/>
      <c r="AQ125" s="7"/>
      <c r="AR125" s="5"/>
      <c r="AS125" s="5"/>
    </row>
    <row r="126" spans="1:45" ht="15.75" x14ac:dyDescent="0.25">
      <c r="A126" s="56"/>
      <c r="B126" s="54"/>
      <c r="C126" s="63"/>
      <c r="D126" s="64"/>
      <c r="E126" s="64"/>
      <c r="F126" s="64"/>
      <c r="G126" s="64"/>
      <c r="H126" s="64"/>
      <c r="I126" s="64"/>
      <c r="J126" s="64"/>
      <c r="K126" s="64"/>
      <c r="L126" s="64"/>
      <c r="M126" s="64"/>
      <c r="N126" s="64"/>
      <c r="O126" s="64"/>
      <c r="P126" s="64"/>
      <c r="Q126" s="65"/>
      <c r="S126" s="95"/>
      <c r="T126" s="97"/>
      <c r="U126" s="93"/>
      <c r="V126" s="98"/>
      <c r="W126" s="93"/>
      <c r="X126" s="98"/>
      <c r="Y126" s="93"/>
      <c r="Z126" s="93"/>
      <c r="AA126" s="93"/>
      <c r="AB126" s="93"/>
      <c r="AC126" s="93"/>
      <c r="AD126" s="93"/>
      <c r="AE126" s="72"/>
      <c r="AF126" s="94"/>
      <c r="AG126" s="93"/>
      <c r="AJ126" s="7"/>
      <c r="AK126" s="7"/>
      <c r="AL126" s="41"/>
      <c r="AM126" s="42"/>
      <c r="AN126" s="7"/>
      <c r="AO126" s="7"/>
      <c r="AP126" s="7"/>
      <c r="AQ126" s="7"/>
      <c r="AR126" s="5"/>
      <c r="AS126" s="5"/>
    </row>
    <row r="127" spans="1:45" ht="15.75" x14ac:dyDescent="0.25">
      <c r="A127" s="56"/>
      <c r="B127" s="54"/>
      <c r="C127" s="63"/>
      <c r="D127" s="64"/>
      <c r="E127" s="64"/>
      <c r="F127" s="64"/>
      <c r="G127" s="64"/>
      <c r="H127" s="64"/>
      <c r="I127" s="64"/>
      <c r="J127" s="64"/>
      <c r="K127" s="64"/>
      <c r="L127" s="64"/>
      <c r="M127" s="64"/>
      <c r="N127" s="64"/>
      <c r="O127" s="64"/>
      <c r="P127" s="64"/>
      <c r="Q127" s="65"/>
      <c r="S127" s="95"/>
      <c r="T127" s="97"/>
      <c r="U127" s="93"/>
      <c r="V127" s="98"/>
      <c r="W127" s="93"/>
      <c r="X127" s="98"/>
      <c r="Y127" s="93"/>
      <c r="Z127" s="93"/>
      <c r="AA127" s="93"/>
      <c r="AB127" s="93"/>
      <c r="AC127" s="93"/>
      <c r="AD127" s="93"/>
      <c r="AE127" s="72"/>
      <c r="AF127" s="94"/>
      <c r="AG127" s="93"/>
      <c r="AJ127" s="7"/>
      <c r="AK127" s="7"/>
      <c r="AL127" s="41"/>
      <c r="AM127" s="42"/>
      <c r="AN127" s="7"/>
      <c r="AO127" s="7"/>
      <c r="AP127" s="7"/>
      <c r="AQ127" s="7"/>
      <c r="AR127" s="5"/>
      <c r="AS127" s="5"/>
    </row>
    <row r="128" spans="1:45" ht="16.5" thickBot="1" x14ac:dyDescent="0.3">
      <c r="A128" s="56"/>
      <c r="B128" s="54"/>
      <c r="C128" s="66"/>
      <c r="D128" s="67"/>
      <c r="E128" s="67"/>
      <c r="F128" s="67"/>
      <c r="G128" s="67"/>
      <c r="H128" s="67"/>
      <c r="I128" s="67"/>
      <c r="J128" s="67"/>
      <c r="K128" s="67"/>
      <c r="L128" s="67"/>
      <c r="M128" s="67"/>
      <c r="N128" s="67"/>
      <c r="O128" s="67"/>
      <c r="P128" s="67"/>
      <c r="Q128" s="68"/>
      <c r="S128" s="95"/>
      <c r="T128" s="97"/>
      <c r="U128" s="93"/>
      <c r="V128" s="98"/>
      <c r="W128" s="93"/>
      <c r="X128" s="98"/>
      <c r="Y128" s="93"/>
      <c r="Z128" s="93"/>
      <c r="AA128" s="93"/>
      <c r="AB128" s="93"/>
      <c r="AC128" s="93"/>
      <c r="AD128" s="93"/>
      <c r="AE128" s="72"/>
      <c r="AF128" s="94"/>
      <c r="AG128" s="93"/>
      <c r="AJ128" s="7"/>
      <c r="AK128" s="7"/>
      <c r="AL128" s="41"/>
      <c r="AM128" s="42"/>
      <c r="AN128" s="7"/>
      <c r="AO128" s="7"/>
      <c r="AP128" s="7"/>
      <c r="AQ128" s="7"/>
      <c r="AR128" s="5"/>
      <c r="AS128" s="5"/>
    </row>
    <row r="129" spans="1:45" ht="16.5" thickTop="1" x14ac:dyDescent="0.25">
      <c r="A129" s="56"/>
      <c r="B129" s="54"/>
      <c r="C129" s="69"/>
      <c r="D129" s="70"/>
      <c r="E129" s="70"/>
      <c r="F129" s="70"/>
      <c r="G129" s="70"/>
      <c r="H129" s="70"/>
      <c r="I129" s="70"/>
      <c r="J129" s="70"/>
      <c r="K129" s="70"/>
      <c r="L129" s="70"/>
      <c r="M129" s="70"/>
      <c r="N129" s="70"/>
      <c r="O129" s="70"/>
      <c r="P129" s="70"/>
      <c r="Q129" s="71"/>
      <c r="S129" s="95"/>
      <c r="T129" s="97"/>
      <c r="U129" s="93"/>
      <c r="V129" s="98"/>
      <c r="W129" s="93"/>
      <c r="X129" s="98"/>
      <c r="Y129" s="93"/>
      <c r="Z129" s="93"/>
      <c r="AA129" s="93"/>
      <c r="AB129" s="93"/>
      <c r="AC129" s="93"/>
      <c r="AD129" s="93"/>
      <c r="AE129" s="72"/>
      <c r="AF129" s="94"/>
      <c r="AG129" s="93"/>
      <c r="AJ129" s="7"/>
      <c r="AK129" s="7"/>
      <c r="AL129" s="41"/>
      <c r="AM129" s="42"/>
      <c r="AN129" s="7"/>
      <c r="AO129" s="7"/>
      <c r="AP129" s="7"/>
      <c r="AQ129" s="7"/>
      <c r="AR129" s="5"/>
      <c r="AS129" s="5"/>
    </row>
    <row r="130" spans="1:45" ht="15.75" x14ac:dyDescent="0.25">
      <c r="A130" s="56"/>
      <c r="B130" s="54"/>
      <c r="C130" s="63"/>
      <c r="D130" s="64"/>
      <c r="E130" s="64"/>
      <c r="F130" s="64"/>
      <c r="G130" s="64"/>
      <c r="H130" s="64"/>
      <c r="I130" s="64"/>
      <c r="J130" s="64"/>
      <c r="K130" s="64"/>
      <c r="L130" s="64"/>
      <c r="M130" s="64"/>
      <c r="N130" s="64"/>
      <c r="O130" s="64"/>
      <c r="P130" s="64"/>
      <c r="Q130" s="65"/>
      <c r="S130" s="95"/>
      <c r="T130" s="97"/>
      <c r="U130" s="93"/>
      <c r="V130" s="98"/>
      <c r="W130" s="93"/>
      <c r="X130" s="98"/>
      <c r="Y130" s="93"/>
      <c r="Z130" s="93"/>
      <c r="AA130" s="93"/>
      <c r="AB130" s="93"/>
      <c r="AC130" s="93"/>
      <c r="AD130" s="93"/>
      <c r="AE130" s="72"/>
      <c r="AF130" s="94"/>
      <c r="AG130" s="93"/>
      <c r="AJ130" s="7"/>
      <c r="AK130" s="7"/>
      <c r="AL130" s="41"/>
      <c r="AM130" s="42"/>
      <c r="AN130" s="7"/>
      <c r="AO130" s="7"/>
      <c r="AP130" s="7"/>
      <c r="AQ130" s="7"/>
      <c r="AR130" s="5"/>
      <c r="AS130" s="5"/>
    </row>
    <row r="131" spans="1:45" ht="15.75" x14ac:dyDescent="0.25">
      <c r="A131" s="56"/>
      <c r="B131" s="54"/>
      <c r="C131" s="63"/>
      <c r="D131" s="64"/>
      <c r="E131" s="64"/>
      <c r="F131" s="64"/>
      <c r="G131" s="64"/>
      <c r="H131" s="64"/>
      <c r="I131" s="64"/>
      <c r="J131" s="64"/>
      <c r="K131" s="64"/>
      <c r="L131" s="64"/>
      <c r="M131" s="64"/>
      <c r="N131" s="64"/>
      <c r="O131" s="64"/>
      <c r="P131" s="64"/>
      <c r="Q131" s="65"/>
      <c r="S131" s="95"/>
      <c r="T131" s="97"/>
      <c r="U131" s="93"/>
      <c r="V131" s="98"/>
      <c r="W131" s="93"/>
      <c r="X131" s="98"/>
      <c r="Y131" s="93"/>
      <c r="Z131" s="93"/>
      <c r="AA131" s="93"/>
      <c r="AB131" s="93"/>
      <c r="AC131" s="93"/>
      <c r="AD131" s="93"/>
      <c r="AE131" s="72"/>
      <c r="AF131" s="94"/>
      <c r="AG131" s="93"/>
      <c r="AJ131" s="7"/>
      <c r="AK131" s="7"/>
      <c r="AL131" s="41"/>
      <c r="AM131" s="42"/>
      <c r="AN131" s="7"/>
      <c r="AO131" s="7"/>
      <c r="AP131" s="7"/>
      <c r="AQ131" s="7"/>
      <c r="AR131" s="5"/>
      <c r="AS131" s="5"/>
    </row>
    <row r="132" spans="1:45" ht="15.75" x14ac:dyDescent="0.25">
      <c r="A132" s="56"/>
      <c r="B132" s="54"/>
      <c r="C132" s="63"/>
      <c r="D132" s="64"/>
      <c r="E132" s="64"/>
      <c r="F132" s="64"/>
      <c r="G132" s="64"/>
      <c r="H132" s="64"/>
      <c r="I132" s="64"/>
      <c r="J132" s="64"/>
      <c r="K132" s="64"/>
      <c r="L132" s="64"/>
      <c r="M132" s="64"/>
      <c r="N132" s="64"/>
      <c r="O132" s="64"/>
      <c r="P132" s="64"/>
      <c r="Q132" s="65"/>
      <c r="S132" s="95"/>
      <c r="T132" s="97"/>
      <c r="U132" s="93"/>
      <c r="V132" s="98"/>
      <c r="W132" s="93"/>
      <c r="X132" s="98"/>
      <c r="Y132" s="93"/>
      <c r="Z132" s="93"/>
      <c r="AA132" s="93"/>
      <c r="AB132" s="93"/>
      <c r="AC132" s="93"/>
      <c r="AD132" s="93"/>
      <c r="AE132" s="72"/>
      <c r="AF132" s="94"/>
      <c r="AG132" s="93"/>
      <c r="AJ132" s="7"/>
      <c r="AK132" s="7"/>
      <c r="AL132" s="41"/>
      <c r="AM132" s="42"/>
      <c r="AN132" s="7"/>
      <c r="AO132" s="7"/>
      <c r="AP132" s="7"/>
      <c r="AQ132" s="7"/>
      <c r="AR132" s="5"/>
      <c r="AS132" s="5"/>
    </row>
    <row r="133" spans="1:45" ht="15.75" x14ac:dyDescent="0.25">
      <c r="A133" s="56"/>
      <c r="B133" s="54"/>
      <c r="C133" s="63"/>
      <c r="D133" s="64"/>
      <c r="E133" s="64"/>
      <c r="F133" s="64"/>
      <c r="G133" s="64"/>
      <c r="H133" s="64"/>
      <c r="I133" s="64"/>
      <c r="J133" s="64"/>
      <c r="K133" s="64"/>
      <c r="L133" s="64"/>
      <c r="M133" s="64"/>
      <c r="N133" s="64"/>
      <c r="O133" s="64"/>
      <c r="P133" s="64"/>
      <c r="Q133" s="65"/>
      <c r="S133" s="95"/>
      <c r="T133" s="97"/>
      <c r="U133" s="93"/>
      <c r="V133" s="98"/>
      <c r="W133" s="93"/>
      <c r="X133" s="98"/>
      <c r="Y133" s="93"/>
      <c r="Z133" s="93"/>
      <c r="AA133" s="93"/>
      <c r="AB133" s="93"/>
      <c r="AC133" s="93"/>
      <c r="AD133" s="93"/>
      <c r="AE133" s="72"/>
      <c r="AF133" s="94"/>
      <c r="AG133" s="93"/>
      <c r="AJ133" s="7"/>
      <c r="AK133" s="7"/>
      <c r="AL133" s="41"/>
      <c r="AM133" s="42"/>
      <c r="AN133" s="7"/>
      <c r="AO133" s="7"/>
      <c r="AP133" s="7"/>
      <c r="AQ133" s="7"/>
      <c r="AR133" s="5"/>
      <c r="AS133" s="5"/>
    </row>
    <row r="134" spans="1:45" ht="15.75" x14ac:dyDescent="0.25">
      <c r="A134" s="56"/>
      <c r="B134" s="54"/>
      <c r="C134" s="63"/>
      <c r="D134" s="64"/>
      <c r="E134" s="64"/>
      <c r="F134" s="64"/>
      <c r="G134" s="64"/>
      <c r="H134" s="64"/>
      <c r="I134" s="64"/>
      <c r="J134" s="64"/>
      <c r="K134" s="64"/>
      <c r="L134" s="64"/>
      <c r="M134" s="64"/>
      <c r="N134" s="64"/>
      <c r="O134" s="64"/>
      <c r="P134" s="64"/>
      <c r="Q134" s="65"/>
      <c r="S134" s="95"/>
      <c r="T134" s="97"/>
      <c r="U134" s="93"/>
      <c r="V134" s="98"/>
      <c r="W134" s="93"/>
      <c r="X134" s="98"/>
      <c r="Y134" s="93"/>
      <c r="Z134" s="93"/>
      <c r="AA134" s="93"/>
      <c r="AB134" s="93"/>
      <c r="AC134" s="93"/>
      <c r="AD134" s="93"/>
      <c r="AE134" s="72"/>
      <c r="AF134" s="94"/>
      <c r="AG134" s="93"/>
      <c r="AJ134" s="7"/>
      <c r="AK134" s="7"/>
      <c r="AL134" s="41"/>
      <c r="AM134" s="42"/>
      <c r="AN134" s="7"/>
      <c r="AO134" s="7"/>
      <c r="AP134" s="7"/>
      <c r="AQ134" s="7"/>
      <c r="AR134" s="5"/>
      <c r="AS134" s="5"/>
    </row>
    <row r="135" spans="1:45" ht="15.75" x14ac:dyDescent="0.25">
      <c r="A135" s="56"/>
      <c r="B135" s="54"/>
      <c r="C135" s="63"/>
      <c r="D135" s="64"/>
      <c r="E135" s="64"/>
      <c r="F135" s="64"/>
      <c r="G135" s="64"/>
      <c r="H135" s="64"/>
      <c r="I135" s="64"/>
      <c r="J135" s="64"/>
      <c r="K135" s="64"/>
      <c r="L135" s="64"/>
      <c r="M135" s="64"/>
      <c r="N135" s="64"/>
      <c r="O135" s="64"/>
      <c r="P135" s="64"/>
      <c r="Q135" s="65"/>
      <c r="S135" s="95"/>
      <c r="T135" s="97"/>
      <c r="U135" s="93"/>
      <c r="V135" s="98"/>
      <c r="W135" s="93"/>
      <c r="X135" s="98"/>
      <c r="Y135" s="93"/>
      <c r="Z135" s="93"/>
      <c r="AA135" s="93"/>
      <c r="AB135" s="93"/>
      <c r="AC135" s="93"/>
      <c r="AD135" s="93"/>
      <c r="AE135" s="72"/>
      <c r="AF135" s="94"/>
      <c r="AG135" s="93"/>
      <c r="AJ135" s="7"/>
      <c r="AK135" s="7"/>
      <c r="AL135" s="41"/>
      <c r="AM135" s="42"/>
      <c r="AN135" s="7"/>
      <c r="AO135" s="7"/>
      <c r="AP135" s="7"/>
      <c r="AQ135" s="7"/>
      <c r="AR135" s="5"/>
      <c r="AS135" s="5"/>
    </row>
    <row r="136" spans="1:45" ht="15.75" x14ac:dyDescent="0.25">
      <c r="A136" s="56"/>
      <c r="B136" s="54"/>
      <c r="C136" s="63"/>
      <c r="D136" s="64"/>
      <c r="E136" s="64"/>
      <c r="F136" s="64"/>
      <c r="G136" s="64"/>
      <c r="H136" s="64"/>
      <c r="I136" s="64"/>
      <c r="J136" s="64"/>
      <c r="K136" s="64"/>
      <c r="L136" s="64"/>
      <c r="M136" s="64"/>
      <c r="N136" s="64"/>
      <c r="O136" s="64"/>
      <c r="P136" s="64"/>
      <c r="Q136" s="65"/>
      <c r="S136" s="95"/>
      <c r="T136" s="97"/>
      <c r="U136" s="93"/>
      <c r="V136" s="98"/>
      <c r="W136" s="93"/>
      <c r="X136" s="98"/>
      <c r="Y136" s="93"/>
      <c r="Z136" s="93"/>
      <c r="AA136" s="93"/>
      <c r="AB136" s="93"/>
      <c r="AC136" s="93"/>
      <c r="AD136" s="93"/>
      <c r="AE136" s="72"/>
      <c r="AF136" s="94"/>
      <c r="AG136" s="93"/>
      <c r="AJ136" s="7"/>
      <c r="AK136" s="7"/>
      <c r="AL136" s="41"/>
      <c r="AM136" s="42"/>
      <c r="AN136" s="7"/>
      <c r="AO136" s="7"/>
      <c r="AP136" s="7"/>
      <c r="AQ136" s="7"/>
      <c r="AR136" s="5"/>
      <c r="AS136" s="5"/>
    </row>
    <row r="137" spans="1:45" ht="15.75" x14ac:dyDescent="0.25">
      <c r="A137" s="56"/>
      <c r="B137" s="54"/>
      <c r="C137" s="63"/>
      <c r="D137" s="64"/>
      <c r="E137" s="64"/>
      <c r="F137" s="64"/>
      <c r="G137" s="64"/>
      <c r="H137" s="64"/>
      <c r="I137" s="64"/>
      <c r="J137" s="64"/>
      <c r="K137" s="64"/>
      <c r="L137" s="64"/>
      <c r="M137" s="64"/>
      <c r="N137" s="64"/>
      <c r="O137" s="64"/>
      <c r="P137" s="64"/>
      <c r="Q137" s="65"/>
      <c r="S137" s="95"/>
      <c r="T137" s="97"/>
      <c r="U137" s="93"/>
      <c r="V137" s="98"/>
      <c r="W137" s="93"/>
      <c r="X137" s="98"/>
      <c r="Y137" s="93"/>
      <c r="Z137" s="93"/>
      <c r="AA137" s="93"/>
      <c r="AB137" s="93"/>
      <c r="AC137" s="93"/>
      <c r="AD137" s="93"/>
      <c r="AE137" s="72"/>
      <c r="AF137" s="94"/>
      <c r="AG137" s="93"/>
      <c r="AJ137" s="7"/>
      <c r="AK137" s="7"/>
      <c r="AL137" s="41"/>
      <c r="AM137" s="42"/>
      <c r="AN137" s="7"/>
      <c r="AO137" s="7"/>
      <c r="AP137" s="7"/>
      <c r="AQ137" s="7"/>
      <c r="AR137" s="5"/>
      <c r="AS137" s="5"/>
    </row>
    <row r="138" spans="1:45" ht="15.75" x14ac:dyDescent="0.25">
      <c r="A138" s="56"/>
      <c r="B138" s="54"/>
      <c r="C138" s="63"/>
      <c r="D138" s="64"/>
      <c r="E138" s="64"/>
      <c r="F138" s="64"/>
      <c r="G138" s="64"/>
      <c r="H138" s="64"/>
      <c r="I138" s="64"/>
      <c r="J138" s="64"/>
      <c r="K138" s="64"/>
      <c r="L138" s="64"/>
      <c r="M138" s="64"/>
      <c r="N138" s="64"/>
      <c r="O138" s="64"/>
      <c r="P138" s="64"/>
      <c r="Q138" s="65"/>
      <c r="S138" s="95"/>
      <c r="T138" s="97"/>
      <c r="U138" s="93"/>
      <c r="V138" s="98"/>
      <c r="W138" s="93"/>
      <c r="X138" s="98"/>
      <c r="Y138" s="93"/>
      <c r="Z138" s="93"/>
      <c r="AA138" s="93"/>
      <c r="AB138" s="93"/>
      <c r="AC138" s="93"/>
      <c r="AD138" s="93"/>
      <c r="AE138" s="72"/>
      <c r="AF138" s="94"/>
      <c r="AG138" s="93"/>
      <c r="AJ138" s="7"/>
      <c r="AK138" s="7"/>
      <c r="AL138" s="41"/>
      <c r="AM138" s="42"/>
      <c r="AN138" s="7"/>
      <c r="AO138" s="7"/>
      <c r="AP138" s="7"/>
      <c r="AQ138" s="7"/>
      <c r="AR138" s="5"/>
      <c r="AS138" s="5"/>
    </row>
    <row r="139" spans="1:45" ht="15.75" x14ac:dyDescent="0.25">
      <c r="A139" s="56"/>
      <c r="B139" s="54"/>
      <c r="C139" s="63"/>
      <c r="D139" s="64"/>
      <c r="E139" s="64"/>
      <c r="F139" s="64"/>
      <c r="G139" s="64"/>
      <c r="H139" s="64"/>
      <c r="I139" s="64"/>
      <c r="J139" s="64"/>
      <c r="K139" s="64"/>
      <c r="L139" s="64"/>
      <c r="M139" s="64"/>
      <c r="N139" s="64"/>
      <c r="O139" s="64"/>
      <c r="P139" s="64"/>
      <c r="Q139" s="65"/>
      <c r="S139" s="95"/>
      <c r="T139" s="97"/>
      <c r="U139" s="93"/>
      <c r="V139" s="98"/>
      <c r="W139" s="93"/>
      <c r="X139" s="98"/>
      <c r="Y139" s="93"/>
      <c r="Z139" s="93"/>
      <c r="AA139" s="93"/>
      <c r="AB139" s="93"/>
      <c r="AC139" s="93"/>
      <c r="AD139" s="93"/>
      <c r="AE139" s="72"/>
      <c r="AF139" s="94"/>
      <c r="AG139" s="93"/>
      <c r="AJ139" s="7"/>
      <c r="AK139" s="7"/>
      <c r="AL139" s="41"/>
      <c r="AM139" s="42"/>
      <c r="AN139" s="7"/>
      <c r="AO139" s="7"/>
      <c r="AP139" s="7"/>
      <c r="AQ139" s="7"/>
      <c r="AR139" s="5"/>
      <c r="AS139" s="5"/>
    </row>
    <row r="140" spans="1:45" ht="16.5" thickBot="1" x14ac:dyDescent="0.3">
      <c r="A140" s="56"/>
      <c r="B140" s="54"/>
      <c r="C140" s="66"/>
      <c r="D140" s="67"/>
      <c r="E140" s="67"/>
      <c r="F140" s="67"/>
      <c r="G140" s="67"/>
      <c r="H140" s="67"/>
      <c r="I140" s="67"/>
      <c r="J140" s="67"/>
      <c r="K140" s="67"/>
      <c r="L140" s="67"/>
      <c r="M140" s="67"/>
      <c r="N140" s="67"/>
      <c r="O140" s="67"/>
      <c r="P140" s="67"/>
      <c r="Q140" s="68"/>
      <c r="S140" s="95"/>
      <c r="T140" s="97"/>
      <c r="U140" s="93"/>
      <c r="V140" s="98"/>
      <c r="W140" s="93"/>
      <c r="X140" s="98"/>
      <c r="Y140" s="93"/>
      <c r="Z140" s="93"/>
      <c r="AA140" s="93"/>
      <c r="AB140" s="93"/>
      <c r="AC140" s="93"/>
      <c r="AD140" s="93"/>
      <c r="AE140" s="72"/>
      <c r="AF140" s="94"/>
      <c r="AG140" s="93"/>
      <c r="AJ140" s="7"/>
      <c r="AK140" s="7"/>
      <c r="AL140" s="41"/>
      <c r="AM140" s="42"/>
      <c r="AN140" s="7"/>
      <c r="AO140" s="7"/>
      <c r="AP140" s="7"/>
      <c r="AQ140" s="7"/>
      <c r="AR140" s="5"/>
      <c r="AS140" s="5"/>
    </row>
    <row r="141" spans="1:45" ht="16.5" thickTop="1" x14ac:dyDescent="0.25">
      <c r="A141" s="56"/>
      <c r="B141" s="54"/>
      <c r="C141" s="69"/>
      <c r="D141" s="70"/>
      <c r="E141" s="70"/>
      <c r="F141" s="70"/>
      <c r="G141" s="70"/>
      <c r="H141" s="70"/>
      <c r="I141" s="70"/>
      <c r="J141" s="70"/>
      <c r="K141" s="70"/>
      <c r="L141" s="70"/>
      <c r="M141" s="70"/>
      <c r="N141" s="70"/>
      <c r="O141" s="70"/>
      <c r="P141" s="70"/>
      <c r="Q141" s="71"/>
      <c r="S141" s="95"/>
      <c r="T141" s="97"/>
      <c r="U141" s="93"/>
      <c r="V141" s="98"/>
      <c r="W141" s="93"/>
      <c r="X141" s="98"/>
      <c r="Y141" s="93"/>
      <c r="Z141" s="93"/>
      <c r="AA141" s="93"/>
      <c r="AB141" s="93"/>
      <c r="AC141" s="93"/>
      <c r="AD141" s="93"/>
      <c r="AE141" s="72"/>
      <c r="AF141" s="94"/>
      <c r="AG141" s="93"/>
      <c r="AJ141" s="7"/>
      <c r="AK141" s="7"/>
      <c r="AL141" s="41"/>
      <c r="AM141" s="42"/>
      <c r="AN141" s="7"/>
      <c r="AO141" s="7"/>
      <c r="AP141" s="7"/>
      <c r="AQ141" s="7"/>
      <c r="AR141" s="5"/>
      <c r="AS141" s="5"/>
    </row>
    <row r="142" spans="1:45" ht="15.75" x14ac:dyDescent="0.25">
      <c r="A142" s="56"/>
      <c r="B142" s="54"/>
      <c r="C142" s="63"/>
      <c r="D142" s="64"/>
      <c r="E142" s="64"/>
      <c r="F142" s="64"/>
      <c r="G142" s="64"/>
      <c r="H142" s="64"/>
      <c r="I142" s="64"/>
      <c r="J142" s="64"/>
      <c r="K142" s="64"/>
      <c r="L142" s="64"/>
      <c r="M142" s="64"/>
      <c r="N142" s="64"/>
      <c r="O142" s="64"/>
      <c r="P142" s="64"/>
      <c r="Q142" s="65"/>
      <c r="S142" s="95"/>
      <c r="T142" s="97"/>
      <c r="U142" s="93"/>
      <c r="V142" s="98"/>
      <c r="W142" s="93"/>
      <c r="X142" s="98"/>
      <c r="Y142" s="93"/>
      <c r="Z142" s="93"/>
      <c r="AA142" s="93"/>
      <c r="AB142" s="93"/>
      <c r="AC142" s="93"/>
      <c r="AD142" s="93"/>
      <c r="AE142" s="72"/>
      <c r="AF142" s="94"/>
      <c r="AG142" s="93"/>
      <c r="AJ142" s="7"/>
      <c r="AK142" s="7"/>
      <c r="AL142" s="41"/>
      <c r="AM142" s="42"/>
      <c r="AN142" s="7"/>
      <c r="AO142" s="7"/>
      <c r="AP142" s="7"/>
      <c r="AQ142" s="7"/>
      <c r="AR142" s="5"/>
      <c r="AS142" s="5"/>
    </row>
    <row r="143" spans="1:45" ht="15.75" x14ac:dyDescent="0.25">
      <c r="A143" s="56"/>
      <c r="B143" s="54"/>
      <c r="C143" s="63"/>
      <c r="D143" s="64"/>
      <c r="E143" s="64"/>
      <c r="F143" s="64"/>
      <c r="G143" s="64"/>
      <c r="H143" s="64"/>
      <c r="I143" s="64"/>
      <c r="J143" s="64"/>
      <c r="K143" s="64"/>
      <c r="L143" s="64"/>
      <c r="M143" s="64"/>
      <c r="N143" s="64"/>
      <c r="O143" s="64"/>
      <c r="P143" s="64"/>
      <c r="Q143" s="65"/>
      <c r="S143" s="95"/>
      <c r="T143" s="97"/>
      <c r="U143" s="93"/>
      <c r="V143" s="98"/>
      <c r="W143" s="93"/>
      <c r="X143" s="98"/>
      <c r="Y143" s="93"/>
      <c r="Z143" s="93"/>
      <c r="AA143" s="93"/>
      <c r="AB143" s="93"/>
      <c r="AC143" s="93"/>
      <c r="AD143" s="93"/>
      <c r="AE143" s="72"/>
      <c r="AF143" s="94"/>
      <c r="AG143" s="93"/>
      <c r="AJ143" s="7"/>
      <c r="AK143" s="7"/>
      <c r="AL143" s="41"/>
      <c r="AM143" s="42"/>
      <c r="AN143" s="7"/>
      <c r="AO143" s="7"/>
      <c r="AP143" s="7"/>
      <c r="AQ143" s="7"/>
      <c r="AR143" s="5"/>
      <c r="AS143" s="5"/>
    </row>
    <row r="144" spans="1:45" ht="15.75" x14ac:dyDescent="0.25">
      <c r="A144" s="56"/>
      <c r="B144" s="54"/>
      <c r="C144" s="63"/>
      <c r="D144" s="64"/>
      <c r="E144" s="64"/>
      <c r="F144" s="64"/>
      <c r="G144" s="64"/>
      <c r="H144" s="64"/>
      <c r="I144" s="64"/>
      <c r="J144" s="64"/>
      <c r="K144" s="64"/>
      <c r="L144" s="64"/>
      <c r="M144" s="64"/>
      <c r="N144" s="64"/>
      <c r="O144" s="64"/>
      <c r="P144" s="64"/>
      <c r="Q144" s="65"/>
      <c r="S144" s="95"/>
      <c r="T144" s="97"/>
      <c r="U144" s="93"/>
      <c r="V144" s="98"/>
      <c r="W144" s="93"/>
      <c r="X144" s="98"/>
      <c r="Y144" s="93"/>
      <c r="Z144" s="93"/>
      <c r="AA144" s="93"/>
      <c r="AB144" s="93"/>
      <c r="AC144" s="93"/>
      <c r="AD144" s="93"/>
      <c r="AE144" s="72"/>
      <c r="AF144" s="94"/>
      <c r="AG144" s="93"/>
      <c r="AJ144" s="7"/>
      <c r="AK144" s="7"/>
      <c r="AL144" s="41"/>
      <c r="AM144" s="42"/>
      <c r="AN144" s="7"/>
      <c r="AO144" s="7"/>
      <c r="AP144" s="7"/>
      <c r="AQ144" s="7"/>
      <c r="AR144" s="5"/>
      <c r="AS144" s="5"/>
    </row>
    <row r="145" spans="1:45" ht="15.75" x14ac:dyDescent="0.25">
      <c r="A145" s="56"/>
      <c r="B145" s="54"/>
      <c r="C145" s="63"/>
      <c r="D145" s="64"/>
      <c r="E145" s="64"/>
      <c r="F145" s="64"/>
      <c r="G145" s="64"/>
      <c r="H145" s="64"/>
      <c r="I145" s="64"/>
      <c r="J145" s="64"/>
      <c r="K145" s="64"/>
      <c r="L145" s="64"/>
      <c r="M145" s="64"/>
      <c r="N145" s="64"/>
      <c r="O145" s="64"/>
      <c r="P145" s="64"/>
      <c r="Q145" s="65"/>
      <c r="S145" s="95"/>
      <c r="T145" s="97"/>
      <c r="U145" s="93"/>
      <c r="V145" s="98"/>
      <c r="W145" s="93"/>
      <c r="X145" s="98"/>
      <c r="Y145" s="93"/>
      <c r="Z145" s="93"/>
      <c r="AA145" s="93"/>
      <c r="AB145" s="93"/>
      <c r="AC145" s="93"/>
      <c r="AD145" s="93"/>
      <c r="AE145" s="72"/>
      <c r="AF145" s="94"/>
      <c r="AG145" s="93"/>
      <c r="AJ145" s="7"/>
      <c r="AK145" s="7"/>
      <c r="AL145" s="41"/>
      <c r="AM145" s="42"/>
      <c r="AN145" s="7"/>
      <c r="AO145" s="7"/>
      <c r="AP145" s="7"/>
      <c r="AQ145" s="7"/>
      <c r="AR145" s="5"/>
      <c r="AS145" s="5"/>
    </row>
    <row r="146" spans="1:45" ht="15.75" x14ac:dyDescent="0.25">
      <c r="A146" s="56"/>
      <c r="B146" s="54"/>
      <c r="C146" s="63"/>
      <c r="D146" s="64"/>
      <c r="E146" s="64"/>
      <c r="F146" s="64"/>
      <c r="G146" s="64"/>
      <c r="H146" s="64"/>
      <c r="I146" s="64"/>
      <c r="J146" s="64"/>
      <c r="K146" s="64"/>
      <c r="L146" s="64"/>
      <c r="M146" s="64"/>
      <c r="N146" s="64"/>
      <c r="O146" s="64"/>
      <c r="P146" s="64"/>
      <c r="Q146" s="65"/>
      <c r="S146" s="95"/>
      <c r="T146" s="97"/>
      <c r="U146" s="93"/>
      <c r="V146" s="98"/>
      <c r="W146" s="93"/>
      <c r="X146" s="98"/>
      <c r="Y146" s="93"/>
      <c r="Z146" s="93"/>
      <c r="AA146" s="93"/>
      <c r="AB146" s="93"/>
      <c r="AC146" s="93"/>
      <c r="AD146" s="93"/>
      <c r="AE146" s="72"/>
      <c r="AF146" s="94"/>
      <c r="AG146" s="93"/>
      <c r="AJ146" s="7"/>
      <c r="AK146" s="7"/>
      <c r="AL146" s="41"/>
      <c r="AM146" s="42"/>
      <c r="AN146" s="7"/>
      <c r="AO146" s="7"/>
      <c r="AP146" s="7"/>
      <c r="AQ146" s="7"/>
      <c r="AR146" s="5"/>
      <c r="AS146" s="5"/>
    </row>
    <row r="147" spans="1:45" ht="15.75" x14ac:dyDescent="0.25">
      <c r="A147" s="56"/>
      <c r="B147" s="54"/>
      <c r="C147" s="63"/>
      <c r="D147" s="64"/>
      <c r="E147" s="64"/>
      <c r="F147" s="64"/>
      <c r="G147" s="64"/>
      <c r="H147" s="64"/>
      <c r="I147" s="64"/>
      <c r="J147" s="64"/>
      <c r="K147" s="64"/>
      <c r="L147" s="64"/>
      <c r="M147" s="64"/>
      <c r="N147" s="64"/>
      <c r="O147" s="64"/>
      <c r="P147" s="64"/>
      <c r="Q147" s="65"/>
      <c r="S147" s="95"/>
      <c r="T147" s="97"/>
      <c r="U147" s="93"/>
      <c r="V147" s="98"/>
      <c r="W147" s="93"/>
      <c r="X147" s="98"/>
      <c r="Y147" s="93"/>
      <c r="Z147" s="93"/>
      <c r="AA147" s="93"/>
      <c r="AB147" s="93"/>
      <c r="AC147" s="93"/>
      <c r="AD147" s="93"/>
      <c r="AE147" s="72"/>
      <c r="AF147" s="94"/>
      <c r="AG147" s="93"/>
      <c r="AJ147" s="7"/>
      <c r="AK147" s="7"/>
      <c r="AL147" s="41"/>
      <c r="AM147" s="42"/>
      <c r="AN147" s="7"/>
      <c r="AO147" s="7"/>
      <c r="AP147" s="7"/>
      <c r="AQ147" s="7"/>
      <c r="AR147" s="5"/>
      <c r="AS147" s="5"/>
    </row>
    <row r="148" spans="1:45" ht="15.75" x14ac:dyDescent="0.25">
      <c r="A148" s="56"/>
      <c r="B148" s="54"/>
      <c r="C148" s="63"/>
      <c r="D148" s="64"/>
      <c r="E148" s="64"/>
      <c r="F148" s="64"/>
      <c r="G148" s="64"/>
      <c r="H148" s="64"/>
      <c r="I148" s="64"/>
      <c r="J148" s="64"/>
      <c r="K148" s="64"/>
      <c r="L148" s="64"/>
      <c r="M148" s="64"/>
      <c r="N148" s="64"/>
      <c r="O148" s="64"/>
      <c r="P148" s="64"/>
      <c r="Q148" s="65"/>
      <c r="S148" s="95"/>
      <c r="T148" s="97"/>
      <c r="U148" s="93"/>
      <c r="V148" s="98"/>
      <c r="W148" s="93"/>
      <c r="X148" s="98"/>
      <c r="Y148" s="93"/>
      <c r="Z148" s="93"/>
      <c r="AA148" s="93"/>
      <c r="AB148" s="93"/>
      <c r="AC148" s="93"/>
      <c r="AD148" s="93"/>
      <c r="AE148" s="72"/>
      <c r="AF148" s="94"/>
      <c r="AG148" s="93"/>
      <c r="AJ148" s="7"/>
      <c r="AK148" s="7"/>
      <c r="AL148" s="41"/>
      <c r="AM148" s="42"/>
      <c r="AN148" s="7"/>
      <c r="AO148" s="7"/>
      <c r="AP148" s="7"/>
      <c r="AQ148" s="7"/>
      <c r="AR148" s="5"/>
      <c r="AS148" s="5"/>
    </row>
    <row r="149" spans="1:45" ht="15.75" x14ac:dyDescent="0.25">
      <c r="A149" s="56"/>
      <c r="B149" s="54"/>
      <c r="C149" s="63"/>
      <c r="D149" s="64"/>
      <c r="E149" s="64"/>
      <c r="F149" s="64"/>
      <c r="G149" s="64"/>
      <c r="H149" s="64"/>
      <c r="I149" s="64"/>
      <c r="J149" s="64"/>
      <c r="K149" s="64"/>
      <c r="L149" s="64"/>
      <c r="M149" s="64"/>
      <c r="N149" s="64"/>
      <c r="O149" s="64"/>
      <c r="P149" s="64"/>
      <c r="Q149" s="65"/>
      <c r="S149" s="95"/>
      <c r="T149" s="97"/>
      <c r="U149" s="93"/>
      <c r="V149" s="98"/>
      <c r="W149" s="93"/>
      <c r="X149" s="98"/>
      <c r="Y149" s="93"/>
      <c r="Z149" s="93"/>
      <c r="AA149" s="93"/>
      <c r="AB149" s="93"/>
      <c r="AC149" s="93"/>
      <c r="AD149" s="93"/>
      <c r="AE149" s="72"/>
      <c r="AF149" s="94"/>
      <c r="AG149" s="93"/>
      <c r="AJ149" s="7"/>
      <c r="AK149" s="7"/>
      <c r="AL149" s="41"/>
      <c r="AM149" s="42"/>
      <c r="AN149" s="7"/>
      <c r="AO149" s="7"/>
      <c r="AP149" s="7"/>
      <c r="AQ149" s="7"/>
      <c r="AR149" s="5"/>
      <c r="AS149" s="5"/>
    </row>
    <row r="150" spans="1:45" ht="15.75" x14ac:dyDescent="0.25">
      <c r="A150" s="56"/>
      <c r="B150" s="54"/>
      <c r="C150" s="63"/>
      <c r="D150" s="64"/>
      <c r="E150" s="64"/>
      <c r="F150" s="64"/>
      <c r="G150" s="64"/>
      <c r="H150" s="64"/>
      <c r="I150" s="64"/>
      <c r="J150" s="64"/>
      <c r="K150" s="64"/>
      <c r="L150" s="64"/>
      <c r="M150" s="64"/>
      <c r="N150" s="64"/>
      <c r="O150" s="64"/>
      <c r="P150" s="64"/>
      <c r="Q150" s="65"/>
      <c r="S150" s="95"/>
      <c r="T150" s="97"/>
      <c r="U150" s="93"/>
      <c r="V150" s="98"/>
      <c r="W150" s="93"/>
      <c r="X150" s="98"/>
      <c r="Y150" s="93"/>
      <c r="Z150" s="93"/>
      <c r="AA150" s="93"/>
      <c r="AB150" s="93"/>
      <c r="AC150" s="93"/>
      <c r="AD150" s="93"/>
      <c r="AE150" s="72"/>
      <c r="AF150" s="94"/>
      <c r="AG150" s="93"/>
      <c r="AJ150" s="7"/>
      <c r="AK150" s="7"/>
      <c r="AL150" s="41"/>
      <c r="AM150" s="42"/>
      <c r="AN150" s="7"/>
      <c r="AO150" s="7"/>
      <c r="AP150" s="7"/>
      <c r="AQ150" s="7"/>
      <c r="AR150" s="5"/>
      <c r="AS150" s="5"/>
    </row>
    <row r="151" spans="1:45" ht="15.75" x14ac:dyDescent="0.25">
      <c r="A151" s="56"/>
      <c r="B151" s="54"/>
      <c r="C151" s="63"/>
      <c r="D151" s="64"/>
      <c r="E151" s="64"/>
      <c r="F151" s="64"/>
      <c r="G151" s="64"/>
      <c r="H151" s="64"/>
      <c r="I151" s="64"/>
      <c r="J151" s="64"/>
      <c r="K151" s="64"/>
      <c r="L151" s="64"/>
      <c r="M151" s="64"/>
      <c r="N151" s="64"/>
      <c r="O151" s="64"/>
      <c r="P151" s="64"/>
      <c r="Q151" s="65"/>
      <c r="S151" s="95"/>
      <c r="T151" s="97"/>
      <c r="U151" s="93"/>
      <c r="V151" s="98"/>
      <c r="W151" s="93"/>
      <c r="X151" s="98"/>
      <c r="Y151" s="93"/>
      <c r="Z151" s="93"/>
      <c r="AA151" s="93"/>
      <c r="AB151" s="93"/>
      <c r="AC151" s="93"/>
      <c r="AD151" s="93"/>
      <c r="AE151" s="72"/>
      <c r="AF151" s="94"/>
      <c r="AG151" s="93"/>
      <c r="AJ151" s="7"/>
      <c r="AK151" s="7"/>
      <c r="AL151" s="41"/>
      <c r="AM151" s="42"/>
      <c r="AN151" s="7"/>
      <c r="AO151" s="7"/>
      <c r="AP151" s="7"/>
      <c r="AQ151" s="7"/>
      <c r="AR151" s="5"/>
      <c r="AS151" s="5"/>
    </row>
    <row r="152" spans="1:45" ht="16.5" thickBot="1" x14ac:dyDescent="0.3">
      <c r="A152" s="56"/>
      <c r="B152" s="54"/>
      <c r="C152" s="66"/>
      <c r="D152" s="67"/>
      <c r="E152" s="67"/>
      <c r="F152" s="67"/>
      <c r="G152" s="67"/>
      <c r="H152" s="67"/>
      <c r="I152" s="67"/>
      <c r="J152" s="67"/>
      <c r="K152" s="67"/>
      <c r="L152" s="67"/>
      <c r="M152" s="67"/>
      <c r="N152" s="67"/>
      <c r="O152" s="67"/>
      <c r="P152" s="67"/>
      <c r="Q152" s="68"/>
      <c r="S152" s="95"/>
      <c r="T152" s="97"/>
      <c r="U152" s="93"/>
      <c r="V152" s="98"/>
      <c r="W152" s="93"/>
      <c r="X152" s="98"/>
      <c r="Y152" s="93"/>
      <c r="Z152" s="93"/>
      <c r="AA152" s="93"/>
      <c r="AB152" s="93"/>
      <c r="AC152" s="93"/>
      <c r="AD152" s="93"/>
      <c r="AE152" s="72"/>
      <c r="AF152" s="94"/>
      <c r="AG152" s="93"/>
      <c r="AJ152" s="7"/>
      <c r="AK152" s="7"/>
      <c r="AL152" s="41"/>
      <c r="AM152" s="42"/>
      <c r="AN152" s="7"/>
      <c r="AO152" s="7"/>
      <c r="AP152" s="7"/>
      <c r="AQ152" s="7"/>
      <c r="AR152" s="5"/>
      <c r="AS152" s="5"/>
    </row>
    <row r="153" spans="1:45" ht="16.5" thickTop="1" x14ac:dyDescent="0.25">
      <c r="A153" s="56"/>
      <c r="B153" s="54"/>
      <c r="C153" s="69"/>
      <c r="D153" s="70"/>
      <c r="E153" s="70"/>
      <c r="F153" s="70"/>
      <c r="G153" s="70"/>
      <c r="H153" s="70"/>
      <c r="I153" s="70"/>
      <c r="J153" s="70"/>
      <c r="K153" s="70"/>
      <c r="L153" s="70"/>
      <c r="M153" s="70"/>
      <c r="N153" s="70"/>
      <c r="O153" s="70"/>
      <c r="P153" s="70"/>
      <c r="Q153" s="71"/>
      <c r="S153" s="95"/>
      <c r="T153" s="97"/>
      <c r="U153" s="93"/>
      <c r="V153" s="98"/>
      <c r="W153" s="93"/>
      <c r="X153" s="98"/>
      <c r="Y153" s="93"/>
      <c r="Z153" s="93"/>
      <c r="AA153" s="93"/>
      <c r="AB153" s="93"/>
      <c r="AC153" s="93"/>
      <c r="AD153" s="93"/>
      <c r="AE153" s="72"/>
      <c r="AF153" s="94"/>
      <c r="AG153" s="93"/>
      <c r="AJ153" s="7"/>
      <c r="AK153" s="7"/>
      <c r="AL153" s="41"/>
      <c r="AM153" s="42"/>
      <c r="AN153" s="7"/>
      <c r="AO153" s="7"/>
      <c r="AP153" s="7"/>
      <c r="AQ153" s="7"/>
      <c r="AR153" s="5"/>
      <c r="AS153" s="5"/>
    </row>
    <row r="154" spans="1:45" ht="15.75" x14ac:dyDescent="0.25">
      <c r="A154" s="56"/>
      <c r="B154" s="54"/>
      <c r="C154" s="63"/>
      <c r="D154" s="64"/>
      <c r="E154" s="64"/>
      <c r="F154" s="64"/>
      <c r="G154" s="64"/>
      <c r="H154" s="64"/>
      <c r="I154" s="64"/>
      <c r="J154" s="64"/>
      <c r="K154" s="64"/>
      <c r="L154" s="64"/>
      <c r="M154" s="64"/>
      <c r="N154" s="64"/>
      <c r="O154" s="64"/>
      <c r="P154" s="64"/>
      <c r="Q154" s="65"/>
      <c r="S154" s="95"/>
      <c r="T154" s="97"/>
      <c r="U154" s="93"/>
      <c r="V154" s="98"/>
      <c r="W154" s="93"/>
      <c r="X154" s="98"/>
      <c r="Y154" s="93"/>
      <c r="Z154" s="93"/>
      <c r="AA154" s="93"/>
      <c r="AB154" s="93"/>
      <c r="AC154" s="93"/>
      <c r="AD154" s="93"/>
      <c r="AE154" s="72"/>
      <c r="AF154" s="94"/>
      <c r="AG154" s="93"/>
      <c r="AJ154" s="7"/>
      <c r="AK154" s="7"/>
      <c r="AL154" s="41"/>
      <c r="AM154" s="42"/>
      <c r="AN154" s="7"/>
      <c r="AO154" s="7"/>
      <c r="AP154" s="7"/>
      <c r="AQ154" s="7"/>
      <c r="AR154" s="5"/>
      <c r="AS154" s="5"/>
    </row>
    <row r="155" spans="1:45" ht="15.75" x14ac:dyDescent="0.25">
      <c r="A155" s="56"/>
      <c r="B155" s="54"/>
      <c r="C155" s="63"/>
      <c r="D155" s="64"/>
      <c r="E155" s="64"/>
      <c r="F155" s="64"/>
      <c r="G155" s="64"/>
      <c r="H155" s="64"/>
      <c r="I155" s="64"/>
      <c r="J155" s="64"/>
      <c r="K155" s="64"/>
      <c r="L155" s="64"/>
      <c r="M155" s="64"/>
      <c r="N155" s="64"/>
      <c r="O155" s="64"/>
      <c r="P155" s="64"/>
      <c r="Q155" s="65"/>
      <c r="S155" s="95"/>
      <c r="T155" s="97"/>
      <c r="U155" s="93"/>
      <c r="V155" s="98"/>
      <c r="W155" s="93"/>
      <c r="X155" s="98"/>
      <c r="Y155" s="93"/>
      <c r="Z155" s="93"/>
      <c r="AA155" s="93"/>
      <c r="AB155" s="93"/>
      <c r="AC155" s="93"/>
      <c r="AD155" s="93"/>
      <c r="AE155" s="72"/>
      <c r="AF155" s="94"/>
      <c r="AG155" s="93"/>
      <c r="AJ155" s="7"/>
      <c r="AK155" s="7"/>
      <c r="AL155" s="41"/>
      <c r="AM155" s="42"/>
      <c r="AN155" s="7"/>
      <c r="AO155" s="7"/>
      <c r="AP155" s="7"/>
      <c r="AQ155" s="7"/>
      <c r="AR155" s="5"/>
      <c r="AS155" s="5"/>
    </row>
    <row r="156" spans="1:45" ht="15.75" x14ac:dyDescent="0.25">
      <c r="A156" s="56"/>
      <c r="B156" s="54"/>
      <c r="C156" s="63"/>
      <c r="D156" s="64"/>
      <c r="E156" s="64"/>
      <c r="F156" s="64"/>
      <c r="G156" s="64"/>
      <c r="H156" s="64"/>
      <c r="I156" s="64"/>
      <c r="J156" s="64"/>
      <c r="K156" s="64"/>
      <c r="L156" s="64"/>
      <c r="M156" s="64"/>
      <c r="N156" s="64"/>
      <c r="O156" s="64"/>
      <c r="P156" s="64"/>
      <c r="Q156" s="65"/>
      <c r="S156" s="95"/>
      <c r="T156" s="97"/>
      <c r="U156" s="93"/>
      <c r="V156" s="98"/>
      <c r="W156" s="93"/>
      <c r="X156" s="98"/>
      <c r="Y156" s="93"/>
      <c r="Z156" s="93"/>
      <c r="AA156" s="93"/>
      <c r="AB156" s="93"/>
      <c r="AC156" s="93"/>
      <c r="AD156" s="93"/>
      <c r="AE156" s="72"/>
      <c r="AF156" s="94"/>
      <c r="AG156" s="93"/>
      <c r="AJ156" s="7"/>
      <c r="AK156" s="7"/>
      <c r="AL156" s="41"/>
      <c r="AM156" s="42"/>
      <c r="AN156" s="7"/>
      <c r="AO156" s="7"/>
      <c r="AP156" s="7"/>
      <c r="AQ156" s="7"/>
      <c r="AR156" s="5"/>
      <c r="AS156" s="5"/>
    </row>
    <row r="157" spans="1:45" ht="15.75" x14ac:dyDescent="0.25">
      <c r="A157" s="56"/>
      <c r="B157" s="54"/>
      <c r="C157" s="63"/>
      <c r="D157" s="64"/>
      <c r="E157" s="64"/>
      <c r="F157" s="64"/>
      <c r="G157" s="64"/>
      <c r="H157" s="64"/>
      <c r="I157" s="64"/>
      <c r="J157" s="64"/>
      <c r="K157" s="64"/>
      <c r="L157" s="64"/>
      <c r="M157" s="64"/>
      <c r="N157" s="64"/>
      <c r="O157" s="64"/>
      <c r="P157" s="64"/>
      <c r="Q157" s="65"/>
      <c r="S157" s="95"/>
      <c r="T157" s="97"/>
      <c r="U157" s="93"/>
      <c r="V157" s="98"/>
      <c r="W157" s="93"/>
      <c r="X157" s="98"/>
      <c r="Y157" s="93"/>
      <c r="Z157" s="93"/>
      <c r="AA157" s="93"/>
      <c r="AB157" s="93"/>
      <c r="AC157" s="93"/>
      <c r="AD157" s="93"/>
      <c r="AE157" s="72"/>
      <c r="AF157" s="94"/>
      <c r="AG157" s="93"/>
      <c r="AJ157" s="7"/>
      <c r="AK157" s="7"/>
      <c r="AL157" s="41"/>
      <c r="AM157" s="42"/>
      <c r="AN157" s="7"/>
      <c r="AO157" s="7"/>
      <c r="AP157" s="7"/>
      <c r="AQ157" s="7"/>
      <c r="AR157" s="5"/>
      <c r="AS157" s="5"/>
    </row>
    <row r="158" spans="1:45" ht="15.75" x14ac:dyDescent="0.25">
      <c r="A158" s="56"/>
      <c r="B158" s="54"/>
      <c r="C158" s="63"/>
      <c r="D158" s="64"/>
      <c r="E158" s="64"/>
      <c r="F158" s="64"/>
      <c r="G158" s="64"/>
      <c r="H158" s="64"/>
      <c r="I158" s="64"/>
      <c r="J158" s="64"/>
      <c r="K158" s="64"/>
      <c r="L158" s="64"/>
      <c r="M158" s="64"/>
      <c r="N158" s="64"/>
      <c r="O158" s="64"/>
      <c r="P158" s="64"/>
      <c r="Q158" s="65"/>
      <c r="S158" s="95"/>
      <c r="T158" s="97"/>
      <c r="U158" s="93"/>
      <c r="V158" s="98"/>
      <c r="W158" s="93"/>
      <c r="X158" s="98"/>
      <c r="Y158" s="93"/>
      <c r="Z158" s="93"/>
      <c r="AA158" s="93"/>
      <c r="AB158" s="93"/>
      <c r="AC158" s="93"/>
      <c r="AD158" s="93"/>
      <c r="AE158" s="72"/>
      <c r="AF158" s="94"/>
      <c r="AG158" s="93"/>
      <c r="AJ158" s="7"/>
      <c r="AK158" s="7"/>
      <c r="AL158" s="41"/>
      <c r="AM158" s="42"/>
      <c r="AN158" s="7"/>
      <c r="AO158" s="7"/>
      <c r="AP158" s="7"/>
      <c r="AQ158" s="7"/>
      <c r="AR158" s="5"/>
      <c r="AS158" s="5"/>
    </row>
    <row r="159" spans="1:45" ht="15.75" x14ac:dyDescent="0.25">
      <c r="A159" s="56"/>
      <c r="B159" s="54"/>
      <c r="C159" s="99"/>
      <c r="D159" s="100"/>
      <c r="E159" s="100"/>
      <c r="F159" s="100"/>
      <c r="G159" s="100"/>
      <c r="H159" s="100"/>
      <c r="I159" s="100"/>
      <c r="J159" s="100"/>
      <c r="K159" s="100"/>
      <c r="L159" s="100"/>
      <c r="M159" s="100"/>
      <c r="N159" s="100"/>
      <c r="O159" s="100"/>
      <c r="P159" s="100"/>
      <c r="Q159" s="101"/>
      <c r="S159" s="95"/>
      <c r="T159" s="97"/>
      <c r="U159" s="93"/>
      <c r="V159" s="98"/>
      <c r="W159" s="93"/>
      <c r="X159" s="98"/>
      <c r="Y159" s="93"/>
      <c r="Z159" s="93"/>
      <c r="AA159" s="93"/>
      <c r="AB159" s="93"/>
      <c r="AC159" s="93"/>
      <c r="AD159" s="93"/>
      <c r="AE159" s="72"/>
      <c r="AF159" s="94"/>
      <c r="AG159" s="93"/>
      <c r="AJ159" s="7"/>
      <c r="AK159" s="7"/>
      <c r="AL159" s="41"/>
      <c r="AM159" s="42"/>
      <c r="AN159" s="7"/>
      <c r="AO159" s="7"/>
      <c r="AP159" s="7"/>
      <c r="AQ159" s="7"/>
      <c r="AR159" s="5"/>
      <c r="AS159" s="5"/>
    </row>
    <row r="160" spans="1:45" ht="15.75" x14ac:dyDescent="0.25">
      <c r="A160" s="102"/>
      <c r="B160" s="104"/>
      <c r="C160" s="103"/>
      <c r="D160" s="103"/>
      <c r="E160" s="103"/>
      <c r="F160" s="103"/>
      <c r="G160" s="103"/>
      <c r="H160" s="103"/>
      <c r="I160" s="103"/>
      <c r="J160" s="103"/>
      <c r="K160" s="103"/>
      <c r="L160" s="103"/>
      <c r="M160" s="103"/>
      <c r="N160" s="103"/>
      <c r="O160" s="103"/>
      <c r="P160" s="103"/>
      <c r="Q160" s="103"/>
      <c r="S160" s="72"/>
      <c r="T160" s="72"/>
      <c r="U160" s="72"/>
      <c r="V160" s="72"/>
      <c r="W160" s="72"/>
      <c r="X160" s="72"/>
      <c r="Y160" s="93"/>
      <c r="Z160" s="93"/>
      <c r="AA160" s="93"/>
      <c r="AB160" s="93"/>
      <c r="AC160" s="93"/>
      <c r="AD160" s="93"/>
      <c r="AE160" s="72"/>
      <c r="AF160" s="94"/>
      <c r="AG160" s="93"/>
    </row>
    <row r="161" spans="1:33" ht="15.75" x14ac:dyDescent="0.25">
      <c r="A161" s="102"/>
      <c r="B161" s="104"/>
      <c r="C161" s="103"/>
      <c r="D161" s="103"/>
      <c r="E161" s="103"/>
      <c r="F161" s="103"/>
      <c r="G161" s="103"/>
      <c r="H161" s="103"/>
      <c r="I161" s="103"/>
      <c r="J161" s="103"/>
      <c r="K161" s="103"/>
      <c r="L161" s="103"/>
      <c r="M161" s="103"/>
      <c r="N161" s="103"/>
      <c r="O161" s="103"/>
      <c r="P161" s="103"/>
      <c r="Q161" s="103"/>
      <c r="S161" s="72"/>
      <c r="T161" s="72"/>
      <c r="U161" s="72"/>
      <c r="V161" s="72"/>
      <c r="W161" s="72"/>
      <c r="X161" s="72"/>
      <c r="Y161" s="93"/>
      <c r="Z161" s="93"/>
      <c r="AA161" s="93"/>
      <c r="AB161" s="93"/>
      <c r="AC161" s="93"/>
      <c r="AD161" s="93"/>
      <c r="AE161" s="72"/>
      <c r="AF161" s="94"/>
      <c r="AG161" s="93"/>
    </row>
    <row r="162" spans="1:33" ht="15.75" x14ac:dyDescent="0.25">
      <c r="A162" s="102"/>
      <c r="B162" s="104"/>
      <c r="C162" s="103"/>
      <c r="D162" s="103"/>
      <c r="E162" s="103"/>
      <c r="F162" s="103"/>
      <c r="G162" s="103"/>
      <c r="H162" s="103"/>
      <c r="I162" s="103"/>
      <c r="J162" s="103"/>
      <c r="K162" s="103"/>
      <c r="L162" s="103"/>
      <c r="M162" s="103"/>
      <c r="N162" s="103"/>
      <c r="O162" s="103"/>
      <c r="P162" s="103"/>
      <c r="Q162" s="103"/>
      <c r="S162" s="72"/>
      <c r="T162" s="72"/>
      <c r="U162" s="72"/>
      <c r="V162" s="72"/>
      <c r="W162" s="72"/>
      <c r="X162" s="72"/>
      <c r="Y162" s="93"/>
      <c r="Z162" s="93"/>
      <c r="AA162" s="93"/>
      <c r="AB162" s="93"/>
      <c r="AC162" s="93"/>
      <c r="AD162" s="93"/>
      <c r="AE162" s="72"/>
      <c r="AF162" s="94"/>
      <c r="AG162" s="93"/>
    </row>
    <row r="163" spans="1:33" ht="15.75" x14ac:dyDescent="0.25">
      <c r="A163" s="102"/>
      <c r="B163" s="104"/>
      <c r="C163" s="103"/>
      <c r="D163" s="103"/>
      <c r="E163" s="103"/>
      <c r="F163" s="103"/>
      <c r="G163" s="103"/>
      <c r="H163" s="103"/>
      <c r="I163" s="103"/>
      <c r="J163" s="103"/>
      <c r="K163" s="103"/>
      <c r="L163" s="103"/>
      <c r="M163" s="103"/>
      <c r="N163" s="103"/>
      <c r="O163" s="103"/>
      <c r="P163" s="103"/>
      <c r="Q163" s="103"/>
      <c r="S163" s="72"/>
      <c r="T163" s="72"/>
      <c r="U163" s="72"/>
      <c r="V163" s="72"/>
      <c r="W163" s="72"/>
      <c r="X163" s="72"/>
      <c r="Y163" s="93"/>
      <c r="Z163" s="93"/>
      <c r="AA163" s="93"/>
      <c r="AB163" s="93"/>
      <c r="AC163" s="93"/>
      <c r="AD163" s="93"/>
      <c r="AE163" s="72"/>
      <c r="AF163" s="94"/>
      <c r="AG163" s="93"/>
    </row>
    <row r="164" spans="1:33" ht="15.75" x14ac:dyDescent="0.25">
      <c r="A164" s="102"/>
      <c r="B164" s="104"/>
      <c r="C164" s="103"/>
      <c r="D164" s="103"/>
      <c r="E164" s="103"/>
      <c r="F164" s="103"/>
      <c r="G164" s="103"/>
      <c r="H164" s="103"/>
      <c r="I164" s="103"/>
      <c r="J164" s="103"/>
      <c r="K164" s="103"/>
      <c r="L164" s="103"/>
      <c r="M164" s="103"/>
      <c r="N164" s="103"/>
      <c r="O164" s="103"/>
      <c r="P164" s="103"/>
      <c r="Q164" s="103"/>
      <c r="S164" s="72"/>
      <c r="T164" s="72"/>
      <c r="U164" s="72"/>
      <c r="V164" s="72"/>
      <c r="W164" s="72"/>
      <c r="X164" s="72"/>
      <c r="Y164" s="93"/>
      <c r="Z164" s="93"/>
      <c r="AA164" s="93"/>
      <c r="AB164" s="93"/>
      <c r="AC164" s="93"/>
      <c r="AD164" s="93"/>
      <c r="AE164" s="72"/>
      <c r="AF164" s="94"/>
      <c r="AG164" s="93"/>
    </row>
    <row r="165" spans="1:33" ht="15.75" x14ac:dyDescent="0.25">
      <c r="A165" s="102"/>
      <c r="B165" s="104"/>
      <c r="C165" s="103"/>
      <c r="D165" s="103"/>
      <c r="E165" s="103"/>
      <c r="F165" s="103"/>
      <c r="G165" s="103"/>
      <c r="H165" s="103"/>
      <c r="I165" s="103"/>
      <c r="J165" s="103"/>
      <c r="K165" s="103"/>
      <c r="L165" s="103"/>
      <c r="M165" s="103"/>
      <c r="N165" s="103"/>
      <c r="O165" s="103"/>
      <c r="P165" s="103"/>
      <c r="Q165" s="103"/>
      <c r="S165" s="72"/>
      <c r="T165" s="72"/>
      <c r="U165" s="72"/>
      <c r="V165" s="72"/>
      <c r="W165" s="72"/>
      <c r="X165" s="72"/>
      <c r="Y165" s="93"/>
      <c r="Z165" s="93"/>
      <c r="AA165" s="93"/>
      <c r="AB165" s="93"/>
      <c r="AC165" s="93"/>
      <c r="AD165" s="93"/>
      <c r="AE165" s="72"/>
      <c r="AF165" s="94"/>
      <c r="AG165" s="93"/>
    </row>
    <row r="166" spans="1:33" ht="15.75" x14ac:dyDescent="0.25">
      <c r="A166" s="102"/>
      <c r="B166" s="104"/>
      <c r="C166" s="103"/>
      <c r="D166" s="103"/>
      <c r="E166" s="103"/>
      <c r="F166" s="103"/>
      <c r="G166" s="103"/>
      <c r="H166" s="103"/>
      <c r="I166" s="103"/>
      <c r="J166" s="103"/>
      <c r="K166" s="103"/>
      <c r="L166" s="103"/>
      <c r="M166" s="103"/>
      <c r="N166" s="103"/>
      <c r="O166" s="103"/>
      <c r="P166" s="103"/>
      <c r="Q166" s="103"/>
      <c r="S166" s="72"/>
      <c r="T166" s="72"/>
      <c r="U166" s="72"/>
      <c r="V166" s="72"/>
      <c r="W166" s="72"/>
      <c r="X166" s="72"/>
      <c r="Y166" s="93"/>
      <c r="Z166" s="93"/>
      <c r="AA166" s="93"/>
      <c r="AB166" s="93"/>
      <c r="AC166" s="93"/>
      <c r="AD166" s="93"/>
      <c r="AE166" s="72"/>
      <c r="AF166" s="94"/>
      <c r="AG166" s="93"/>
    </row>
    <row r="167" spans="1:33" ht="15.75" x14ac:dyDescent="0.25">
      <c r="A167" s="102"/>
      <c r="B167" s="104"/>
      <c r="C167" s="103"/>
      <c r="D167" s="103"/>
      <c r="E167" s="103"/>
      <c r="F167" s="103"/>
      <c r="G167" s="103"/>
      <c r="H167" s="103"/>
      <c r="I167" s="103"/>
      <c r="J167" s="103"/>
      <c r="K167" s="103"/>
      <c r="L167" s="103"/>
      <c r="M167" s="103"/>
      <c r="N167" s="103"/>
      <c r="O167" s="103"/>
      <c r="P167" s="103"/>
      <c r="Q167" s="103"/>
      <c r="S167" s="72"/>
      <c r="T167" s="72"/>
      <c r="U167" s="72"/>
      <c r="V167" s="72"/>
      <c r="W167" s="72"/>
      <c r="X167" s="72"/>
      <c r="Y167" s="93"/>
      <c r="Z167" s="93"/>
      <c r="AA167" s="93"/>
      <c r="AB167" s="93"/>
      <c r="AC167" s="93"/>
      <c r="AD167" s="93"/>
      <c r="AE167" s="72"/>
      <c r="AF167" s="94"/>
      <c r="AG167" s="93"/>
    </row>
    <row r="168" spans="1:33" ht="15.75" x14ac:dyDescent="0.25">
      <c r="A168" s="102"/>
      <c r="B168" s="104"/>
      <c r="C168" s="103"/>
      <c r="D168" s="103"/>
      <c r="E168" s="103"/>
      <c r="F168" s="103"/>
      <c r="G168" s="103"/>
      <c r="H168" s="103"/>
      <c r="I168" s="103"/>
      <c r="J168" s="103"/>
      <c r="K168" s="103"/>
      <c r="L168" s="103"/>
      <c r="M168" s="103"/>
      <c r="N168" s="103"/>
      <c r="O168" s="103"/>
      <c r="P168" s="103"/>
      <c r="Q168" s="103"/>
      <c r="S168" s="72"/>
      <c r="T168" s="72"/>
      <c r="U168" s="72"/>
      <c r="V168" s="72"/>
      <c r="W168" s="72"/>
      <c r="X168" s="72"/>
      <c r="Y168" s="93"/>
      <c r="Z168" s="93"/>
      <c r="AA168" s="93"/>
      <c r="AB168" s="93"/>
      <c r="AC168" s="93"/>
      <c r="AD168" s="93"/>
      <c r="AE168" s="72"/>
      <c r="AF168" s="94"/>
      <c r="AG168" s="93"/>
    </row>
    <row r="169" spans="1:33" ht="15.75" x14ac:dyDescent="0.25">
      <c r="A169" s="102"/>
      <c r="B169" s="104"/>
      <c r="C169" s="103"/>
      <c r="D169" s="103"/>
      <c r="E169" s="103"/>
      <c r="F169" s="103"/>
      <c r="G169" s="103"/>
      <c r="H169" s="103"/>
      <c r="I169" s="103"/>
      <c r="J169" s="103"/>
      <c r="K169" s="103"/>
      <c r="L169" s="103"/>
      <c r="M169" s="103"/>
      <c r="N169" s="103"/>
      <c r="O169" s="103"/>
      <c r="P169" s="103"/>
      <c r="Q169" s="103"/>
      <c r="S169" s="72"/>
      <c r="T169" s="72"/>
      <c r="U169" s="72"/>
      <c r="V169" s="72"/>
      <c r="W169" s="72"/>
      <c r="X169" s="72"/>
      <c r="Y169" s="93"/>
      <c r="Z169" s="93"/>
      <c r="AA169" s="93"/>
      <c r="AB169" s="93"/>
      <c r="AC169" s="93"/>
      <c r="AD169" s="93"/>
      <c r="AE169" s="72"/>
      <c r="AF169" s="94"/>
      <c r="AG169" s="93"/>
    </row>
    <row r="170" spans="1:33" ht="15.75" x14ac:dyDescent="0.25">
      <c r="A170" s="102"/>
      <c r="B170" s="104"/>
      <c r="C170" s="103"/>
      <c r="D170" s="103"/>
      <c r="E170" s="103"/>
      <c r="F170" s="103"/>
      <c r="G170" s="103"/>
      <c r="H170" s="103"/>
      <c r="I170" s="103"/>
      <c r="J170" s="103"/>
      <c r="K170" s="103"/>
      <c r="L170" s="103"/>
      <c r="M170" s="103"/>
      <c r="N170" s="103"/>
      <c r="O170" s="103"/>
      <c r="P170" s="103"/>
      <c r="Q170" s="103"/>
      <c r="S170" s="72"/>
      <c r="T170" s="72"/>
      <c r="U170" s="72"/>
      <c r="V170" s="72"/>
      <c r="W170" s="72"/>
      <c r="X170" s="72"/>
      <c r="Y170" s="93"/>
      <c r="Z170" s="93"/>
      <c r="AA170" s="93"/>
      <c r="AB170" s="93"/>
      <c r="AC170" s="93"/>
      <c r="AD170" s="93"/>
      <c r="AE170" s="72"/>
      <c r="AF170" s="94"/>
      <c r="AG170" s="93"/>
    </row>
    <row r="171" spans="1:33" ht="15.75" x14ac:dyDescent="0.25">
      <c r="A171" s="102"/>
      <c r="B171" s="104"/>
      <c r="C171" s="103"/>
      <c r="D171" s="103"/>
      <c r="E171" s="103"/>
      <c r="F171" s="103"/>
      <c r="G171" s="103"/>
      <c r="H171" s="103"/>
      <c r="I171" s="103"/>
      <c r="J171" s="103"/>
      <c r="K171" s="103"/>
      <c r="L171" s="103"/>
      <c r="M171" s="103"/>
      <c r="N171" s="103"/>
      <c r="O171" s="103"/>
      <c r="P171" s="103"/>
      <c r="Q171" s="103"/>
      <c r="S171" s="72"/>
      <c r="T171" s="72"/>
      <c r="U171" s="72"/>
      <c r="V171" s="72"/>
      <c r="W171" s="72"/>
      <c r="X171" s="72"/>
      <c r="Y171" s="93"/>
      <c r="Z171" s="93"/>
      <c r="AA171" s="93"/>
      <c r="AB171" s="93"/>
      <c r="AC171" s="93"/>
      <c r="AD171" s="93"/>
      <c r="AE171" s="72"/>
      <c r="AF171" s="94"/>
      <c r="AG171" s="93"/>
    </row>
    <row r="172" spans="1:33" ht="15.75" x14ac:dyDescent="0.25">
      <c r="A172" s="102"/>
      <c r="B172" s="104"/>
      <c r="C172" s="103"/>
      <c r="D172" s="103"/>
      <c r="E172" s="103"/>
      <c r="F172" s="103"/>
      <c r="G172" s="103"/>
      <c r="H172" s="103"/>
      <c r="I172" s="103"/>
      <c r="J172" s="103"/>
      <c r="K172" s="103"/>
      <c r="L172" s="103"/>
      <c r="M172" s="103"/>
      <c r="N172" s="103"/>
      <c r="O172" s="103"/>
      <c r="P172" s="103"/>
      <c r="Q172" s="103"/>
      <c r="S172" s="72"/>
      <c r="T172" s="72"/>
      <c r="U172" s="72"/>
      <c r="V172" s="72"/>
      <c r="W172" s="72"/>
      <c r="X172" s="72"/>
      <c r="Y172" s="93"/>
      <c r="Z172" s="93"/>
      <c r="AA172" s="93"/>
      <c r="AB172" s="93"/>
      <c r="AC172" s="93"/>
      <c r="AD172" s="93"/>
      <c r="AE172" s="72"/>
      <c r="AF172" s="94"/>
      <c r="AG172" s="93"/>
    </row>
    <row r="173" spans="1:33" ht="15.75" x14ac:dyDescent="0.25">
      <c r="A173" s="102"/>
      <c r="B173" s="104"/>
      <c r="C173" s="103"/>
      <c r="D173" s="103"/>
      <c r="E173" s="103"/>
      <c r="F173" s="103"/>
      <c r="G173" s="103"/>
      <c r="H173" s="103"/>
      <c r="I173" s="103"/>
      <c r="J173" s="103"/>
      <c r="K173" s="103"/>
      <c r="L173" s="103"/>
      <c r="M173" s="103"/>
      <c r="N173" s="103"/>
      <c r="O173" s="103"/>
      <c r="P173" s="103"/>
      <c r="Q173" s="103"/>
      <c r="S173" s="72"/>
      <c r="T173" s="72"/>
      <c r="U173" s="72"/>
      <c r="V173" s="72"/>
      <c r="W173" s="72"/>
      <c r="X173" s="72"/>
      <c r="Y173" s="93"/>
      <c r="Z173" s="93"/>
      <c r="AA173" s="93"/>
      <c r="AB173" s="93"/>
      <c r="AC173" s="93"/>
      <c r="AD173" s="93"/>
      <c r="AE173" s="72"/>
      <c r="AF173" s="94"/>
      <c r="AG173" s="93"/>
    </row>
    <row r="174" spans="1:33" ht="15.75" x14ac:dyDescent="0.25">
      <c r="A174" s="102"/>
      <c r="B174" s="104"/>
      <c r="C174" s="103"/>
      <c r="D174" s="103"/>
      <c r="E174" s="103"/>
      <c r="F174" s="103"/>
      <c r="G174" s="103"/>
      <c r="H174" s="103"/>
      <c r="I174" s="103"/>
      <c r="J174" s="103"/>
      <c r="K174" s="103"/>
      <c r="L174" s="103"/>
      <c r="M174" s="103"/>
      <c r="N174" s="103"/>
      <c r="O174" s="103"/>
      <c r="P174" s="103"/>
      <c r="Q174" s="103"/>
      <c r="S174" s="72"/>
      <c r="T174" s="72"/>
      <c r="U174" s="72"/>
      <c r="V174" s="72"/>
      <c r="W174" s="72"/>
      <c r="X174" s="72"/>
      <c r="Y174" s="93"/>
      <c r="Z174" s="93"/>
      <c r="AA174" s="93"/>
      <c r="AB174" s="93"/>
      <c r="AC174" s="93"/>
      <c r="AD174" s="93"/>
      <c r="AE174" s="72"/>
      <c r="AF174" s="94"/>
      <c r="AG174" s="93"/>
    </row>
    <row r="175" spans="1:33" ht="15.75" x14ac:dyDescent="0.25">
      <c r="A175" s="102"/>
      <c r="B175" s="104"/>
      <c r="C175" s="103"/>
      <c r="D175" s="103"/>
      <c r="E175" s="103"/>
      <c r="F175" s="103"/>
      <c r="G175" s="103"/>
      <c r="H175" s="103"/>
      <c r="I175" s="103"/>
      <c r="J175" s="103"/>
      <c r="K175" s="103"/>
      <c r="L175" s="103"/>
      <c r="M175" s="103"/>
      <c r="N175" s="103"/>
      <c r="O175" s="103"/>
      <c r="P175" s="103"/>
      <c r="Q175" s="103"/>
      <c r="S175" s="72"/>
      <c r="T175" s="72"/>
      <c r="U175" s="72"/>
      <c r="V175" s="72"/>
      <c r="W175" s="72"/>
      <c r="X175" s="72"/>
      <c r="Y175" s="93"/>
      <c r="Z175" s="93"/>
      <c r="AA175" s="93"/>
      <c r="AB175" s="93"/>
      <c r="AC175" s="93"/>
      <c r="AD175" s="93"/>
      <c r="AE175" s="72"/>
      <c r="AF175" s="94"/>
      <c r="AG175" s="93"/>
    </row>
    <row r="176" spans="1:33" ht="15.75" x14ac:dyDescent="0.25">
      <c r="A176" s="102"/>
      <c r="B176" s="104"/>
      <c r="C176" s="103"/>
      <c r="D176" s="103"/>
      <c r="E176" s="103"/>
      <c r="F176" s="103"/>
      <c r="G176" s="103"/>
      <c r="H176" s="103"/>
      <c r="I176" s="103"/>
      <c r="J176" s="103"/>
      <c r="K176" s="103"/>
      <c r="L176" s="103"/>
      <c r="M176" s="103"/>
      <c r="N176" s="103"/>
      <c r="O176" s="103"/>
      <c r="P176" s="103"/>
      <c r="Q176" s="103"/>
      <c r="S176" s="72"/>
      <c r="T176" s="72"/>
      <c r="U176" s="72"/>
      <c r="V176" s="72"/>
      <c r="W176" s="72"/>
      <c r="X176" s="72"/>
      <c r="Y176" s="93"/>
      <c r="Z176" s="93"/>
      <c r="AA176" s="93"/>
      <c r="AB176" s="93"/>
      <c r="AC176" s="93"/>
      <c r="AD176" s="93"/>
      <c r="AE176" s="72"/>
      <c r="AF176" s="94"/>
      <c r="AG176" s="93"/>
    </row>
    <row r="177" spans="1:33" ht="15.75" x14ac:dyDescent="0.25">
      <c r="A177" s="102"/>
      <c r="B177" s="104"/>
      <c r="C177" s="103"/>
      <c r="D177" s="103"/>
      <c r="E177" s="103"/>
      <c r="F177" s="103"/>
      <c r="G177" s="103"/>
      <c r="H177" s="103"/>
      <c r="I177" s="103"/>
      <c r="J177" s="103"/>
      <c r="K177" s="103"/>
      <c r="L177" s="103"/>
      <c r="M177" s="103"/>
      <c r="N177" s="103"/>
      <c r="O177" s="103"/>
      <c r="P177" s="103"/>
      <c r="Q177" s="103"/>
      <c r="S177" s="72"/>
      <c r="T177" s="72"/>
      <c r="U177" s="72"/>
      <c r="V177" s="72"/>
      <c r="W177" s="72"/>
      <c r="X177" s="72"/>
      <c r="Y177" s="93"/>
      <c r="Z177" s="93"/>
      <c r="AA177" s="93"/>
      <c r="AB177" s="93"/>
      <c r="AC177" s="93"/>
      <c r="AD177" s="93"/>
      <c r="AE177" s="72"/>
      <c r="AF177" s="94"/>
      <c r="AG177" s="93"/>
    </row>
    <row r="178" spans="1:33" ht="15.75" x14ac:dyDescent="0.25">
      <c r="A178" s="102"/>
      <c r="B178" s="104"/>
      <c r="C178" s="103"/>
      <c r="D178" s="103"/>
      <c r="E178" s="103"/>
      <c r="F178" s="103"/>
      <c r="G178" s="103"/>
      <c r="H178" s="103"/>
      <c r="I178" s="103"/>
      <c r="J178" s="103"/>
      <c r="K178" s="103"/>
      <c r="L178" s="103"/>
      <c r="M178" s="103"/>
      <c r="N178" s="103"/>
      <c r="O178" s="103"/>
      <c r="P178" s="103"/>
      <c r="Q178" s="103"/>
      <c r="S178" s="72"/>
      <c r="T178" s="72"/>
      <c r="U178" s="72"/>
      <c r="V178" s="72"/>
      <c r="W178" s="72"/>
      <c r="X178" s="72"/>
      <c r="Y178" s="93"/>
      <c r="Z178" s="93"/>
      <c r="AA178" s="93"/>
      <c r="AB178" s="93"/>
      <c r="AC178" s="93"/>
      <c r="AD178" s="93"/>
      <c r="AE178" s="72"/>
      <c r="AF178" s="94"/>
      <c r="AG178" s="93"/>
    </row>
    <row r="179" spans="1:33" ht="15.75" x14ac:dyDescent="0.25">
      <c r="A179" s="102"/>
      <c r="B179" s="104"/>
      <c r="C179" s="103"/>
      <c r="D179" s="103"/>
      <c r="E179" s="103"/>
      <c r="F179" s="103"/>
      <c r="G179" s="103"/>
      <c r="H179" s="103"/>
      <c r="I179" s="103"/>
      <c r="J179" s="103"/>
      <c r="K179" s="103"/>
      <c r="L179" s="103"/>
      <c r="M179" s="103"/>
      <c r="N179" s="103"/>
      <c r="O179" s="103"/>
      <c r="P179" s="103"/>
      <c r="Q179" s="103"/>
      <c r="S179" s="72"/>
      <c r="T179" s="72"/>
      <c r="U179" s="72"/>
      <c r="V179" s="72"/>
      <c r="W179" s="72"/>
      <c r="X179" s="72"/>
      <c r="Y179" s="93"/>
      <c r="Z179" s="93"/>
      <c r="AA179" s="93"/>
      <c r="AB179" s="93"/>
      <c r="AC179" s="93"/>
      <c r="AD179" s="93"/>
      <c r="AE179" s="72"/>
      <c r="AF179" s="94"/>
      <c r="AG179" s="93"/>
    </row>
    <row r="180" spans="1:33" ht="15.75" x14ac:dyDescent="0.25">
      <c r="A180" s="102"/>
      <c r="B180" s="104"/>
      <c r="C180" s="103"/>
      <c r="D180" s="103"/>
      <c r="E180" s="103"/>
      <c r="F180" s="103"/>
      <c r="G180" s="103"/>
      <c r="H180" s="103"/>
      <c r="I180" s="103"/>
      <c r="J180" s="103"/>
      <c r="K180" s="103"/>
      <c r="L180" s="103"/>
      <c r="M180" s="103"/>
      <c r="N180" s="103"/>
      <c r="O180" s="103"/>
      <c r="P180" s="103"/>
      <c r="Q180" s="103"/>
      <c r="S180" s="72"/>
      <c r="T180" s="72"/>
      <c r="U180" s="72"/>
      <c r="V180" s="72"/>
      <c r="W180" s="72"/>
      <c r="X180" s="72"/>
      <c r="Y180" s="93"/>
      <c r="Z180" s="93"/>
      <c r="AA180" s="93"/>
      <c r="AB180" s="93"/>
      <c r="AC180" s="93"/>
      <c r="AD180" s="93"/>
      <c r="AE180" s="72"/>
      <c r="AF180" s="94"/>
      <c r="AG180" s="93"/>
    </row>
    <row r="181" spans="1:33" ht="15.75" x14ac:dyDescent="0.25">
      <c r="A181" s="102"/>
      <c r="B181" s="104"/>
      <c r="C181" s="103"/>
      <c r="D181" s="103"/>
      <c r="E181" s="103"/>
      <c r="F181" s="103"/>
      <c r="G181" s="103"/>
      <c r="H181" s="103"/>
      <c r="I181" s="103"/>
      <c r="J181" s="103"/>
      <c r="K181" s="103"/>
      <c r="L181" s="103"/>
      <c r="M181" s="103"/>
      <c r="N181" s="103"/>
      <c r="O181" s="103"/>
      <c r="P181" s="103"/>
      <c r="Q181" s="103"/>
      <c r="S181" s="72"/>
      <c r="T181" s="72"/>
      <c r="U181" s="72"/>
      <c r="V181" s="72"/>
      <c r="W181" s="72"/>
      <c r="X181" s="72"/>
      <c r="Y181" s="93"/>
      <c r="Z181" s="93"/>
      <c r="AA181" s="93"/>
      <c r="AB181" s="93"/>
      <c r="AC181" s="93"/>
      <c r="AD181" s="93"/>
      <c r="AE181" s="72"/>
      <c r="AF181" s="94"/>
      <c r="AG181" s="93"/>
    </row>
    <row r="182" spans="1:33" ht="15.75" x14ac:dyDescent="0.25">
      <c r="A182" s="102"/>
      <c r="B182" s="104"/>
      <c r="C182" s="103"/>
      <c r="D182" s="103"/>
      <c r="E182" s="103"/>
      <c r="F182" s="103"/>
      <c r="G182" s="103"/>
      <c r="H182" s="103"/>
      <c r="I182" s="103"/>
      <c r="J182" s="103"/>
      <c r="K182" s="103"/>
      <c r="L182" s="103"/>
      <c r="M182" s="103"/>
      <c r="N182" s="103"/>
      <c r="O182" s="103"/>
      <c r="P182" s="103"/>
      <c r="Q182" s="103"/>
      <c r="S182" s="72"/>
      <c r="T182" s="72"/>
      <c r="U182" s="72"/>
      <c r="V182" s="72"/>
      <c r="W182" s="72"/>
      <c r="X182" s="72"/>
      <c r="Y182" s="93"/>
      <c r="Z182" s="93"/>
      <c r="AA182" s="93"/>
      <c r="AB182" s="93"/>
      <c r="AC182" s="93"/>
      <c r="AD182" s="93"/>
      <c r="AE182" s="72"/>
      <c r="AF182" s="94"/>
      <c r="AG182" s="93"/>
    </row>
    <row r="183" spans="1:33" ht="15.75" x14ac:dyDescent="0.25">
      <c r="A183" s="102"/>
      <c r="B183" s="104"/>
      <c r="C183" s="103"/>
      <c r="D183" s="103"/>
      <c r="E183" s="103"/>
      <c r="F183" s="103"/>
      <c r="G183" s="103"/>
      <c r="H183" s="103"/>
      <c r="I183" s="103"/>
      <c r="J183" s="103"/>
      <c r="K183" s="103"/>
      <c r="L183" s="103"/>
      <c r="M183" s="103"/>
      <c r="N183" s="103"/>
      <c r="O183" s="103"/>
      <c r="P183" s="103"/>
      <c r="Q183" s="103"/>
      <c r="S183" s="72"/>
      <c r="T183" s="72"/>
      <c r="U183" s="72"/>
      <c r="V183" s="72"/>
      <c r="W183" s="72"/>
      <c r="X183" s="72"/>
      <c r="Y183" s="93"/>
      <c r="Z183" s="93"/>
      <c r="AA183" s="93"/>
      <c r="AB183" s="93"/>
      <c r="AC183" s="93"/>
      <c r="AD183" s="93"/>
      <c r="AE183" s="72"/>
      <c r="AF183" s="94"/>
      <c r="AG183" s="93"/>
    </row>
    <row r="184" spans="1:33" ht="15.75" x14ac:dyDescent="0.25">
      <c r="A184" s="102"/>
      <c r="B184" s="104"/>
      <c r="C184" s="103"/>
      <c r="D184" s="103"/>
      <c r="E184" s="103"/>
      <c r="F184" s="103"/>
      <c r="G184" s="103"/>
      <c r="H184" s="103"/>
      <c r="I184" s="103"/>
      <c r="J184" s="103"/>
      <c r="K184" s="103"/>
      <c r="L184" s="103"/>
      <c r="M184" s="103"/>
      <c r="N184" s="103"/>
      <c r="O184" s="103"/>
      <c r="P184" s="103"/>
      <c r="Q184" s="103"/>
      <c r="S184" s="72"/>
      <c r="T184" s="72"/>
      <c r="U184" s="72"/>
      <c r="V184" s="72"/>
      <c r="W184" s="72"/>
      <c r="X184" s="72"/>
      <c r="Y184" s="93"/>
      <c r="Z184" s="93"/>
      <c r="AA184" s="93"/>
      <c r="AB184" s="93"/>
      <c r="AC184" s="93"/>
      <c r="AD184" s="93"/>
      <c r="AE184" s="72"/>
      <c r="AF184" s="94"/>
      <c r="AG184" s="93"/>
    </row>
    <row r="185" spans="1:33" ht="15.75" x14ac:dyDescent="0.25">
      <c r="A185" s="102"/>
      <c r="B185" s="104"/>
      <c r="C185" s="103"/>
      <c r="D185" s="103"/>
      <c r="E185" s="103"/>
      <c r="F185" s="103"/>
      <c r="G185" s="103"/>
      <c r="H185" s="103"/>
      <c r="I185" s="103"/>
      <c r="J185" s="103"/>
      <c r="K185" s="103"/>
      <c r="L185" s="103"/>
      <c r="M185" s="103"/>
      <c r="N185" s="103"/>
      <c r="O185" s="103"/>
      <c r="P185" s="103"/>
      <c r="Q185" s="103"/>
      <c r="S185" s="72"/>
      <c r="T185" s="72"/>
      <c r="U185" s="72"/>
      <c r="V185" s="72"/>
      <c r="W185" s="72"/>
      <c r="X185" s="72"/>
      <c r="Y185" s="93"/>
      <c r="Z185" s="93"/>
      <c r="AA185" s="93"/>
      <c r="AB185" s="93"/>
      <c r="AC185" s="93"/>
      <c r="AD185" s="93"/>
      <c r="AE185" s="72"/>
      <c r="AF185" s="94"/>
      <c r="AG185" s="93"/>
    </row>
    <row r="186" spans="1:33" ht="15.75" x14ac:dyDescent="0.25">
      <c r="A186" s="102"/>
      <c r="B186" s="104"/>
      <c r="C186" s="103"/>
      <c r="D186" s="103"/>
      <c r="E186" s="103"/>
      <c r="F186" s="103"/>
      <c r="G186" s="103"/>
      <c r="H186" s="103"/>
      <c r="I186" s="103"/>
      <c r="J186" s="103"/>
      <c r="K186" s="103"/>
      <c r="L186" s="103"/>
      <c r="M186" s="103"/>
      <c r="N186" s="103"/>
      <c r="O186" s="103"/>
      <c r="P186" s="103"/>
      <c r="Q186" s="103"/>
      <c r="S186" s="72"/>
      <c r="T186" s="72"/>
      <c r="U186" s="72"/>
      <c r="V186" s="72"/>
      <c r="W186" s="72"/>
      <c r="X186" s="72"/>
      <c r="Y186" s="93"/>
      <c r="Z186" s="93"/>
      <c r="AA186" s="93"/>
      <c r="AB186" s="93"/>
      <c r="AC186" s="93"/>
      <c r="AD186" s="93"/>
      <c r="AE186" s="72"/>
      <c r="AF186" s="94"/>
      <c r="AG186" s="93"/>
    </row>
    <row r="187" spans="1:33" ht="15.75" x14ac:dyDescent="0.25">
      <c r="A187" s="102"/>
      <c r="B187" s="104"/>
      <c r="C187" s="103"/>
      <c r="D187" s="103"/>
      <c r="E187" s="103"/>
      <c r="F187" s="103"/>
      <c r="G187" s="103"/>
      <c r="H187" s="103"/>
      <c r="I187" s="103"/>
      <c r="J187" s="103"/>
      <c r="K187" s="103"/>
      <c r="L187" s="103"/>
      <c r="M187" s="103"/>
      <c r="N187" s="103"/>
      <c r="O187" s="103"/>
      <c r="P187" s="103"/>
      <c r="Q187" s="103"/>
      <c r="S187" s="72"/>
      <c r="T187" s="72"/>
      <c r="U187" s="72"/>
      <c r="V187" s="72"/>
      <c r="W187" s="72"/>
      <c r="X187" s="72"/>
      <c r="Y187" s="93"/>
      <c r="Z187" s="93"/>
      <c r="AA187" s="93"/>
      <c r="AB187" s="93"/>
      <c r="AC187" s="93"/>
      <c r="AD187" s="93"/>
      <c r="AE187" s="72"/>
      <c r="AF187" s="94"/>
      <c r="AG187" s="93"/>
    </row>
    <row r="188" spans="1:33" ht="15.75" x14ac:dyDescent="0.25">
      <c r="A188" s="102"/>
      <c r="B188" s="104"/>
      <c r="C188" s="103"/>
      <c r="D188" s="103"/>
      <c r="E188" s="103"/>
      <c r="F188" s="103"/>
      <c r="G188" s="103"/>
      <c r="H188" s="103"/>
      <c r="I188" s="103"/>
      <c r="J188" s="103"/>
      <c r="K188" s="103"/>
      <c r="L188" s="103"/>
      <c r="M188" s="103"/>
      <c r="N188" s="103"/>
      <c r="O188" s="103"/>
      <c r="P188" s="103"/>
      <c r="Q188" s="103"/>
      <c r="S188" s="72"/>
      <c r="T188" s="72"/>
      <c r="U188" s="72"/>
      <c r="V188" s="72"/>
      <c r="W188" s="72"/>
      <c r="X188" s="72"/>
      <c r="Y188" s="93"/>
      <c r="Z188" s="93"/>
      <c r="AA188" s="93"/>
      <c r="AB188" s="93"/>
      <c r="AC188" s="93"/>
      <c r="AD188" s="93"/>
      <c r="AE188" s="72"/>
      <c r="AF188" s="94"/>
      <c r="AG188" s="93"/>
    </row>
    <row r="189" spans="1:33" ht="15.75" x14ac:dyDescent="0.25">
      <c r="A189" s="102"/>
      <c r="B189" s="104"/>
      <c r="C189" s="103"/>
      <c r="D189" s="103"/>
      <c r="E189" s="103"/>
      <c r="F189" s="103"/>
      <c r="G189" s="103"/>
      <c r="H189" s="103"/>
      <c r="I189" s="103"/>
      <c r="J189" s="103"/>
      <c r="K189" s="103"/>
      <c r="L189" s="103"/>
      <c r="M189" s="103"/>
      <c r="N189" s="103"/>
      <c r="O189" s="103"/>
      <c r="P189" s="103"/>
      <c r="Q189" s="103"/>
      <c r="S189" s="72"/>
      <c r="T189" s="72"/>
      <c r="U189" s="72"/>
      <c r="V189" s="72"/>
      <c r="W189" s="72"/>
      <c r="X189" s="72"/>
      <c r="Y189" s="93"/>
      <c r="Z189" s="93"/>
      <c r="AA189" s="93"/>
      <c r="AB189" s="93"/>
      <c r="AC189" s="93"/>
      <c r="AD189" s="93"/>
      <c r="AE189" s="72"/>
      <c r="AF189" s="94"/>
      <c r="AG189" s="93"/>
    </row>
    <row r="190" spans="1:33" ht="15.75" x14ac:dyDescent="0.25">
      <c r="A190" s="102"/>
      <c r="B190" s="104"/>
      <c r="C190" s="103"/>
      <c r="D190" s="103"/>
      <c r="E190" s="103"/>
      <c r="F190" s="103"/>
      <c r="G190" s="103"/>
      <c r="H190" s="103"/>
      <c r="I190" s="103"/>
      <c r="J190" s="103"/>
      <c r="K190" s="103"/>
      <c r="L190" s="103"/>
      <c r="M190" s="103"/>
      <c r="N190" s="103"/>
      <c r="O190" s="103"/>
      <c r="P190" s="103"/>
      <c r="Q190" s="103"/>
      <c r="S190" s="72"/>
      <c r="T190" s="72"/>
      <c r="U190" s="72"/>
      <c r="V190" s="72"/>
      <c r="W190" s="72"/>
      <c r="X190" s="72"/>
      <c r="Y190" s="93"/>
      <c r="Z190" s="93"/>
      <c r="AA190" s="93"/>
      <c r="AB190" s="93"/>
      <c r="AC190" s="93"/>
      <c r="AD190" s="93"/>
      <c r="AE190" s="72"/>
      <c r="AF190" s="94"/>
      <c r="AG190" s="93"/>
    </row>
    <row r="191" spans="1:33" ht="15.75" x14ac:dyDescent="0.25">
      <c r="A191" s="102"/>
      <c r="B191" s="104"/>
      <c r="C191" s="103"/>
      <c r="D191" s="103"/>
      <c r="E191" s="103"/>
      <c r="F191" s="103"/>
      <c r="G191" s="103"/>
      <c r="H191" s="103"/>
      <c r="I191" s="103"/>
      <c r="J191" s="103"/>
      <c r="K191" s="103"/>
      <c r="L191" s="103"/>
      <c r="M191" s="103"/>
      <c r="N191" s="103"/>
      <c r="O191" s="103"/>
      <c r="P191" s="103"/>
      <c r="Q191" s="103"/>
      <c r="S191" s="72"/>
      <c r="T191" s="72"/>
      <c r="U191" s="72"/>
      <c r="V191" s="72"/>
      <c r="W191" s="72"/>
      <c r="X191" s="72"/>
      <c r="Y191" s="93"/>
      <c r="Z191" s="93"/>
      <c r="AA191" s="93"/>
      <c r="AB191" s="93"/>
      <c r="AC191" s="93"/>
      <c r="AD191" s="93"/>
      <c r="AE191" s="72"/>
      <c r="AF191" s="94"/>
      <c r="AG191" s="93"/>
    </row>
    <row r="192" spans="1:33" ht="15.75" x14ac:dyDescent="0.25">
      <c r="A192" s="102"/>
      <c r="B192" s="104"/>
      <c r="C192" s="103"/>
      <c r="D192" s="103"/>
      <c r="E192" s="103"/>
      <c r="F192" s="103"/>
      <c r="G192" s="103"/>
      <c r="H192" s="103"/>
      <c r="I192" s="103"/>
      <c r="J192" s="103"/>
      <c r="K192" s="103"/>
      <c r="L192" s="103"/>
      <c r="M192" s="103"/>
      <c r="N192" s="103"/>
      <c r="O192" s="103"/>
      <c r="P192" s="103"/>
      <c r="Q192" s="103"/>
      <c r="S192" s="72"/>
      <c r="T192" s="72"/>
      <c r="U192" s="72"/>
      <c r="V192" s="72"/>
      <c r="W192" s="72"/>
      <c r="X192" s="72"/>
      <c r="Y192" s="93"/>
      <c r="Z192" s="93"/>
      <c r="AA192" s="93"/>
      <c r="AB192" s="93"/>
      <c r="AC192" s="93"/>
      <c r="AD192" s="93"/>
      <c r="AE192" s="72"/>
      <c r="AF192" s="94"/>
      <c r="AG192" s="93"/>
    </row>
    <row r="193" spans="1:33" ht="15.75" x14ac:dyDescent="0.25">
      <c r="A193" s="102"/>
      <c r="B193" s="104"/>
      <c r="C193" s="103"/>
      <c r="D193" s="103"/>
      <c r="E193" s="103"/>
      <c r="F193" s="103"/>
      <c r="G193" s="103"/>
      <c r="H193" s="103"/>
      <c r="I193" s="103"/>
      <c r="J193" s="103"/>
      <c r="K193" s="103"/>
      <c r="L193" s="103"/>
      <c r="M193" s="103"/>
      <c r="N193" s="103"/>
      <c r="O193" s="103"/>
      <c r="P193" s="103"/>
      <c r="Q193" s="103"/>
      <c r="S193" s="72"/>
      <c r="T193" s="72"/>
      <c r="U193" s="72"/>
      <c r="V193" s="72"/>
      <c r="W193" s="72"/>
      <c r="X193" s="72"/>
      <c r="Y193" s="93"/>
      <c r="Z193" s="93"/>
      <c r="AA193" s="93"/>
      <c r="AB193" s="93"/>
      <c r="AC193" s="93"/>
      <c r="AD193" s="93"/>
      <c r="AE193" s="72"/>
      <c r="AF193" s="94"/>
      <c r="AG193" s="93"/>
    </row>
    <row r="194" spans="1:33" ht="15.75" x14ac:dyDescent="0.25">
      <c r="A194" s="102"/>
      <c r="B194" s="104"/>
      <c r="C194" s="103"/>
      <c r="D194" s="103"/>
      <c r="E194" s="103"/>
      <c r="F194" s="103"/>
      <c r="G194" s="103"/>
      <c r="H194" s="103"/>
      <c r="I194" s="103"/>
      <c r="J194" s="103"/>
      <c r="K194" s="103"/>
      <c r="L194" s="103"/>
      <c r="M194" s="103"/>
      <c r="N194" s="103"/>
      <c r="O194" s="103"/>
      <c r="P194" s="103"/>
      <c r="Q194" s="103"/>
      <c r="S194" s="72"/>
      <c r="T194" s="72"/>
      <c r="U194" s="72"/>
      <c r="V194" s="72"/>
      <c r="W194" s="72"/>
      <c r="X194" s="72"/>
      <c r="Y194" s="93"/>
      <c r="Z194" s="93"/>
      <c r="AA194" s="93"/>
      <c r="AB194" s="93"/>
      <c r="AC194" s="93"/>
      <c r="AD194" s="93"/>
      <c r="AE194" s="72"/>
      <c r="AF194" s="94"/>
      <c r="AG194" s="93"/>
    </row>
    <row r="195" spans="1:33" ht="15.75" x14ac:dyDescent="0.25">
      <c r="A195" s="102"/>
      <c r="B195" s="104"/>
      <c r="C195" s="103"/>
      <c r="D195" s="103"/>
      <c r="E195" s="103"/>
      <c r="F195" s="103"/>
      <c r="G195" s="103"/>
      <c r="H195" s="103"/>
      <c r="I195" s="103"/>
      <c r="J195" s="103"/>
      <c r="K195" s="103"/>
      <c r="L195" s="103"/>
      <c r="M195" s="103"/>
      <c r="N195" s="103"/>
      <c r="O195" s="103"/>
      <c r="P195" s="103"/>
      <c r="Q195" s="103"/>
      <c r="S195" s="72"/>
      <c r="T195" s="72"/>
      <c r="U195" s="72"/>
      <c r="V195" s="72"/>
      <c r="W195" s="72"/>
      <c r="X195" s="72"/>
      <c r="Y195" s="93"/>
      <c r="Z195" s="93"/>
      <c r="AA195" s="93"/>
      <c r="AB195" s="93"/>
      <c r="AC195" s="93"/>
      <c r="AD195" s="93"/>
      <c r="AE195" s="72"/>
      <c r="AF195" s="94"/>
      <c r="AG195" s="93"/>
    </row>
    <row r="196" spans="1:33" ht="15.75" x14ac:dyDescent="0.25">
      <c r="A196" s="102"/>
      <c r="B196" s="104"/>
      <c r="C196" s="103"/>
      <c r="D196" s="103"/>
      <c r="E196" s="103"/>
      <c r="F196" s="103"/>
      <c r="G196" s="103"/>
      <c r="H196" s="103"/>
      <c r="I196" s="103"/>
      <c r="J196" s="103"/>
      <c r="K196" s="103"/>
      <c r="L196" s="103"/>
      <c r="M196" s="103"/>
      <c r="N196" s="103"/>
      <c r="O196" s="103"/>
      <c r="P196" s="103"/>
      <c r="Q196" s="103"/>
      <c r="S196" s="72"/>
      <c r="T196" s="72"/>
      <c r="U196" s="72"/>
      <c r="V196" s="72"/>
      <c r="W196" s="72"/>
      <c r="X196" s="72"/>
      <c r="Y196" s="93"/>
      <c r="Z196" s="93"/>
      <c r="AA196" s="93"/>
      <c r="AB196" s="93"/>
      <c r="AC196" s="93"/>
      <c r="AD196" s="93"/>
      <c r="AE196" s="72"/>
      <c r="AF196" s="94"/>
      <c r="AG196" s="93"/>
    </row>
    <row r="197" spans="1:33" ht="15.75" x14ac:dyDescent="0.25">
      <c r="A197" s="102"/>
      <c r="B197" s="104"/>
      <c r="C197" s="103"/>
      <c r="D197" s="103"/>
      <c r="E197" s="103"/>
      <c r="F197" s="103"/>
      <c r="G197" s="103"/>
      <c r="H197" s="103"/>
      <c r="I197" s="103"/>
      <c r="J197" s="103"/>
      <c r="K197" s="103"/>
      <c r="L197" s="103"/>
      <c r="M197" s="103"/>
      <c r="N197" s="103"/>
      <c r="O197" s="103"/>
      <c r="P197" s="103"/>
      <c r="Q197" s="103"/>
      <c r="S197" s="72"/>
      <c r="T197" s="72"/>
      <c r="U197" s="72"/>
      <c r="V197" s="72"/>
      <c r="W197" s="72"/>
      <c r="X197" s="72"/>
      <c r="Y197" s="93"/>
      <c r="Z197" s="93"/>
      <c r="AA197" s="93"/>
      <c r="AB197" s="93"/>
      <c r="AC197" s="93"/>
      <c r="AD197" s="93"/>
      <c r="AE197" s="72"/>
      <c r="AF197" s="94"/>
      <c r="AG197" s="93"/>
    </row>
    <row r="198" spans="1:33" ht="15.75" x14ac:dyDescent="0.25">
      <c r="A198" s="102"/>
      <c r="B198" s="104"/>
      <c r="C198" s="103"/>
      <c r="D198" s="103"/>
      <c r="E198" s="103"/>
      <c r="F198" s="103"/>
      <c r="G198" s="103"/>
      <c r="H198" s="103"/>
      <c r="I198" s="103"/>
      <c r="J198" s="103"/>
      <c r="K198" s="103"/>
      <c r="L198" s="103"/>
      <c r="M198" s="103"/>
      <c r="N198" s="103"/>
      <c r="O198" s="103"/>
      <c r="P198" s="103"/>
      <c r="Q198" s="103"/>
      <c r="S198" s="72"/>
      <c r="T198" s="72"/>
      <c r="U198" s="72"/>
      <c r="V198" s="72"/>
      <c r="W198" s="72"/>
      <c r="X198" s="72"/>
      <c r="Y198" s="93"/>
      <c r="Z198" s="93"/>
      <c r="AA198" s="93"/>
      <c r="AB198" s="93"/>
      <c r="AC198" s="93"/>
      <c r="AD198" s="93"/>
      <c r="AE198" s="72"/>
      <c r="AF198" s="94"/>
      <c r="AG198" s="93"/>
    </row>
    <row r="199" spans="1:33" ht="15.75" x14ac:dyDescent="0.25">
      <c r="A199" s="102"/>
      <c r="B199" s="104"/>
      <c r="C199" s="103"/>
      <c r="D199" s="103"/>
      <c r="E199" s="103"/>
      <c r="F199" s="103"/>
      <c r="G199" s="103"/>
      <c r="H199" s="103"/>
      <c r="I199" s="103"/>
      <c r="J199" s="103"/>
      <c r="K199" s="103"/>
      <c r="L199" s="103"/>
      <c r="M199" s="103"/>
      <c r="N199" s="103"/>
      <c r="O199" s="103"/>
      <c r="P199" s="103"/>
      <c r="Q199" s="103"/>
      <c r="S199" s="72"/>
      <c r="T199" s="72"/>
      <c r="U199" s="72"/>
      <c r="V199" s="72"/>
      <c r="W199" s="72"/>
      <c r="X199" s="72"/>
      <c r="Y199" s="93"/>
      <c r="Z199" s="93"/>
      <c r="AA199" s="93"/>
      <c r="AB199" s="93"/>
      <c r="AC199" s="93"/>
      <c r="AD199" s="93"/>
      <c r="AE199" s="72"/>
      <c r="AF199" s="94"/>
      <c r="AG199" s="93"/>
    </row>
    <row r="200" spans="1:33" ht="15.75" x14ac:dyDescent="0.25">
      <c r="A200" s="102"/>
      <c r="B200" s="104"/>
      <c r="C200" s="103"/>
      <c r="D200" s="103"/>
      <c r="E200" s="103"/>
      <c r="F200" s="103"/>
      <c r="G200" s="103"/>
      <c r="H200" s="103"/>
      <c r="I200" s="103"/>
      <c r="J200" s="103"/>
      <c r="K200" s="103"/>
      <c r="L200" s="103"/>
      <c r="M200" s="103"/>
      <c r="N200" s="103"/>
      <c r="O200" s="103"/>
      <c r="P200" s="103"/>
      <c r="Q200" s="103"/>
      <c r="S200" s="72"/>
      <c r="T200" s="72"/>
      <c r="U200" s="72"/>
      <c r="V200" s="72"/>
      <c r="W200" s="72"/>
      <c r="X200" s="72"/>
      <c r="Y200" s="93"/>
      <c r="Z200" s="93"/>
      <c r="AA200" s="93"/>
      <c r="AB200" s="93"/>
      <c r="AC200" s="93"/>
      <c r="AD200" s="93"/>
      <c r="AE200" s="72"/>
      <c r="AF200" s="94"/>
      <c r="AG200" s="93"/>
    </row>
    <row r="201" spans="1:33" ht="15.75" x14ac:dyDescent="0.25">
      <c r="A201" s="102"/>
      <c r="B201" s="104"/>
      <c r="C201" s="103"/>
      <c r="D201" s="103"/>
      <c r="E201" s="103"/>
      <c r="F201" s="103"/>
      <c r="G201" s="103"/>
      <c r="H201" s="103"/>
      <c r="I201" s="103"/>
      <c r="J201" s="103"/>
      <c r="K201" s="103"/>
      <c r="L201" s="103"/>
      <c r="M201" s="103"/>
      <c r="N201" s="103"/>
      <c r="O201" s="103"/>
      <c r="P201" s="103"/>
      <c r="Q201" s="103"/>
      <c r="S201" s="72"/>
      <c r="T201" s="72"/>
      <c r="U201" s="72"/>
      <c r="V201" s="72"/>
      <c r="W201" s="72"/>
      <c r="X201" s="72"/>
      <c r="Y201" s="93"/>
      <c r="Z201" s="93"/>
      <c r="AA201" s="93"/>
      <c r="AB201" s="93"/>
      <c r="AC201" s="93"/>
      <c r="AD201" s="93"/>
      <c r="AE201" s="72"/>
      <c r="AF201" s="94"/>
      <c r="AG201" s="93"/>
    </row>
    <row r="202" spans="1:33" ht="15.75" x14ac:dyDescent="0.25">
      <c r="A202" s="102"/>
      <c r="B202" s="104"/>
      <c r="C202" s="103"/>
      <c r="D202" s="103"/>
      <c r="E202" s="103"/>
      <c r="F202" s="103"/>
      <c r="G202" s="103"/>
      <c r="H202" s="103"/>
      <c r="I202" s="103"/>
      <c r="J202" s="103"/>
      <c r="K202" s="103"/>
      <c r="L202" s="103"/>
      <c r="M202" s="103"/>
      <c r="N202" s="103"/>
      <c r="O202" s="103"/>
      <c r="P202" s="103"/>
      <c r="Q202" s="103"/>
      <c r="S202" s="72"/>
      <c r="T202" s="72"/>
      <c r="U202" s="72"/>
      <c r="V202" s="72"/>
      <c r="W202" s="72"/>
      <c r="X202" s="72"/>
      <c r="Y202" s="93"/>
      <c r="Z202" s="93"/>
      <c r="AA202" s="93"/>
      <c r="AB202" s="93"/>
      <c r="AC202" s="93"/>
      <c r="AD202" s="93"/>
      <c r="AE202" s="72"/>
      <c r="AF202" s="94"/>
      <c r="AG202" s="93"/>
    </row>
    <row r="203" spans="1:33" ht="15.75" x14ac:dyDescent="0.25">
      <c r="A203" s="102"/>
      <c r="B203" s="104"/>
      <c r="C203" s="103"/>
      <c r="D203" s="103"/>
      <c r="E203" s="103"/>
      <c r="F203" s="103"/>
      <c r="G203" s="103"/>
      <c r="H203" s="103"/>
      <c r="I203" s="103"/>
      <c r="J203" s="103"/>
      <c r="K203" s="103"/>
      <c r="L203" s="103"/>
      <c r="M203" s="103"/>
      <c r="N203" s="103"/>
      <c r="O203" s="103"/>
      <c r="P203" s="103"/>
      <c r="Q203" s="103"/>
      <c r="S203" s="72"/>
      <c r="T203" s="72"/>
      <c r="U203" s="72"/>
      <c r="V203" s="72"/>
      <c r="W203" s="72"/>
      <c r="X203" s="72"/>
      <c r="Y203" s="93"/>
      <c r="Z203" s="93"/>
      <c r="AA203" s="93"/>
      <c r="AB203" s="93"/>
      <c r="AC203" s="93"/>
      <c r="AD203" s="93"/>
      <c r="AE203" s="72"/>
      <c r="AF203" s="94"/>
      <c r="AG203" s="93"/>
    </row>
    <row r="204" spans="1:33" ht="15.75" x14ac:dyDescent="0.25">
      <c r="A204" s="102"/>
      <c r="B204" s="104"/>
      <c r="C204" s="103"/>
      <c r="D204" s="103"/>
      <c r="E204" s="103"/>
      <c r="F204" s="103"/>
      <c r="G204" s="103"/>
      <c r="H204" s="103"/>
      <c r="I204" s="103"/>
      <c r="J204" s="103"/>
      <c r="K204" s="103"/>
      <c r="L204" s="103"/>
      <c r="M204" s="103"/>
      <c r="N204" s="103"/>
      <c r="O204" s="103"/>
      <c r="P204" s="103"/>
      <c r="Q204" s="103"/>
      <c r="S204" s="72"/>
      <c r="T204" s="72"/>
      <c r="U204" s="72"/>
      <c r="V204" s="72"/>
      <c r="W204" s="72"/>
      <c r="X204" s="72"/>
      <c r="Y204" s="93"/>
      <c r="Z204" s="93"/>
      <c r="AA204" s="93"/>
      <c r="AB204" s="93"/>
      <c r="AC204" s="93"/>
      <c r="AD204" s="93"/>
      <c r="AE204" s="72"/>
      <c r="AF204" s="94"/>
      <c r="AG204" s="93"/>
    </row>
    <row r="205" spans="1:33" ht="15.75" x14ac:dyDescent="0.25">
      <c r="A205" s="102"/>
      <c r="B205" s="104"/>
      <c r="C205" s="103"/>
      <c r="D205" s="103"/>
      <c r="E205" s="103"/>
      <c r="F205" s="103"/>
      <c r="G205" s="103"/>
      <c r="H205" s="103"/>
      <c r="I205" s="103"/>
      <c r="J205" s="103"/>
      <c r="K205" s="103"/>
      <c r="L205" s="103"/>
      <c r="M205" s="103"/>
      <c r="N205" s="103"/>
      <c r="O205" s="103"/>
      <c r="P205" s="103"/>
      <c r="Q205" s="103"/>
      <c r="S205" s="72"/>
      <c r="T205" s="72"/>
      <c r="U205" s="72"/>
      <c r="V205" s="72"/>
      <c r="W205" s="72"/>
      <c r="X205" s="72"/>
      <c r="Y205" s="93"/>
      <c r="Z205" s="93"/>
      <c r="AA205" s="93"/>
      <c r="AB205" s="93"/>
      <c r="AC205" s="93"/>
      <c r="AD205" s="93"/>
      <c r="AE205" s="72"/>
      <c r="AF205" s="94"/>
      <c r="AG205" s="93"/>
    </row>
    <row r="206" spans="1:33" ht="15.75" x14ac:dyDescent="0.25">
      <c r="A206" s="102"/>
      <c r="B206" s="104"/>
      <c r="C206" s="103"/>
      <c r="D206" s="103"/>
      <c r="E206" s="103"/>
      <c r="F206" s="103"/>
      <c r="G206" s="103"/>
      <c r="H206" s="103"/>
      <c r="I206" s="103"/>
      <c r="J206" s="103"/>
      <c r="K206" s="103"/>
      <c r="L206" s="103"/>
      <c r="M206" s="103"/>
      <c r="N206" s="103"/>
      <c r="O206" s="103"/>
      <c r="P206" s="103"/>
      <c r="Q206" s="103"/>
      <c r="S206" s="72"/>
      <c r="T206" s="72"/>
      <c r="U206" s="72"/>
      <c r="V206" s="72"/>
      <c r="W206" s="72"/>
      <c r="X206" s="72"/>
      <c r="Y206" s="93"/>
      <c r="Z206" s="93"/>
      <c r="AA206" s="93"/>
      <c r="AB206" s="93"/>
      <c r="AC206" s="93"/>
      <c r="AD206" s="93"/>
      <c r="AE206" s="72"/>
      <c r="AF206" s="94"/>
      <c r="AG206" s="93"/>
    </row>
    <row r="207" spans="1:33" ht="15.75" x14ac:dyDescent="0.25">
      <c r="A207" s="102"/>
      <c r="B207" s="104"/>
      <c r="C207" s="103"/>
      <c r="D207" s="103"/>
      <c r="E207" s="103"/>
      <c r="F207" s="103"/>
      <c r="G207" s="103"/>
      <c r="H207" s="103"/>
      <c r="I207" s="103"/>
      <c r="J207" s="103"/>
      <c r="K207" s="103"/>
      <c r="L207" s="103"/>
      <c r="M207" s="103"/>
      <c r="N207" s="103"/>
      <c r="O207" s="103"/>
      <c r="P207" s="103"/>
      <c r="Q207" s="103"/>
      <c r="S207" s="72"/>
      <c r="T207" s="72"/>
      <c r="U207" s="72"/>
      <c r="V207" s="72"/>
      <c r="W207" s="72"/>
      <c r="X207" s="72"/>
      <c r="Y207" s="93"/>
      <c r="Z207" s="93"/>
      <c r="AA207" s="93"/>
      <c r="AB207" s="93"/>
      <c r="AC207" s="93"/>
      <c r="AD207" s="93"/>
      <c r="AE207" s="72"/>
      <c r="AF207" s="94"/>
      <c r="AG207" s="93"/>
    </row>
    <row r="208" spans="1:33" ht="15.75" x14ac:dyDescent="0.25">
      <c r="A208" s="102"/>
      <c r="B208" s="104"/>
      <c r="C208" s="103"/>
      <c r="D208" s="103"/>
      <c r="E208" s="103"/>
      <c r="F208" s="103"/>
      <c r="G208" s="103"/>
      <c r="H208" s="103"/>
      <c r="I208" s="103"/>
      <c r="J208" s="103"/>
      <c r="K208" s="103"/>
      <c r="L208" s="103"/>
      <c r="M208" s="103"/>
      <c r="N208" s="103"/>
      <c r="O208" s="103"/>
      <c r="P208" s="103"/>
      <c r="Q208" s="103"/>
      <c r="S208" s="72"/>
      <c r="T208" s="72"/>
      <c r="U208" s="72"/>
      <c r="V208" s="72"/>
      <c r="W208" s="72"/>
      <c r="X208" s="72"/>
      <c r="Y208" s="93"/>
      <c r="Z208" s="93"/>
      <c r="AA208" s="93"/>
      <c r="AB208" s="93"/>
      <c r="AC208" s="93"/>
      <c r="AD208" s="93"/>
      <c r="AE208" s="72"/>
      <c r="AF208" s="94"/>
      <c r="AG208" s="93"/>
    </row>
    <row r="209" spans="1:33" ht="15.75" x14ac:dyDescent="0.25">
      <c r="A209" s="102"/>
      <c r="B209" s="104"/>
      <c r="C209" s="103"/>
      <c r="D209" s="103"/>
      <c r="E209" s="103"/>
      <c r="F209" s="103"/>
      <c r="G209" s="103"/>
      <c r="H209" s="103"/>
      <c r="I209" s="103"/>
      <c r="J209" s="103"/>
      <c r="K209" s="103"/>
      <c r="L209" s="103"/>
      <c r="M209" s="103"/>
      <c r="N209" s="103"/>
      <c r="O209" s="103"/>
      <c r="P209" s="103"/>
      <c r="Q209" s="103"/>
      <c r="S209" s="72"/>
      <c r="T209" s="72"/>
      <c r="U209" s="72"/>
      <c r="V209" s="72"/>
      <c r="W209" s="72"/>
      <c r="X209" s="72"/>
      <c r="Y209" s="93"/>
      <c r="Z209" s="93"/>
      <c r="AA209" s="93"/>
      <c r="AB209" s="93"/>
      <c r="AC209" s="93"/>
      <c r="AD209" s="93"/>
      <c r="AE209" s="72"/>
      <c r="AF209" s="94"/>
      <c r="AG209" s="93"/>
    </row>
    <row r="210" spans="1:33" ht="15.75" x14ac:dyDescent="0.25">
      <c r="A210" s="102"/>
      <c r="B210" s="104"/>
      <c r="C210" s="103"/>
      <c r="D210" s="103"/>
      <c r="E210" s="103"/>
      <c r="F210" s="103"/>
      <c r="G210" s="103"/>
      <c r="H210" s="103"/>
      <c r="I210" s="103"/>
      <c r="J210" s="103"/>
      <c r="K210" s="103"/>
      <c r="L210" s="103"/>
      <c r="M210" s="103"/>
      <c r="N210" s="103"/>
      <c r="O210" s="103"/>
      <c r="P210" s="103"/>
      <c r="Q210" s="103"/>
      <c r="S210" s="72"/>
      <c r="T210" s="72"/>
      <c r="U210" s="72"/>
      <c r="V210" s="72"/>
      <c r="W210" s="72"/>
      <c r="X210" s="72"/>
      <c r="Y210" s="93"/>
      <c r="Z210" s="93"/>
      <c r="AA210" s="93"/>
      <c r="AB210" s="93"/>
      <c r="AC210" s="93"/>
      <c r="AD210" s="93"/>
      <c r="AE210" s="72"/>
      <c r="AF210" s="94"/>
      <c r="AG210" s="93"/>
    </row>
    <row r="211" spans="1:33" ht="15.75" x14ac:dyDescent="0.25">
      <c r="A211" s="102"/>
      <c r="B211" s="104"/>
      <c r="C211" s="103"/>
      <c r="D211" s="103"/>
      <c r="E211" s="103"/>
      <c r="F211" s="103"/>
      <c r="G211" s="103"/>
      <c r="H211" s="103"/>
      <c r="I211" s="103"/>
      <c r="J211" s="103"/>
      <c r="K211" s="103"/>
      <c r="L211" s="103"/>
      <c r="M211" s="103"/>
      <c r="N211" s="103"/>
      <c r="O211" s="103"/>
      <c r="P211" s="103"/>
      <c r="Q211" s="103"/>
      <c r="S211" s="72"/>
      <c r="T211" s="72"/>
      <c r="U211" s="72"/>
      <c r="V211" s="72"/>
      <c r="W211" s="72"/>
      <c r="X211" s="72"/>
      <c r="Y211" s="93"/>
      <c r="Z211" s="93"/>
      <c r="AA211" s="93"/>
      <c r="AB211" s="93"/>
      <c r="AC211" s="93"/>
      <c r="AD211" s="93"/>
      <c r="AE211" s="72"/>
      <c r="AF211" s="94"/>
      <c r="AG211" s="93"/>
    </row>
    <row r="212" spans="1:33" ht="15.75" x14ac:dyDescent="0.25">
      <c r="A212" s="102"/>
      <c r="B212" s="104"/>
      <c r="C212" s="103"/>
      <c r="D212" s="103"/>
      <c r="E212" s="103"/>
      <c r="F212" s="103"/>
      <c r="G212" s="103"/>
      <c r="H212" s="103"/>
      <c r="I212" s="103"/>
      <c r="J212" s="103"/>
      <c r="K212" s="103"/>
      <c r="L212" s="103"/>
      <c r="M212" s="103"/>
      <c r="N212" s="103"/>
      <c r="O212" s="103"/>
      <c r="P212" s="103"/>
      <c r="Q212" s="103"/>
      <c r="S212" s="72"/>
      <c r="T212" s="72"/>
      <c r="U212" s="72"/>
      <c r="V212" s="72"/>
      <c r="W212" s="72"/>
      <c r="X212" s="72"/>
      <c r="Y212" s="93"/>
      <c r="Z212" s="93"/>
      <c r="AA212" s="93"/>
      <c r="AB212" s="93"/>
      <c r="AC212" s="93"/>
      <c r="AD212" s="93"/>
      <c r="AE212" s="72"/>
      <c r="AF212" s="94"/>
      <c r="AG212" s="93"/>
    </row>
    <row r="213" spans="1:33" ht="15.75" x14ac:dyDescent="0.25">
      <c r="A213" s="102"/>
      <c r="B213" s="104"/>
      <c r="C213" s="103"/>
      <c r="D213" s="103"/>
      <c r="E213" s="103"/>
      <c r="F213" s="103"/>
      <c r="G213" s="103"/>
      <c r="H213" s="103"/>
      <c r="I213" s="103"/>
      <c r="J213" s="103"/>
      <c r="K213" s="103"/>
      <c r="L213" s="103"/>
      <c r="M213" s="103"/>
      <c r="N213" s="103"/>
      <c r="O213" s="103"/>
      <c r="P213" s="103"/>
      <c r="Q213" s="103"/>
      <c r="S213" s="72"/>
      <c r="T213" s="72"/>
      <c r="U213" s="72"/>
      <c r="V213" s="72"/>
      <c r="W213" s="72"/>
      <c r="X213" s="72"/>
      <c r="Y213" s="93"/>
      <c r="Z213" s="93"/>
      <c r="AA213" s="93"/>
      <c r="AB213" s="93"/>
      <c r="AC213" s="93"/>
      <c r="AD213" s="93"/>
      <c r="AE213" s="72"/>
      <c r="AF213" s="94"/>
      <c r="AG213" s="93"/>
    </row>
    <row r="214" spans="1:33" ht="15.75" x14ac:dyDescent="0.25">
      <c r="A214" s="102"/>
      <c r="B214" s="104"/>
      <c r="C214" s="103"/>
      <c r="D214" s="103"/>
      <c r="E214" s="103"/>
      <c r="F214" s="103"/>
      <c r="G214" s="103"/>
      <c r="H214" s="103"/>
      <c r="I214" s="103"/>
      <c r="J214" s="103"/>
      <c r="K214" s="103"/>
      <c r="L214" s="103"/>
      <c r="M214" s="103"/>
      <c r="N214" s="103"/>
      <c r="O214" s="103"/>
      <c r="P214" s="103"/>
      <c r="Q214" s="103"/>
      <c r="S214" s="72"/>
      <c r="T214" s="72"/>
      <c r="U214" s="72"/>
      <c r="V214" s="72"/>
      <c r="W214" s="72"/>
      <c r="X214" s="72"/>
      <c r="Y214" s="93"/>
      <c r="Z214" s="93"/>
      <c r="AA214" s="93"/>
      <c r="AB214" s="93"/>
      <c r="AC214" s="93"/>
      <c r="AD214" s="93"/>
      <c r="AE214" s="72"/>
      <c r="AF214" s="94"/>
      <c r="AG214" s="93"/>
    </row>
    <row r="215" spans="1:33" ht="15.75" x14ac:dyDescent="0.25">
      <c r="A215" s="102"/>
      <c r="B215" s="104"/>
      <c r="C215" s="103"/>
      <c r="D215" s="103"/>
      <c r="E215" s="103"/>
      <c r="F215" s="103"/>
      <c r="G215" s="103"/>
      <c r="H215" s="103"/>
      <c r="I215" s="103"/>
      <c r="J215" s="103"/>
      <c r="K215" s="103"/>
      <c r="L215" s="103"/>
      <c r="M215" s="103"/>
      <c r="N215" s="103"/>
      <c r="O215" s="103"/>
      <c r="P215" s="103"/>
      <c r="Q215" s="103"/>
      <c r="S215" s="72"/>
      <c r="T215" s="72"/>
      <c r="U215" s="72"/>
      <c r="V215" s="72"/>
      <c r="W215" s="72"/>
      <c r="X215" s="72"/>
      <c r="Y215" s="93"/>
      <c r="Z215" s="93"/>
      <c r="AA215" s="93"/>
      <c r="AB215" s="93"/>
      <c r="AC215" s="93"/>
      <c r="AD215" s="93"/>
      <c r="AE215" s="72"/>
      <c r="AF215" s="94"/>
      <c r="AG215" s="93"/>
    </row>
    <row r="216" spans="1:33" ht="15.75" x14ac:dyDescent="0.25">
      <c r="A216" s="102"/>
      <c r="B216" s="104"/>
      <c r="C216" s="103"/>
      <c r="D216" s="103"/>
      <c r="E216" s="103"/>
      <c r="F216" s="103"/>
      <c r="G216" s="103"/>
      <c r="H216" s="103"/>
      <c r="I216" s="103"/>
      <c r="J216" s="103"/>
      <c r="K216" s="103"/>
      <c r="L216" s="103"/>
      <c r="M216" s="103"/>
      <c r="N216" s="103"/>
      <c r="O216" s="103"/>
      <c r="P216" s="103"/>
      <c r="Q216" s="103"/>
      <c r="S216" s="72"/>
      <c r="T216" s="72"/>
      <c r="U216" s="72"/>
      <c r="V216" s="72"/>
      <c r="W216" s="72"/>
      <c r="X216" s="72"/>
      <c r="Y216" s="93"/>
      <c r="Z216" s="93"/>
      <c r="AA216" s="93"/>
      <c r="AB216" s="93"/>
      <c r="AC216" s="93"/>
      <c r="AD216" s="93"/>
      <c r="AE216" s="72"/>
      <c r="AF216" s="94"/>
      <c r="AG216" s="93"/>
    </row>
    <row r="217" spans="1:33" ht="15.75" x14ac:dyDescent="0.25">
      <c r="A217" s="102"/>
      <c r="B217" s="104"/>
      <c r="C217" s="103"/>
      <c r="D217" s="103"/>
      <c r="E217" s="103"/>
      <c r="F217" s="103"/>
      <c r="G217" s="103"/>
      <c r="H217" s="103"/>
      <c r="I217" s="103"/>
      <c r="J217" s="103"/>
      <c r="K217" s="103"/>
      <c r="L217" s="103"/>
      <c r="M217" s="103"/>
      <c r="N217" s="103"/>
      <c r="O217" s="103"/>
      <c r="P217" s="103"/>
      <c r="Q217" s="103"/>
      <c r="S217" s="72"/>
      <c r="T217" s="72"/>
      <c r="U217" s="72"/>
      <c r="V217" s="72"/>
      <c r="W217" s="72"/>
      <c r="X217" s="72"/>
      <c r="Y217" s="93"/>
      <c r="Z217" s="93"/>
      <c r="AA217" s="93"/>
      <c r="AB217" s="93"/>
      <c r="AC217" s="93"/>
      <c r="AD217" s="93"/>
      <c r="AE217" s="72"/>
      <c r="AF217" s="94"/>
      <c r="AG217" s="93"/>
    </row>
    <row r="218" spans="1:33" ht="15.75" x14ac:dyDescent="0.25">
      <c r="A218" s="102"/>
      <c r="B218" s="104"/>
      <c r="C218" s="103"/>
      <c r="D218" s="103"/>
      <c r="E218" s="103"/>
      <c r="F218" s="103"/>
      <c r="G218" s="103"/>
      <c r="H218" s="103"/>
      <c r="I218" s="103"/>
      <c r="J218" s="103"/>
      <c r="K218" s="103"/>
      <c r="L218" s="103"/>
      <c r="M218" s="103"/>
      <c r="N218" s="103"/>
      <c r="O218" s="103"/>
      <c r="P218" s="103"/>
      <c r="Q218" s="103"/>
      <c r="S218" s="72"/>
      <c r="T218" s="72"/>
      <c r="U218" s="72"/>
      <c r="V218" s="72"/>
      <c r="W218" s="72"/>
      <c r="X218" s="72"/>
      <c r="Y218" s="93"/>
      <c r="Z218" s="93"/>
      <c r="AA218" s="93"/>
      <c r="AB218" s="93"/>
      <c r="AC218" s="93"/>
      <c r="AD218" s="93"/>
      <c r="AE218" s="72"/>
      <c r="AF218" s="94"/>
      <c r="AG218" s="93"/>
    </row>
    <row r="219" spans="1:33" ht="15.75" x14ac:dyDescent="0.25">
      <c r="A219" s="102"/>
      <c r="B219" s="104"/>
      <c r="C219" s="103"/>
      <c r="D219" s="103"/>
      <c r="E219" s="103"/>
      <c r="F219" s="103"/>
      <c r="G219" s="103"/>
      <c r="H219" s="103"/>
      <c r="I219" s="103"/>
      <c r="J219" s="103"/>
      <c r="K219" s="103"/>
      <c r="L219" s="103"/>
      <c r="M219" s="103"/>
      <c r="N219" s="103"/>
      <c r="O219" s="103"/>
      <c r="P219" s="103"/>
      <c r="Q219" s="103"/>
      <c r="S219" s="72"/>
      <c r="T219" s="72"/>
      <c r="U219" s="72"/>
      <c r="V219" s="72"/>
      <c r="W219" s="72"/>
      <c r="X219" s="72"/>
      <c r="Y219" s="93"/>
      <c r="Z219" s="93"/>
      <c r="AA219" s="93"/>
      <c r="AB219" s="93"/>
      <c r="AC219" s="93"/>
      <c r="AD219" s="93"/>
      <c r="AE219" s="72"/>
      <c r="AF219" s="94"/>
      <c r="AG219" s="93"/>
    </row>
    <row r="220" spans="1:33" ht="15.75" x14ac:dyDescent="0.25">
      <c r="A220" s="102"/>
      <c r="B220" s="104"/>
      <c r="C220" s="103"/>
      <c r="D220" s="103"/>
      <c r="E220" s="103"/>
      <c r="F220" s="103"/>
      <c r="G220" s="103"/>
      <c r="H220" s="103"/>
      <c r="I220" s="103"/>
      <c r="J220" s="103"/>
      <c r="K220" s="103"/>
      <c r="L220" s="103"/>
      <c r="M220" s="103"/>
      <c r="N220" s="103"/>
      <c r="O220" s="103"/>
      <c r="P220" s="103"/>
      <c r="Q220" s="103"/>
      <c r="S220" s="72"/>
      <c r="T220" s="72"/>
      <c r="U220" s="72"/>
      <c r="V220" s="72"/>
      <c r="W220" s="72"/>
      <c r="X220" s="72"/>
      <c r="Y220" s="93"/>
      <c r="Z220" s="93"/>
      <c r="AA220" s="93"/>
      <c r="AB220" s="93"/>
      <c r="AC220" s="93"/>
      <c r="AD220" s="93"/>
      <c r="AE220" s="72"/>
      <c r="AF220" s="94"/>
      <c r="AG220" s="93"/>
    </row>
    <row r="221" spans="1:33" ht="15.75" x14ac:dyDescent="0.25">
      <c r="A221" s="102"/>
      <c r="B221" s="104"/>
      <c r="C221" s="103"/>
      <c r="D221" s="103"/>
      <c r="E221" s="103"/>
      <c r="F221" s="103"/>
      <c r="G221" s="103"/>
      <c r="H221" s="103"/>
      <c r="I221" s="103"/>
      <c r="J221" s="103"/>
      <c r="K221" s="103"/>
      <c r="L221" s="103"/>
      <c r="M221" s="103"/>
      <c r="N221" s="103"/>
      <c r="O221" s="103"/>
      <c r="P221" s="103"/>
      <c r="Q221" s="103"/>
      <c r="S221" s="72"/>
      <c r="T221" s="72"/>
      <c r="U221" s="72"/>
      <c r="V221" s="72"/>
      <c r="W221" s="72"/>
      <c r="X221" s="72"/>
      <c r="Y221" s="93"/>
      <c r="Z221" s="93"/>
      <c r="AA221" s="93"/>
      <c r="AB221" s="93"/>
      <c r="AC221" s="93"/>
      <c r="AD221" s="93"/>
      <c r="AE221" s="72"/>
      <c r="AF221" s="94"/>
      <c r="AG221" s="93"/>
    </row>
    <row r="222" spans="1:33" ht="15.75" x14ac:dyDescent="0.25">
      <c r="A222" s="102"/>
      <c r="B222" s="104"/>
      <c r="C222" s="103"/>
      <c r="D222" s="103"/>
      <c r="E222" s="103"/>
      <c r="F222" s="103"/>
      <c r="G222" s="103"/>
      <c r="H222" s="103"/>
      <c r="I222" s="103"/>
      <c r="J222" s="103"/>
      <c r="K222" s="103"/>
      <c r="L222" s="103"/>
      <c r="M222" s="103"/>
      <c r="N222" s="103"/>
      <c r="O222" s="103"/>
      <c r="P222" s="103"/>
      <c r="Q222" s="103"/>
      <c r="S222" s="72"/>
      <c r="T222" s="72"/>
      <c r="U222" s="72"/>
      <c r="V222" s="72"/>
      <c r="W222" s="72"/>
      <c r="X222" s="72"/>
      <c r="Y222" s="93"/>
      <c r="Z222" s="93"/>
      <c r="AA222" s="93"/>
      <c r="AB222" s="93"/>
      <c r="AC222" s="93"/>
      <c r="AD222" s="93"/>
      <c r="AE222" s="72"/>
      <c r="AF222" s="94"/>
      <c r="AG222" s="93"/>
    </row>
    <row r="223" spans="1:33" ht="15.75" x14ac:dyDescent="0.25">
      <c r="A223" s="102"/>
      <c r="B223" s="104"/>
      <c r="C223" s="103"/>
      <c r="D223" s="103"/>
      <c r="E223" s="103"/>
      <c r="F223" s="103"/>
      <c r="G223" s="103"/>
      <c r="H223" s="103"/>
      <c r="I223" s="103"/>
      <c r="J223" s="103"/>
      <c r="K223" s="103"/>
      <c r="L223" s="103"/>
      <c r="M223" s="103"/>
      <c r="N223" s="103"/>
      <c r="O223" s="103"/>
      <c r="P223" s="103"/>
      <c r="Q223" s="103"/>
      <c r="S223" s="72"/>
      <c r="T223" s="72"/>
      <c r="U223" s="72"/>
      <c r="V223" s="72"/>
      <c r="W223" s="72"/>
      <c r="X223" s="72"/>
      <c r="Y223" s="93"/>
      <c r="Z223" s="93"/>
      <c r="AA223" s="93"/>
      <c r="AB223" s="93"/>
      <c r="AC223" s="93"/>
      <c r="AD223" s="93"/>
      <c r="AE223" s="72"/>
      <c r="AF223" s="94"/>
      <c r="AG223" s="93"/>
    </row>
    <row r="224" spans="1:33" ht="15.75" x14ac:dyDescent="0.25">
      <c r="A224" s="102"/>
      <c r="B224" s="104"/>
      <c r="C224" s="103"/>
      <c r="D224" s="103"/>
      <c r="E224" s="103"/>
      <c r="F224" s="103"/>
      <c r="G224" s="103"/>
      <c r="H224" s="103"/>
      <c r="I224" s="103"/>
      <c r="J224" s="103"/>
      <c r="K224" s="103"/>
      <c r="L224" s="103"/>
      <c r="M224" s="103"/>
      <c r="N224" s="103"/>
      <c r="O224" s="103"/>
      <c r="P224" s="103"/>
      <c r="Q224" s="103"/>
      <c r="S224" s="72"/>
      <c r="T224" s="72"/>
      <c r="U224" s="72"/>
      <c r="V224" s="72"/>
      <c r="W224" s="72"/>
      <c r="X224" s="72"/>
      <c r="Y224" s="93"/>
      <c r="Z224" s="93"/>
      <c r="AA224" s="93"/>
      <c r="AB224" s="93"/>
      <c r="AC224" s="93"/>
      <c r="AD224" s="93"/>
      <c r="AE224" s="72"/>
      <c r="AF224" s="94"/>
      <c r="AG224" s="93"/>
    </row>
    <row r="225" spans="1:33" ht="15.75" x14ac:dyDescent="0.25">
      <c r="A225" s="102"/>
      <c r="B225" s="104"/>
      <c r="C225" s="103"/>
      <c r="D225" s="103"/>
      <c r="E225" s="103"/>
      <c r="F225" s="103"/>
      <c r="G225" s="103"/>
      <c r="H225" s="103"/>
      <c r="I225" s="103"/>
      <c r="J225" s="103"/>
      <c r="K225" s="103"/>
      <c r="L225" s="103"/>
      <c r="M225" s="103"/>
      <c r="N225" s="103"/>
      <c r="O225" s="103"/>
      <c r="P225" s="103"/>
      <c r="Q225" s="103"/>
      <c r="S225" s="72"/>
      <c r="T225" s="72"/>
      <c r="U225" s="72"/>
      <c r="V225" s="72"/>
      <c r="W225" s="72"/>
      <c r="X225" s="72"/>
      <c r="Y225" s="93"/>
      <c r="Z225" s="93"/>
      <c r="AA225" s="93"/>
      <c r="AB225" s="93"/>
      <c r="AC225" s="93"/>
      <c r="AD225" s="93"/>
      <c r="AE225" s="72"/>
      <c r="AF225" s="94"/>
      <c r="AG225" s="93"/>
    </row>
    <row r="226" spans="1:33" ht="15.75" x14ac:dyDescent="0.25">
      <c r="A226" s="102"/>
      <c r="B226" s="104"/>
      <c r="C226" s="103"/>
      <c r="D226" s="103"/>
      <c r="E226" s="103"/>
      <c r="F226" s="103"/>
      <c r="G226" s="103"/>
      <c r="H226" s="103"/>
      <c r="I226" s="103"/>
      <c r="J226" s="103"/>
      <c r="K226" s="103"/>
      <c r="L226" s="103"/>
      <c r="M226" s="103"/>
      <c r="N226" s="103"/>
      <c r="O226" s="103"/>
      <c r="P226" s="103"/>
      <c r="Q226" s="103"/>
      <c r="S226" s="72"/>
      <c r="T226" s="72"/>
      <c r="U226" s="72"/>
      <c r="V226" s="72"/>
      <c r="W226" s="72"/>
      <c r="X226" s="72"/>
      <c r="Y226" s="93"/>
      <c r="Z226" s="93"/>
      <c r="AA226" s="93"/>
      <c r="AB226" s="93"/>
      <c r="AC226" s="93"/>
      <c r="AD226" s="93"/>
      <c r="AE226" s="72"/>
      <c r="AF226" s="94"/>
      <c r="AG226" s="93"/>
    </row>
    <row r="227" spans="1:33" ht="15.75" x14ac:dyDescent="0.25">
      <c r="A227" s="102"/>
      <c r="B227" s="104"/>
      <c r="C227" s="103"/>
      <c r="D227" s="103"/>
      <c r="E227" s="103"/>
      <c r="F227" s="103"/>
      <c r="G227" s="103"/>
      <c r="H227" s="103"/>
      <c r="I227" s="103"/>
      <c r="J227" s="103"/>
      <c r="K227" s="103"/>
      <c r="L227" s="103"/>
      <c r="M227" s="103"/>
      <c r="N227" s="103"/>
      <c r="O227" s="103"/>
      <c r="P227" s="103"/>
      <c r="Q227" s="103"/>
      <c r="S227" s="72"/>
      <c r="T227" s="72"/>
      <c r="U227" s="72"/>
      <c r="V227" s="72"/>
      <c r="W227" s="72"/>
      <c r="X227" s="72"/>
      <c r="Y227" s="93"/>
      <c r="Z227" s="93"/>
      <c r="AA227" s="93"/>
      <c r="AB227" s="93"/>
      <c r="AC227" s="93"/>
      <c r="AD227" s="93"/>
      <c r="AE227" s="72"/>
      <c r="AF227" s="94"/>
      <c r="AG227" s="93"/>
    </row>
    <row r="228" spans="1:33" ht="15.75" x14ac:dyDescent="0.25">
      <c r="A228" s="102"/>
      <c r="B228" s="104"/>
      <c r="C228" s="103"/>
      <c r="D228" s="103"/>
      <c r="E228" s="103"/>
      <c r="F228" s="103"/>
      <c r="G228" s="103"/>
      <c r="H228" s="103"/>
      <c r="I228" s="103"/>
      <c r="J228" s="103"/>
      <c r="K228" s="103"/>
      <c r="L228" s="103"/>
      <c r="M228" s="103"/>
      <c r="N228" s="103"/>
      <c r="O228" s="103"/>
      <c r="P228" s="103"/>
      <c r="Q228" s="103"/>
      <c r="S228" s="72"/>
      <c r="T228" s="72"/>
      <c r="U228" s="72"/>
      <c r="V228" s="72"/>
      <c r="W228" s="72"/>
      <c r="X228" s="72"/>
      <c r="Y228" s="93"/>
      <c r="Z228" s="93"/>
      <c r="AA228" s="93"/>
      <c r="AB228" s="93"/>
      <c r="AC228" s="93"/>
      <c r="AD228" s="93"/>
      <c r="AE228" s="72"/>
      <c r="AF228" s="94"/>
      <c r="AG228" s="93"/>
    </row>
    <row r="229" spans="1:33" ht="15.75" x14ac:dyDescent="0.25">
      <c r="A229" s="102"/>
      <c r="B229" s="104"/>
      <c r="C229" s="103"/>
      <c r="D229" s="103"/>
      <c r="E229" s="103"/>
      <c r="F229" s="103"/>
      <c r="G229" s="103"/>
      <c r="H229" s="103"/>
      <c r="I229" s="103"/>
      <c r="J229" s="103"/>
      <c r="K229" s="103"/>
      <c r="L229" s="103"/>
      <c r="M229" s="103"/>
      <c r="N229" s="103"/>
      <c r="O229" s="103"/>
      <c r="P229" s="103"/>
      <c r="Q229" s="103"/>
      <c r="S229" s="72"/>
      <c r="T229" s="72"/>
      <c r="U229" s="72"/>
      <c r="V229" s="72"/>
      <c r="W229" s="72"/>
      <c r="X229" s="72"/>
      <c r="Y229" s="93"/>
      <c r="Z229" s="93"/>
      <c r="AA229" s="93"/>
      <c r="AB229" s="93"/>
      <c r="AC229" s="93"/>
      <c r="AD229" s="93"/>
      <c r="AE229" s="72"/>
      <c r="AF229" s="94"/>
      <c r="AG229" s="93"/>
    </row>
    <row r="230" spans="1:33" ht="15.75" x14ac:dyDescent="0.25">
      <c r="A230" s="102"/>
      <c r="B230" s="104"/>
      <c r="C230" s="103"/>
      <c r="D230" s="103"/>
      <c r="E230" s="103"/>
      <c r="F230" s="103"/>
      <c r="G230" s="103"/>
      <c r="H230" s="103"/>
      <c r="I230" s="103"/>
      <c r="J230" s="103"/>
      <c r="K230" s="103"/>
      <c r="L230" s="103"/>
      <c r="M230" s="103"/>
      <c r="N230" s="103"/>
      <c r="O230" s="103"/>
      <c r="P230" s="103"/>
      <c r="Q230" s="103"/>
      <c r="S230" s="72"/>
      <c r="T230" s="72"/>
      <c r="U230" s="72"/>
      <c r="V230" s="72"/>
      <c r="W230" s="72"/>
      <c r="X230" s="72"/>
      <c r="Y230" s="93"/>
      <c r="Z230" s="93"/>
      <c r="AA230" s="93"/>
      <c r="AB230" s="93"/>
      <c r="AC230" s="93"/>
      <c r="AD230" s="93"/>
      <c r="AE230" s="72"/>
      <c r="AF230" s="94"/>
      <c r="AG230" s="93"/>
    </row>
    <row r="231" spans="1:33" ht="15.75" x14ac:dyDescent="0.25">
      <c r="A231" s="102"/>
      <c r="B231" s="104"/>
      <c r="C231" s="103"/>
      <c r="D231" s="103"/>
      <c r="E231" s="103"/>
      <c r="F231" s="103"/>
      <c r="G231" s="103"/>
      <c r="H231" s="103"/>
      <c r="I231" s="103"/>
      <c r="J231" s="103"/>
      <c r="K231" s="103"/>
      <c r="L231" s="103"/>
      <c r="M231" s="103"/>
      <c r="N231" s="103"/>
      <c r="O231" s="103"/>
      <c r="P231" s="103"/>
      <c r="Q231" s="103"/>
      <c r="S231" s="72"/>
      <c r="T231" s="72"/>
      <c r="U231" s="72"/>
      <c r="V231" s="72"/>
      <c r="W231" s="72"/>
      <c r="X231" s="72"/>
      <c r="Y231" s="93"/>
      <c r="Z231" s="93"/>
      <c r="AA231" s="93"/>
      <c r="AB231" s="93"/>
      <c r="AC231" s="93"/>
      <c r="AD231" s="93"/>
      <c r="AE231" s="72"/>
      <c r="AF231" s="94"/>
      <c r="AG231" s="93"/>
    </row>
    <row r="232" spans="1:33" ht="15.75" x14ac:dyDescent="0.25">
      <c r="A232" s="102"/>
      <c r="B232" s="104"/>
      <c r="C232" s="103"/>
      <c r="D232" s="103"/>
      <c r="E232" s="103"/>
      <c r="F232" s="103"/>
      <c r="G232" s="103"/>
      <c r="H232" s="103"/>
      <c r="I232" s="103"/>
      <c r="J232" s="103"/>
      <c r="K232" s="103"/>
      <c r="L232" s="103"/>
      <c r="M232" s="103"/>
      <c r="N232" s="103"/>
      <c r="O232" s="103"/>
      <c r="P232" s="103"/>
      <c r="Q232" s="103"/>
      <c r="S232" s="72"/>
      <c r="T232" s="72"/>
      <c r="U232" s="72"/>
      <c r="V232" s="72"/>
      <c r="W232" s="72"/>
      <c r="X232" s="72"/>
      <c r="Y232" s="93"/>
      <c r="Z232" s="93"/>
      <c r="AA232" s="93"/>
      <c r="AB232" s="93"/>
      <c r="AC232" s="93"/>
      <c r="AD232" s="93"/>
      <c r="AE232" s="72"/>
      <c r="AF232" s="94"/>
      <c r="AG232" s="93"/>
    </row>
    <row r="233" spans="1:33" ht="15.75" x14ac:dyDescent="0.25">
      <c r="A233" s="102"/>
      <c r="B233" s="104"/>
      <c r="C233" s="103"/>
      <c r="D233" s="103"/>
      <c r="E233" s="103"/>
      <c r="F233" s="103"/>
      <c r="G233" s="103"/>
      <c r="H233" s="103"/>
      <c r="I233" s="103"/>
      <c r="J233" s="103"/>
      <c r="K233" s="103"/>
      <c r="L233" s="103"/>
      <c r="M233" s="103"/>
      <c r="N233" s="103"/>
      <c r="O233" s="103"/>
      <c r="P233" s="103"/>
      <c r="Q233" s="103"/>
      <c r="S233" s="72"/>
      <c r="T233" s="72"/>
      <c r="U233" s="72"/>
      <c r="V233" s="72"/>
      <c r="W233" s="72"/>
      <c r="X233" s="72"/>
      <c r="Y233" s="93"/>
      <c r="Z233" s="93"/>
      <c r="AA233" s="93"/>
      <c r="AB233" s="93"/>
      <c r="AC233" s="93"/>
      <c r="AD233" s="93"/>
      <c r="AE233" s="72"/>
      <c r="AF233" s="94"/>
      <c r="AG233" s="93"/>
    </row>
    <row r="234" spans="1:33" ht="15.75" x14ac:dyDescent="0.25">
      <c r="A234" s="102"/>
      <c r="B234" s="104"/>
      <c r="C234" s="103"/>
      <c r="D234" s="103"/>
      <c r="E234" s="103"/>
      <c r="F234" s="103"/>
      <c r="G234" s="103"/>
      <c r="H234" s="103"/>
      <c r="I234" s="103"/>
      <c r="J234" s="103"/>
      <c r="K234" s="103"/>
      <c r="L234" s="103"/>
      <c r="M234" s="103"/>
      <c r="N234" s="103"/>
      <c r="O234" s="103"/>
      <c r="P234" s="103"/>
      <c r="Q234" s="103"/>
      <c r="S234" s="72"/>
      <c r="T234" s="72"/>
      <c r="U234" s="72"/>
      <c r="V234" s="72"/>
      <c r="W234" s="72"/>
      <c r="X234" s="72"/>
      <c r="Y234" s="93"/>
      <c r="Z234" s="93"/>
      <c r="AA234" s="93"/>
      <c r="AB234" s="93"/>
      <c r="AC234" s="93"/>
      <c r="AD234" s="93"/>
      <c r="AE234" s="72"/>
      <c r="AF234" s="94"/>
      <c r="AG234" s="93"/>
    </row>
    <row r="235" spans="1:33" ht="15.75" x14ac:dyDescent="0.25">
      <c r="A235" s="102"/>
      <c r="B235" s="104"/>
      <c r="C235" s="103"/>
      <c r="D235" s="103"/>
      <c r="E235" s="103"/>
      <c r="F235" s="103"/>
      <c r="G235" s="103"/>
      <c r="H235" s="103"/>
      <c r="I235" s="103"/>
      <c r="J235" s="103"/>
      <c r="K235" s="103"/>
      <c r="L235" s="103"/>
      <c r="M235" s="103"/>
      <c r="N235" s="103"/>
      <c r="O235" s="103"/>
      <c r="P235" s="103"/>
      <c r="Q235" s="103"/>
      <c r="S235" s="72"/>
      <c r="T235" s="72"/>
      <c r="U235" s="72"/>
      <c r="V235" s="72"/>
      <c r="W235" s="72"/>
      <c r="X235" s="72"/>
      <c r="Y235" s="93"/>
      <c r="Z235" s="93"/>
      <c r="AA235" s="93"/>
      <c r="AB235" s="93"/>
      <c r="AC235" s="93"/>
      <c r="AD235" s="93"/>
      <c r="AE235" s="72"/>
      <c r="AF235" s="94"/>
      <c r="AG235" s="93"/>
    </row>
    <row r="236" spans="1:33" ht="15.75" x14ac:dyDescent="0.25">
      <c r="A236" s="102"/>
      <c r="B236" s="104"/>
      <c r="C236" s="103"/>
      <c r="D236" s="103"/>
      <c r="E236" s="103"/>
      <c r="F236" s="103"/>
      <c r="G236" s="103"/>
      <c r="H236" s="103"/>
      <c r="I236" s="103"/>
      <c r="J236" s="103"/>
      <c r="K236" s="103"/>
      <c r="L236" s="103"/>
      <c r="M236" s="103"/>
      <c r="N236" s="103"/>
      <c r="O236" s="103"/>
      <c r="P236" s="103"/>
      <c r="Q236" s="103"/>
      <c r="S236" s="72"/>
      <c r="T236" s="72"/>
      <c r="U236" s="72"/>
      <c r="V236" s="72"/>
      <c r="W236" s="72"/>
      <c r="X236" s="72"/>
      <c r="Y236" s="93"/>
      <c r="Z236" s="93"/>
      <c r="AA236" s="93"/>
      <c r="AB236" s="93"/>
      <c r="AC236" s="93"/>
      <c r="AD236" s="93"/>
      <c r="AE236" s="72"/>
      <c r="AF236" s="94"/>
      <c r="AG236" s="93"/>
    </row>
    <row r="237" spans="1:33" ht="15.75" x14ac:dyDescent="0.25">
      <c r="A237" s="102"/>
      <c r="B237" s="104"/>
      <c r="C237" s="103"/>
      <c r="D237" s="103"/>
      <c r="E237" s="103"/>
      <c r="F237" s="103"/>
      <c r="G237" s="103"/>
      <c r="H237" s="103"/>
      <c r="I237" s="103"/>
      <c r="J237" s="103"/>
      <c r="K237" s="103"/>
      <c r="L237" s="103"/>
      <c r="M237" s="103"/>
      <c r="N237" s="103"/>
      <c r="O237" s="103"/>
      <c r="P237" s="103"/>
      <c r="Q237" s="103"/>
      <c r="S237" s="72"/>
      <c r="T237" s="72"/>
      <c r="U237" s="72"/>
      <c r="V237" s="72"/>
      <c r="W237" s="72"/>
      <c r="X237" s="72"/>
      <c r="Y237" s="93"/>
      <c r="Z237" s="93"/>
      <c r="AA237" s="93"/>
      <c r="AB237" s="93"/>
      <c r="AC237" s="93"/>
      <c r="AD237" s="93"/>
      <c r="AE237" s="72"/>
      <c r="AF237" s="94"/>
      <c r="AG237" s="93"/>
    </row>
    <row r="238" spans="1:33" ht="15.75" x14ac:dyDescent="0.25">
      <c r="A238" s="102"/>
      <c r="B238" s="104"/>
      <c r="C238" s="103"/>
      <c r="D238" s="103"/>
      <c r="E238" s="103"/>
      <c r="F238" s="103"/>
      <c r="G238" s="103"/>
      <c r="H238" s="103"/>
      <c r="I238" s="103"/>
      <c r="J238" s="103"/>
      <c r="K238" s="103"/>
      <c r="L238" s="103"/>
      <c r="M238" s="103"/>
      <c r="N238" s="103"/>
      <c r="O238" s="103"/>
      <c r="P238" s="103"/>
      <c r="Q238" s="103"/>
      <c r="S238" s="72"/>
      <c r="T238" s="72"/>
      <c r="U238" s="72"/>
      <c r="V238" s="72"/>
      <c r="W238" s="72"/>
      <c r="X238" s="72"/>
      <c r="Y238" s="93"/>
      <c r="Z238" s="93"/>
      <c r="AA238" s="93"/>
      <c r="AB238" s="93"/>
      <c r="AC238" s="93"/>
      <c r="AD238" s="93"/>
      <c r="AE238" s="72"/>
      <c r="AF238" s="94"/>
      <c r="AG238" s="93"/>
    </row>
    <row r="239" spans="1:33" ht="15.75" x14ac:dyDescent="0.25">
      <c r="A239" s="102"/>
      <c r="B239" s="104"/>
      <c r="C239" s="103"/>
      <c r="D239" s="103"/>
      <c r="E239" s="103"/>
      <c r="F239" s="103"/>
      <c r="G239" s="103"/>
      <c r="H239" s="103"/>
      <c r="I239" s="103"/>
      <c r="J239" s="103"/>
      <c r="K239" s="103"/>
      <c r="L239" s="103"/>
      <c r="M239" s="103"/>
      <c r="N239" s="103"/>
      <c r="O239" s="103"/>
      <c r="P239" s="103"/>
      <c r="Q239" s="103"/>
      <c r="S239" s="72"/>
      <c r="T239" s="72"/>
      <c r="U239" s="72"/>
      <c r="V239" s="72"/>
      <c r="W239" s="72"/>
      <c r="X239" s="72"/>
      <c r="Y239" s="93"/>
      <c r="Z239" s="93"/>
      <c r="AA239" s="93"/>
      <c r="AB239" s="93"/>
      <c r="AC239" s="93"/>
      <c r="AD239" s="93"/>
      <c r="AE239" s="72"/>
      <c r="AF239" s="94"/>
      <c r="AG239" s="93"/>
    </row>
    <row r="240" spans="1:33" ht="15.75" x14ac:dyDescent="0.25">
      <c r="A240" s="102"/>
      <c r="B240" s="104"/>
      <c r="C240" s="103"/>
      <c r="D240" s="103"/>
      <c r="E240" s="103"/>
      <c r="F240" s="103"/>
      <c r="G240" s="103"/>
      <c r="H240" s="103"/>
      <c r="I240" s="103"/>
      <c r="J240" s="103"/>
      <c r="K240" s="103"/>
      <c r="L240" s="103"/>
      <c r="M240" s="103"/>
      <c r="N240" s="103"/>
      <c r="O240" s="103"/>
      <c r="P240" s="103"/>
      <c r="Q240" s="103"/>
      <c r="S240" s="72"/>
      <c r="T240" s="72"/>
      <c r="U240" s="72"/>
      <c r="V240" s="72"/>
      <c r="W240" s="72"/>
      <c r="X240" s="72"/>
      <c r="Y240" s="93"/>
      <c r="Z240" s="93"/>
      <c r="AA240" s="93"/>
      <c r="AB240" s="93"/>
      <c r="AC240" s="93"/>
      <c r="AD240" s="93"/>
      <c r="AE240" s="72"/>
      <c r="AF240" s="94"/>
      <c r="AG240" s="93"/>
    </row>
    <row r="241" spans="1:33" ht="15.75" x14ac:dyDescent="0.25">
      <c r="A241" s="102"/>
      <c r="B241" s="104"/>
      <c r="C241" s="103"/>
      <c r="D241" s="103"/>
      <c r="E241" s="103"/>
      <c r="F241" s="103"/>
      <c r="G241" s="103"/>
      <c r="H241" s="103"/>
      <c r="I241" s="103"/>
      <c r="J241" s="103"/>
      <c r="K241" s="103"/>
      <c r="L241" s="103"/>
      <c r="M241" s="103"/>
      <c r="N241" s="103"/>
      <c r="O241" s="103"/>
      <c r="P241" s="103"/>
      <c r="Q241" s="103"/>
      <c r="S241" s="72"/>
      <c r="T241" s="72"/>
      <c r="U241" s="72"/>
      <c r="V241" s="72"/>
      <c r="W241" s="72"/>
      <c r="X241" s="72"/>
      <c r="Y241" s="93"/>
      <c r="Z241" s="93"/>
      <c r="AA241" s="93"/>
      <c r="AB241" s="93"/>
      <c r="AC241" s="93"/>
      <c r="AD241" s="93"/>
      <c r="AE241" s="72"/>
      <c r="AF241" s="94"/>
      <c r="AG241" s="93"/>
    </row>
    <row r="242" spans="1:33" ht="15.75" x14ac:dyDescent="0.25">
      <c r="A242" s="102"/>
      <c r="B242" s="104"/>
      <c r="C242" s="103"/>
      <c r="D242" s="103"/>
      <c r="E242" s="103"/>
      <c r="F242" s="103"/>
      <c r="G242" s="103"/>
      <c r="H242" s="103"/>
      <c r="I242" s="103"/>
      <c r="J242" s="103"/>
      <c r="K242" s="103"/>
      <c r="L242" s="103"/>
      <c r="M242" s="103"/>
      <c r="N242" s="103"/>
      <c r="O242" s="103"/>
      <c r="P242" s="103"/>
      <c r="Q242" s="103"/>
      <c r="S242" s="72"/>
      <c r="T242" s="72"/>
      <c r="U242" s="72"/>
      <c r="V242" s="72"/>
      <c r="W242" s="72"/>
      <c r="X242" s="72"/>
      <c r="Y242" s="93"/>
      <c r="Z242" s="93"/>
      <c r="AA242" s="93"/>
      <c r="AB242" s="93"/>
      <c r="AC242" s="93"/>
      <c r="AD242" s="93"/>
      <c r="AE242" s="72"/>
      <c r="AF242" s="94"/>
      <c r="AG242" s="93"/>
    </row>
    <row r="243" spans="1:33" ht="15.75" x14ac:dyDescent="0.25">
      <c r="A243" s="102"/>
      <c r="B243" s="104"/>
      <c r="C243" s="103"/>
      <c r="D243" s="103"/>
      <c r="E243" s="103"/>
      <c r="F243" s="103"/>
      <c r="G243" s="103"/>
      <c r="H243" s="103"/>
      <c r="I243" s="103"/>
      <c r="J243" s="103"/>
      <c r="K243" s="103"/>
      <c r="L243" s="103"/>
      <c r="M243" s="103"/>
      <c r="N243" s="103"/>
      <c r="O243" s="103"/>
      <c r="P243" s="103"/>
      <c r="Q243" s="103"/>
      <c r="S243" s="72"/>
      <c r="T243" s="72"/>
      <c r="U243" s="72"/>
      <c r="V243" s="72"/>
      <c r="W243" s="72"/>
      <c r="X243" s="72"/>
      <c r="Y243" s="93"/>
      <c r="Z243" s="93"/>
      <c r="AA243" s="93"/>
      <c r="AB243" s="93"/>
      <c r="AC243" s="93"/>
      <c r="AD243" s="93"/>
      <c r="AE243" s="72"/>
      <c r="AF243" s="94"/>
      <c r="AG243" s="93"/>
    </row>
    <row r="244" spans="1:33" ht="15.75" x14ac:dyDescent="0.25">
      <c r="A244" s="102"/>
      <c r="B244" s="104"/>
      <c r="C244" s="103"/>
      <c r="D244" s="103"/>
      <c r="E244" s="103"/>
      <c r="F244" s="103"/>
      <c r="G244" s="103"/>
      <c r="H244" s="103"/>
      <c r="I244" s="103"/>
      <c r="J244" s="103"/>
      <c r="K244" s="103"/>
      <c r="L244" s="103"/>
      <c r="M244" s="103"/>
      <c r="N244" s="103"/>
      <c r="O244" s="103"/>
      <c r="P244" s="103"/>
      <c r="Q244" s="103"/>
      <c r="S244" s="72"/>
      <c r="T244" s="72"/>
      <c r="U244" s="72"/>
      <c r="V244" s="72"/>
      <c r="W244" s="72"/>
      <c r="X244" s="72"/>
      <c r="Y244" s="93"/>
      <c r="Z244" s="93"/>
      <c r="AA244" s="93"/>
      <c r="AB244" s="93"/>
      <c r="AC244" s="93"/>
      <c r="AD244" s="93"/>
      <c r="AE244" s="72"/>
      <c r="AF244" s="94"/>
      <c r="AG244" s="93"/>
    </row>
    <row r="245" spans="1:33" ht="15.75" x14ac:dyDescent="0.25">
      <c r="A245" s="102"/>
      <c r="B245" s="104"/>
      <c r="C245" s="103"/>
      <c r="D245" s="103"/>
      <c r="E245" s="103"/>
      <c r="F245" s="103"/>
      <c r="G245" s="103"/>
      <c r="H245" s="103"/>
      <c r="I245" s="103"/>
      <c r="J245" s="103"/>
      <c r="K245" s="103"/>
      <c r="L245" s="103"/>
      <c r="M245" s="103"/>
      <c r="N245" s="103"/>
      <c r="O245" s="103"/>
      <c r="P245" s="103"/>
      <c r="Q245" s="103"/>
      <c r="S245" s="72"/>
      <c r="T245" s="72"/>
      <c r="U245" s="72"/>
      <c r="V245" s="72"/>
      <c r="W245" s="72"/>
      <c r="X245" s="72"/>
      <c r="Y245" s="93"/>
      <c r="Z245" s="93"/>
      <c r="AA245" s="93"/>
      <c r="AB245" s="93"/>
      <c r="AC245" s="93"/>
      <c r="AD245" s="93"/>
      <c r="AE245" s="72"/>
      <c r="AF245" s="94"/>
      <c r="AG245" s="93"/>
    </row>
    <row r="246" spans="1:33" ht="15.75" x14ac:dyDescent="0.25">
      <c r="A246" s="102"/>
      <c r="B246" s="104"/>
      <c r="C246" s="103"/>
      <c r="D246" s="103"/>
      <c r="E246" s="103"/>
      <c r="F246" s="103"/>
      <c r="G246" s="103"/>
      <c r="H246" s="103"/>
      <c r="I246" s="103"/>
      <c r="J246" s="103"/>
      <c r="K246" s="103"/>
      <c r="L246" s="103"/>
      <c r="M246" s="103"/>
      <c r="N246" s="103"/>
      <c r="O246" s="103"/>
      <c r="P246" s="103"/>
      <c r="Q246" s="103"/>
      <c r="S246" s="72"/>
      <c r="T246" s="72"/>
      <c r="U246" s="72"/>
      <c r="V246" s="72"/>
      <c r="W246" s="72"/>
      <c r="X246" s="72"/>
      <c r="Y246" s="93"/>
      <c r="Z246" s="93"/>
      <c r="AA246" s="93"/>
      <c r="AB246" s="93"/>
      <c r="AC246" s="93"/>
      <c r="AD246" s="93"/>
      <c r="AE246" s="72"/>
      <c r="AF246" s="94"/>
      <c r="AG246" s="93"/>
    </row>
    <row r="247" spans="1:33" ht="15.75" x14ac:dyDescent="0.25">
      <c r="A247" s="102"/>
      <c r="B247" s="104"/>
      <c r="C247" s="103"/>
      <c r="D247" s="103"/>
      <c r="E247" s="103"/>
      <c r="F247" s="103"/>
      <c r="G247" s="103"/>
      <c r="H247" s="103"/>
      <c r="I247" s="103"/>
      <c r="J247" s="103"/>
      <c r="K247" s="103"/>
      <c r="L247" s="103"/>
      <c r="M247" s="103"/>
      <c r="N247" s="103"/>
      <c r="O247" s="103"/>
      <c r="P247" s="103"/>
      <c r="Q247" s="103"/>
      <c r="S247" s="72"/>
      <c r="T247" s="72"/>
      <c r="U247" s="72"/>
      <c r="V247" s="72"/>
      <c r="W247" s="72"/>
      <c r="X247" s="72"/>
      <c r="Y247" s="93"/>
      <c r="Z247" s="93"/>
      <c r="AA247" s="93"/>
      <c r="AB247" s="93"/>
      <c r="AC247" s="93"/>
      <c r="AD247" s="93"/>
      <c r="AE247" s="72"/>
      <c r="AF247" s="94"/>
      <c r="AG247" s="93"/>
    </row>
    <row r="248" spans="1:33" ht="15.75" x14ac:dyDescent="0.25">
      <c r="A248" s="102"/>
      <c r="B248" s="104"/>
      <c r="C248" s="103"/>
      <c r="D248" s="103"/>
      <c r="E248" s="103"/>
      <c r="F248" s="103"/>
      <c r="G248" s="103"/>
      <c r="H248" s="103"/>
      <c r="I248" s="103"/>
      <c r="J248" s="103"/>
      <c r="K248" s="103"/>
      <c r="L248" s="103"/>
      <c r="M248" s="103"/>
      <c r="N248" s="103"/>
      <c r="O248" s="103"/>
      <c r="P248" s="103"/>
      <c r="Q248" s="103"/>
      <c r="S248" s="72"/>
      <c r="T248" s="72"/>
      <c r="U248" s="72"/>
      <c r="V248" s="72"/>
      <c r="W248" s="72"/>
      <c r="X248" s="72"/>
      <c r="Y248" s="93"/>
      <c r="Z248" s="93"/>
      <c r="AA248" s="93"/>
      <c r="AB248" s="93"/>
      <c r="AC248" s="93"/>
      <c r="AD248" s="93"/>
      <c r="AE248" s="72"/>
      <c r="AF248" s="94"/>
      <c r="AG248" s="93"/>
    </row>
  </sheetData>
  <pageMargins left="0.53" right="0.51" top="0.984251969" bottom="0.984251969" header="0.49212598499999999" footer="0.49212598499999999"/>
  <pageSetup paperSize="9" scale="90" orientation="landscape" horizontalDpi="180" verticalDpi="180" r:id="rId1"/>
  <headerFooter alignWithMargins="0"/>
  <drawing r:id="rId2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1:AT248"/>
  <sheetViews>
    <sheetView zoomScale="70" zoomScaleNormal="70" zoomScaleSheetLayoutView="75" zoomScalePageLayoutView="70" workbookViewId="0">
      <pane xSplit="1" topLeftCell="B1" activePane="topRight" state="frozen"/>
      <selection activeCell="A142" sqref="A142"/>
      <selection pane="topRight" activeCell="J39" sqref="J39"/>
    </sheetView>
  </sheetViews>
  <sheetFormatPr defaultColWidth="8.85546875" defaultRowHeight="12.75" x14ac:dyDescent="0.2"/>
  <cols>
    <col min="1" max="1" width="11.28515625" bestFit="1" customWidth="1"/>
    <col min="2" max="2" width="7" style="2" customWidth="1"/>
    <col min="3" max="3" width="7" style="114" customWidth="1"/>
    <col min="4" max="4" width="9.85546875" bestFit="1" customWidth="1"/>
    <col min="5" max="5" width="9.85546875" customWidth="1"/>
    <col min="6" max="6" width="9" customWidth="1"/>
    <col min="7" max="8" width="8.7109375" customWidth="1"/>
    <col min="9" max="9" width="10.42578125" customWidth="1"/>
    <col min="10" max="10" width="10.140625" customWidth="1"/>
    <col min="11" max="11" width="10.85546875" customWidth="1"/>
    <col min="12" max="12" width="8.7109375" customWidth="1"/>
    <col min="13" max="13" width="8.28515625" customWidth="1"/>
    <col min="14" max="14" width="9" customWidth="1"/>
    <col min="15" max="15" width="8.7109375" customWidth="1"/>
    <col min="16" max="16" width="10.140625" customWidth="1"/>
    <col min="17" max="17" width="12" customWidth="1"/>
    <col min="18" max="18" width="11" customWidth="1"/>
    <col min="19" max="19" width="6.140625" customWidth="1"/>
    <col min="20" max="20" width="10.28515625" bestFit="1" customWidth="1"/>
    <col min="21" max="21" width="11.42578125" bestFit="1" customWidth="1"/>
    <col min="22" max="22" width="10.42578125" bestFit="1" customWidth="1"/>
    <col min="23" max="23" width="11.42578125" customWidth="1"/>
    <col min="24" max="24" width="13.28515625" bestFit="1" customWidth="1"/>
    <col min="25" max="25" width="10.42578125" customWidth="1"/>
    <col min="26" max="26" width="8" customWidth="1"/>
    <col min="27" max="27" width="7.42578125" customWidth="1"/>
    <col min="28" max="28" width="6.28515625" customWidth="1"/>
    <col min="29" max="29" width="9.42578125" bestFit="1" customWidth="1"/>
    <col min="30" max="30" width="6.42578125" customWidth="1"/>
    <col min="31" max="31" width="7.42578125" customWidth="1"/>
    <col min="32" max="32" width="12" customWidth="1"/>
    <col min="33" max="34" width="8.42578125" customWidth="1"/>
    <col min="35" max="35" width="55.7109375" customWidth="1"/>
    <col min="36" max="36" width="32.140625" customWidth="1"/>
    <col min="37" max="37" width="11.7109375" bestFit="1" customWidth="1"/>
    <col min="38" max="38" width="11.140625" bestFit="1" customWidth="1"/>
    <col min="40" max="42" width="9.28515625" bestFit="1" customWidth="1"/>
    <col min="43" max="43" width="19.140625" bestFit="1" customWidth="1"/>
    <col min="44" max="44" width="13.28515625" bestFit="1" customWidth="1"/>
    <col min="45" max="45" width="9.28515625" bestFit="1" customWidth="1"/>
    <col min="46" max="46" width="15.85546875" customWidth="1"/>
  </cols>
  <sheetData>
    <row r="1" spans="1:46" x14ac:dyDescent="0.2">
      <c r="W1" s="53" t="s">
        <v>70</v>
      </c>
    </row>
    <row r="2" spans="1:46" x14ac:dyDescent="0.2">
      <c r="W2" s="10" t="s">
        <v>34</v>
      </c>
      <c r="X2" s="11"/>
      <c r="Y2" s="12"/>
      <c r="AB2" s="10" t="s">
        <v>26</v>
      </c>
      <c r="AC2" s="11"/>
      <c r="AD2" s="12"/>
      <c r="AF2" s="35" t="s">
        <v>35</v>
      </c>
      <c r="AG2" s="36" t="e">
        <f>AL15+AT17</f>
        <v>#REF!</v>
      </c>
      <c r="AH2" s="31"/>
    </row>
    <row r="3" spans="1:46" x14ac:dyDescent="0.2">
      <c r="B3"/>
      <c r="C3" s="115"/>
      <c r="I3" s="53" t="s">
        <v>69</v>
      </c>
      <c r="L3">
        <v>0</v>
      </c>
      <c r="N3" s="37"/>
      <c r="T3">
        <v>400</v>
      </c>
      <c r="U3">
        <v>2000</v>
      </c>
      <c r="V3" s="18" t="s">
        <v>31</v>
      </c>
      <c r="W3" s="10" t="s">
        <v>48</v>
      </c>
      <c r="X3" s="59">
        <v>1000.000984312778</v>
      </c>
      <c r="Y3" s="12"/>
      <c r="Z3" s="24" t="s">
        <v>47</v>
      </c>
      <c r="AA3" s="25"/>
      <c r="AB3" s="10" t="s">
        <v>23</v>
      </c>
      <c r="AC3" s="21">
        <v>55</v>
      </c>
      <c r="AD3" s="12">
        <f>AC3/100</f>
        <v>0.55000000000000004</v>
      </c>
      <c r="AF3" s="43" t="s">
        <v>36</v>
      </c>
      <c r="AG3" s="44" t="e">
        <f>AR15</f>
        <v>#REF!</v>
      </c>
      <c r="AH3" s="31"/>
    </row>
    <row r="4" spans="1:46" ht="15.75" x14ac:dyDescent="0.25">
      <c r="A4" s="112" t="s">
        <v>89</v>
      </c>
      <c r="B4" s="112"/>
      <c r="C4" s="116"/>
      <c r="H4" t="s">
        <v>49</v>
      </c>
      <c r="I4" s="49">
        <v>3</v>
      </c>
      <c r="J4" s="49">
        <v>2</v>
      </c>
      <c r="K4" s="49">
        <v>1</v>
      </c>
      <c r="L4" s="49">
        <v>0</v>
      </c>
      <c r="M4" s="49">
        <v>-1</v>
      </c>
      <c r="O4" t="s">
        <v>46</v>
      </c>
      <c r="Q4" s="45"/>
      <c r="R4" s="45"/>
      <c r="S4" s="45"/>
      <c r="T4" s="53">
        <v>0.1</v>
      </c>
      <c r="U4">
        <v>10</v>
      </c>
      <c r="V4" s="19" t="s">
        <v>32</v>
      </c>
      <c r="W4" s="13" t="s">
        <v>50</v>
      </c>
      <c r="X4" s="61">
        <v>2.3732165797347773</v>
      </c>
      <c r="Y4" s="14"/>
      <c r="Z4" s="26" t="s">
        <v>28</v>
      </c>
      <c r="AA4" s="27"/>
      <c r="AB4" s="15" t="s">
        <v>24</v>
      </c>
      <c r="AC4" s="96">
        <v>400</v>
      </c>
      <c r="AD4" s="17"/>
      <c r="AF4" s="43" t="s">
        <v>41</v>
      </c>
      <c r="AG4" s="47" t="e">
        <f>AN17</f>
        <v>#REF!</v>
      </c>
      <c r="AH4" s="62"/>
    </row>
    <row r="5" spans="1:46" ht="23.25" x14ac:dyDescent="0.35">
      <c r="A5" s="113">
        <v>0.72</v>
      </c>
      <c r="B5" s="112" t="s">
        <v>90</v>
      </c>
      <c r="C5" s="116"/>
      <c r="H5" t="s">
        <v>51</v>
      </c>
      <c r="I5" s="57">
        <v>3.3872753739416705E-3</v>
      </c>
      <c r="J5" s="57">
        <v>3.3037758243869529E-2</v>
      </c>
      <c r="K5" s="57">
        <v>0.27398318002049604</v>
      </c>
      <c r="L5" s="57">
        <v>0.66891289401300202</v>
      </c>
      <c r="M5" s="57">
        <v>2.0678892348691257E-2</v>
      </c>
      <c r="O5" s="5">
        <f>SUM(I5:M5)</f>
        <v>1.0000000000000007</v>
      </c>
      <c r="T5">
        <v>0</v>
      </c>
      <c r="U5">
        <v>70</v>
      </c>
      <c r="V5" s="20" t="s">
        <v>33</v>
      </c>
      <c r="W5" s="13" t="s">
        <v>52</v>
      </c>
      <c r="X5" s="61">
        <v>34.901723314701229</v>
      </c>
      <c r="Y5" s="14">
        <f>X5/100</f>
        <v>0.34901723314701227</v>
      </c>
      <c r="Z5" s="26" t="s">
        <v>29</v>
      </c>
      <c r="AA5" s="27"/>
      <c r="AB5" s="10" t="s">
        <v>27</v>
      </c>
      <c r="AC5" s="11"/>
      <c r="AD5" s="12"/>
      <c r="AE5" s="45"/>
      <c r="AF5" s="48" t="s">
        <v>45</v>
      </c>
      <c r="AG5" s="50" t="e">
        <f>AS17</f>
        <v>#REF!</v>
      </c>
      <c r="AH5" s="62"/>
    </row>
    <row r="6" spans="1:46" x14ac:dyDescent="0.2">
      <c r="T6">
        <v>1</v>
      </c>
      <c r="U6">
        <v>6</v>
      </c>
      <c r="W6" s="15" t="s">
        <v>15</v>
      </c>
      <c r="X6" s="60">
        <v>4.9886072587128947</v>
      </c>
      <c r="Y6" s="17">
        <f>0.5^(1/X6)</f>
        <v>0.87027499475783354</v>
      </c>
      <c r="Z6" s="28" t="s">
        <v>30</v>
      </c>
      <c r="AA6" s="29"/>
      <c r="AB6" s="22" t="s">
        <v>8</v>
      </c>
      <c r="AC6" s="55">
        <v>55726.392159000003</v>
      </c>
      <c r="AD6" s="23" t="s">
        <v>7</v>
      </c>
      <c r="AE6" s="45"/>
      <c r="AF6" s="45"/>
      <c r="AG6" s="45"/>
      <c r="AH6" s="45"/>
    </row>
    <row r="8" spans="1:46" x14ac:dyDescent="0.2">
      <c r="B8" s="2" t="s">
        <v>2</v>
      </c>
      <c r="D8" t="s">
        <v>0</v>
      </c>
      <c r="T8" s="72" t="s">
        <v>0</v>
      </c>
      <c r="U8" s="72" t="s">
        <v>0</v>
      </c>
      <c r="V8" s="72" t="s">
        <v>12</v>
      </c>
      <c r="W8" s="72" t="s">
        <v>16</v>
      </c>
      <c r="X8" s="72" t="s">
        <v>14</v>
      </c>
      <c r="Y8" s="72" t="s">
        <v>13</v>
      </c>
      <c r="Z8" s="72" t="s">
        <v>17</v>
      </c>
      <c r="AA8" s="72" t="s">
        <v>18</v>
      </c>
      <c r="AB8" s="72" t="s">
        <v>19</v>
      </c>
      <c r="AC8" s="73" t="s">
        <v>20</v>
      </c>
      <c r="AD8" s="72" t="s">
        <v>21</v>
      </c>
      <c r="AE8" s="72" t="s">
        <v>1</v>
      </c>
      <c r="AF8" s="72" t="s">
        <v>1</v>
      </c>
      <c r="AG8" s="72" t="s">
        <v>5</v>
      </c>
      <c r="AH8" s="72"/>
    </row>
    <row r="9" spans="1:46" ht="27" customHeight="1" x14ac:dyDescent="0.2">
      <c r="B9" s="2" t="s">
        <v>3</v>
      </c>
      <c r="T9" s="72" t="s">
        <v>4</v>
      </c>
      <c r="U9" s="72" t="s">
        <v>53</v>
      </c>
      <c r="V9" s="72"/>
      <c r="W9" s="72" t="s">
        <v>85</v>
      </c>
      <c r="X9" s="72"/>
      <c r="Y9" s="72" t="s">
        <v>86</v>
      </c>
      <c r="Z9" s="74" t="s">
        <v>87</v>
      </c>
      <c r="AA9" s="72"/>
      <c r="AB9" s="72"/>
      <c r="AC9" s="72"/>
      <c r="AD9" s="72" t="s">
        <v>88</v>
      </c>
      <c r="AE9" s="72" t="s">
        <v>22</v>
      </c>
      <c r="AF9" s="72" t="s">
        <v>25</v>
      </c>
      <c r="AG9" s="72" t="s">
        <v>44</v>
      </c>
      <c r="AH9" s="72"/>
    </row>
    <row r="10" spans="1:46" x14ac:dyDescent="0.2">
      <c r="B10" s="2" t="s">
        <v>10</v>
      </c>
      <c r="D10" t="s">
        <v>10</v>
      </c>
      <c r="T10" s="72" t="s">
        <v>10</v>
      </c>
      <c r="U10" s="72"/>
      <c r="V10" s="73" t="s">
        <v>83</v>
      </c>
      <c r="W10" s="72">
        <v>1.0504008134610519</v>
      </c>
      <c r="X10" s="72"/>
      <c r="Y10" s="72"/>
      <c r="Z10" s="72"/>
      <c r="AA10" s="72"/>
      <c r="AB10" s="72"/>
      <c r="AC10" s="72"/>
      <c r="AD10" s="72"/>
      <c r="AE10" s="72" t="s">
        <v>11</v>
      </c>
      <c r="AF10" s="72" t="s">
        <v>11</v>
      </c>
      <c r="AG10" s="75" t="s">
        <v>43</v>
      </c>
      <c r="AH10" s="75"/>
    </row>
    <row r="11" spans="1:46" ht="25.5" x14ac:dyDescent="0.2">
      <c r="D11" s="52" t="s">
        <v>54</v>
      </c>
      <c r="E11" s="52" t="s">
        <v>55</v>
      </c>
      <c r="F11" s="52" t="s">
        <v>56</v>
      </c>
      <c r="G11" s="52" t="s">
        <v>57</v>
      </c>
      <c r="H11" s="52" t="s">
        <v>58</v>
      </c>
      <c r="I11" s="52" t="s">
        <v>59</v>
      </c>
      <c r="J11" s="52" t="s">
        <v>60</v>
      </c>
      <c r="K11" s="52" t="s">
        <v>61</v>
      </c>
      <c r="L11" s="52" t="s">
        <v>62</v>
      </c>
      <c r="M11" s="52" t="s">
        <v>63</v>
      </c>
      <c r="N11" s="52" t="s">
        <v>64</v>
      </c>
      <c r="O11" s="52" t="s">
        <v>65</v>
      </c>
      <c r="P11" s="52" t="s">
        <v>66</v>
      </c>
      <c r="Q11" s="52" t="s">
        <v>67</v>
      </c>
      <c r="R11" s="52" t="s">
        <v>68</v>
      </c>
      <c r="T11" s="72"/>
      <c r="U11" s="72"/>
      <c r="V11" s="72"/>
      <c r="W11" s="72"/>
      <c r="X11" s="72"/>
      <c r="Y11" s="72"/>
      <c r="Z11" s="72"/>
      <c r="AA11" s="72"/>
      <c r="AB11" s="72"/>
      <c r="AC11" s="72"/>
      <c r="AD11" s="72"/>
      <c r="AE11" s="76" t="s">
        <v>84</v>
      </c>
      <c r="AF11" s="77"/>
      <c r="AG11" s="78"/>
      <c r="AH11" s="79"/>
      <c r="AS11" t="s">
        <v>5</v>
      </c>
    </row>
    <row r="12" spans="1:46" x14ac:dyDescent="0.2">
      <c r="D12" s="51">
        <v>0.03</v>
      </c>
      <c r="E12" s="51">
        <v>6.6705423011017492E-2</v>
      </c>
      <c r="F12" s="51">
        <v>0.03</v>
      </c>
      <c r="G12" s="51">
        <v>0.13151816514832046</v>
      </c>
      <c r="H12" s="51">
        <v>0.03</v>
      </c>
      <c r="I12" s="51">
        <v>4.761579383018047E-2</v>
      </c>
      <c r="J12" s="51">
        <v>7.2916727333738315E-2</v>
      </c>
      <c r="K12" s="51">
        <v>0.03</v>
      </c>
      <c r="L12" s="51">
        <v>0.11341859224297889</v>
      </c>
      <c r="M12" s="51">
        <v>6.3060432488491566E-2</v>
      </c>
      <c r="N12" s="51">
        <v>0.03</v>
      </c>
      <c r="O12" s="51">
        <v>5.9441825091572836E-2</v>
      </c>
      <c r="P12" s="51">
        <v>0.15999957610474541</v>
      </c>
      <c r="Q12" s="51">
        <v>9.718201958917079E-2</v>
      </c>
      <c r="R12" s="51">
        <v>3.814144515978355E-2</v>
      </c>
      <c r="S12" s="1"/>
      <c r="T12" s="80">
        <f>SUM(D12:R12)</f>
        <v>0.99999999999999989</v>
      </c>
      <c r="U12" s="72"/>
      <c r="V12" s="72"/>
      <c r="W12" s="72"/>
      <c r="X12" s="72"/>
      <c r="Y12" s="72"/>
      <c r="Z12" s="72"/>
      <c r="AA12" s="72"/>
      <c r="AB12" s="72"/>
      <c r="AC12" s="72"/>
      <c r="AD12" s="72"/>
      <c r="AE12" s="81" t="e">
        <f>STDEV(AE19:AE159)</f>
        <v>#REF!</v>
      </c>
      <c r="AF12" s="77">
        <f>STDEV(AF19:AF159)</f>
        <v>388.63777513442756</v>
      </c>
      <c r="AG12" s="78" t="e">
        <f>(AE12-AF12)/AF12</f>
        <v>#REF!</v>
      </c>
      <c r="AH12" s="79"/>
      <c r="AS12" t="s">
        <v>44</v>
      </c>
    </row>
    <row r="13" spans="1:46" x14ac:dyDescent="0.2">
      <c r="D13" s="58">
        <v>0.16</v>
      </c>
      <c r="E13" s="58">
        <v>0.16</v>
      </c>
      <c r="F13" s="58">
        <v>0.16</v>
      </c>
      <c r="G13" s="58">
        <v>0.16</v>
      </c>
      <c r="H13" s="58">
        <v>0.16</v>
      </c>
      <c r="I13" s="58">
        <v>0.16</v>
      </c>
      <c r="J13" s="58">
        <v>0.16</v>
      </c>
      <c r="K13" s="58">
        <v>0.16</v>
      </c>
      <c r="L13" s="58">
        <v>0.16</v>
      </c>
      <c r="M13" s="58">
        <v>0.16</v>
      </c>
      <c r="N13" s="58">
        <v>0.16</v>
      </c>
      <c r="O13" s="58">
        <v>0.16</v>
      </c>
      <c r="P13" s="58">
        <v>0.16</v>
      </c>
      <c r="Q13" s="58">
        <v>0.16</v>
      </c>
      <c r="R13" s="58">
        <v>0.16</v>
      </c>
      <c r="S13" s="1"/>
      <c r="T13" s="72"/>
      <c r="U13" s="72"/>
      <c r="V13" s="82"/>
      <c r="W13" s="82"/>
      <c r="X13" s="82"/>
      <c r="Y13" s="82"/>
      <c r="Z13" s="82"/>
      <c r="AA13" s="82"/>
      <c r="AB13" s="82"/>
      <c r="AC13" s="82"/>
      <c r="AD13" s="83"/>
      <c r="AE13" s="84" t="s">
        <v>4</v>
      </c>
      <c r="AF13" s="85"/>
      <c r="AG13" s="86"/>
      <c r="AH13" s="87"/>
      <c r="AS13" t="s">
        <v>6</v>
      </c>
    </row>
    <row r="14" spans="1:46" x14ac:dyDescent="0.2">
      <c r="A14" s="3" t="s">
        <v>9</v>
      </c>
      <c r="B14" s="40" t="e">
        <f>SUM(B16:B159)/(COUNT(B16:B159)/12)</f>
        <v>#REF!</v>
      </c>
      <c r="C14" s="117"/>
      <c r="D14" s="40">
        <f t="shared" ref="D14:R14" si="0">SUM(D16:D159)/(COUNT(D16:D159)/12)</f>
        <v>1570.909090909091</v>
      </c>
      <c r="E14" s="40">
        <f t="shared" si="0"/>
        <v>1570.909090909091</v>
      </c>
      <c r="F14" s="40">
        <f t="shared" si="0"/>
        <v>1570.909090909091</v>
      </c>
      <c r="G14" s="40">
        <f t="shared" si="0"/>
        <v>1570.909090909091</v>
      </c>
      <c r="H14" s="40">
        <f t="shared" si="0"/>
        <v>1570.909090909091</v>
      </c>
      <c r="I14" s="40">
        <f t="shared" si="0"/>
        <v>1570.909090909091</v>
      </c>
      <c r="J14" s="40">
        <f t="shared" si="0"/>
        <v>1570.909090909091</v>
      </c>
      <c r="K14" s="40">
        <f t="shared" si="0"/>
        <v>1570.909090909091</v>
      </c>
      <c r="L14" s="40">
        <f t="shared" si="0"/>
        <v>1570.909090909091</v>
      </c>
      <c r="M14" s="40">
        <f t="shared" si="0"/>
        <v>1570.909090909091</v>
      </c>
      <c r="N14" s="40">
        <f t="shared" si="0"/>
        <v>1570.909090909091</v>
      </c>
      <c r="O14" s="40">
        <f t="shared" si="0"/>
        <v>1570.909090909091</v>
      </c>
      <c r="P14" s="40">
        <f t="shared" si="0"/>
        <v>1570.909090909091</v>
      </c>
      <c r="Q14" s="40">
        <f t="shared" si="0"/>
        <v>1570.909090909091</v>
      </c>
      <c r="R14" s="40">
        <f t="shared" si="0"/>
        <v>1570.909090909091</v>
      </c>
      <c r="S14" s="40"/>
      <c r="T14" s="88">
        <f>SUM(T16:T159)/(COUNT(T16:T159)/12)</f>
        <v>1131.0545454545452</v>
      </c>
      <c r="U14" s="89"/>
      <c r="V14" s="90" t="e">
        <f t="shared" ref="V14:AF14" si="1">AVERAGE(V19:V159)</f>
        <v>#REF!</v>
      </c>
      <c r="W14" s="90" t="e">
        <f t="shared" si="1"/>
        <v>#REF!</v>
      </c>
      <c r="X14" s="90" t="e">
        <f t="shared" si="1"/>
        <v>#REF!</v>
      </c>
      <c r="Y14" s="90" t="e">
        <f t="shared" si="1"/>
        <v>#REF!</v>
      </c>
      <c r="Z14" s="90" t="e">
        <f t="shared" si="1"/>
        <v>#REF!</v>
      </c>
      <c r="AA14" s="90" t="e">
        <f t="shared" si="1"/>
        <v>#REF!</v>
      </c>
      <c r="AB14" s="90" t="e">
        <f t="shared" si="1"/>
        <v>#REF!</v>
      </c>
      <c r="AC14" s="90" t="e">
        <f t="shared" si="1"/>
        <v>#REF!</v>
      </c>
      <c r="AD14" s="89" t="e">
        <f t="shared" si="1"/>
        <v>#REF!</v>
      </c>
      <c r="AE14" s="91" t="e">
        <f t="shared" si="1"/>
        <v>#REF!</v>
      </c>
      <c r="AF14" s="92">
        <f t="shared" si="1"/>
        <v>591.55555555555554</v>
      </c>
      <c r="AG14" s="78" t="e">
        <f>(AE14-AF14)/AF14</f>
        <v>#REF!</v>
      </c>
      <c r="AH14" s="79"/>
      <c r="AK14" s="8"/>
      <c r="AL14" s="30" t="s">
        <v>35</v>
      </c>
      <c r="AN14" s="31"/>
      <c r="AO14" s="31"/>
      <c r="AP14" s="31"/>
      <c r="AQ14" s="8"/>
      <c r="AR14" s="30" t="s">
        <v>36</v>
      </c>
      <c r="AS14" s="11"/>
      <c r="AT14" s="11"/>
    </row>
    <row r="15" spans="1:46" x14ac:dyDescent="0.2">
      <c r="A15" s="3"/>
      <c r="B15" s="40"/>
      <c r="C15" s="119" t="s">
        <v>91</v>
      </c>
      <c r="D15" s="118" t="s">
        <v>4</v>
      </c>
      <c r="E15" s="6"/>
      <c r="F15" s="6"/>
      <c r="G15" s="6"/>
      <c r="H15" s="6"/>
      <c r="I15" s="6"/>
      <c r="J15" s="6"/>
      <c r="K15" s="6"/>
      <c r="L15" s="6"/>
      <c r="M15" s="6"/>
      <c r="N15" s="6"/>
      <c r="O15" s="6"/>
      <c r="P15" s="6"/>
      <c r="Q15" s="6"/>
      <c r="R15" s="6"/>
      <c r="S15" s="6"/>
      <c r="T15" s="89"/>
      <c r="U15" s="89"/>
      <c r="V15" s="93">
        <f>AD3*X3</f>
        <v>550.0005413720279</v>
      </c>
      <c r="W15" s="89"/>
      <c r="X15" s="89"/>
      <c r="Y15" s="89"/>
      <c r="Z15" s="89"/>
      <c r="AA15" s="89"/>
      <c r="AB15" s="89"/>
      <c r="AC15" s="93">
        <f>AC4/(1-Y6)/AC6*2630</f>
        <v>145.52282468434427</v>
      </c>
      <c r="AD15" s="89"/>
      <c r="AE15" s="89"/>
      <c r="AF15" s="89"/>
      <c r="AG15" s="94"/>
      <c r="AH15" s="94"/>
      <c r="AK15" s="7"/>
      <c r="AL15" s="32" t="e">
        <f>(AK17-AL17)/AK17</f>
        <v>#REF!</v>
      </c>
      <c r="AN15" s="31"/>
      <c r="AO15" s="31" t="s">
        <v>42</v>
      </c>
      <c r="AP15" s="31"/>
      <c r="AQ15" s="7"/>
      <c r="AR15" s="32" t="e">
        <f>(AQ17-AR17)/AQ17</f>
        <v>#REF!</v>
      </c>
      <c r="AS15" s="16"/>
      <c r="AT15" s="16"/>
    </row>
    <row r="16" spans="1:46" x14ac:dyDescent="0.2">
      <c r="A16" s="106">
        <v>41214</v>
      </c>
      <c r="B16" s="54" t="e">
        <f>VLOOKUP(MONTH(A16),#REF!,3,FALSE)</f>
        <v>#REF!</v>
      </c>
      <c r="C16" s="105" t="e">
        <f>#REF!</f>
        <v>#REF!</v>
      </c>
      <c r="D16" s="109">
        <v>178</v>
      </c>
      <c r="E16" s="105">
        <f>D16</f>
        <v>178</v>
      </c>
      <c r="F16" s="105">
        <f t="shared" ref="F16:R16" si="2">E16</f>
        <v>178</v>
      </c>
      <c r="G16" s="105">
        <f t="shared" si="2"/>
        <v>178</v>
      </c>
      <c r="H16" s="105">
        <f t="shared" si="2"/>
        <v>178</v>
      </c>
      <c r="I16" s="105">
        <f t="shared" si="2"/>
        <v>178</v>
      </c>
      <c r="J16" s="105">
        <f t="shared" si="2"/>
        <v>178</v>
      </c>
      <c r="K16" s="105">
        <f t="shared" si="2"/>
        <v>178</v>
      </c>
      <c r="L16" s="105">
        <f t="shared" si="2"/>
        <v>178</v>
      </c>
      <c r="M16" s="105">
        <f t="shared" si="2"/>
        <v>178</v>
      </c>
      <c r="N16" s="105">
        <f t="shared" si="2"/>
        <v>178</v>
      </c>
      <c r="O16" s="105">
        <f t="shared" si="2"/>
        <v>178</v>
      </c>
      <c r="P16" s="105">
        <f t="shared" si="2"/>
        <v>178</v>
      </c>
      <c r="Q16" s="105">
        <f t="shared" si="2"/>
        <v>178</v>
      </c>
      <c r="R16" s="105">
        <f t="shared" si="2"/>
        <v>178</v>
      </c>
      <c r="S16" s="111">
        <f t="shared" ref="S16:S24" si="3">$A$5</f>
        <v>0.72</v>
      </c>
      <c r="T16" s="110">
        <f t="shared" ref="T16:T24" si="4">$A$5*SUMPRODUCT($D$12:$R$12,D16:R16)</f>
        <v>128.15999999999997</v>
      </c>
      <c r="U16" s="95"/>
      <c r="V16" s="72"/>
      <c r="W16" s="72"/>
      <c r="X16" s="72"/>
      <c r="Y16" s="72"/>
      <c r="Z16" s="72"/>
      <c r="AA16" s="72"/>
      <c r="AB16" s="72"/>
      <c r="AC16" s="72"/>
      <c r="AD16" s="72"/>
      <c r="AE16" s="72"/>
      <c r="AF16" s="107">
        <v>434</v>
      </c>
      <c r="AG16" s="72"/>
      <c r="AH16" s="72"/>
      <c r="AK16" s="33" t="s">
        <v>37</v>
      </c>
      <c r="AL16" s="34" t="s">
        <v>38</v>
      </c>
      <c r="AM16" s="35" t="s">
        <v>39</v>
      </c>
      <c r="AN16" s="36" t="s">
        <v>40</v>
      </c>
      <c r="AO16" s="37"/>
      <c r="AP16" s="37"/>
      <c r="AQ16" s="33" t="s">
        <v>37</v>
      </c>
      <c r="AR16" s="34" t="s">
        <v>38</v>
      </c>
      <c r="AS16" s="11"/>
      <c r="AT16" s="11"/>
    </row>
    <row r="17" spans="1:46" x14ac:dyDescent="0.2">
      <c r="A17" s="106">
        <v>41244</v>
      </c>
      <c r="B17" s="54" t="e">
        <f>VLOOKUP(MONTH(A17),#REF!,3,FALSE)</f>
        <v>#REF!</v>
      </c>
      <c r="C17" s="105" t="e">
        <f>#REF!</f>
        <v>#REF!</v>
      </c>
      <c r="D17" s="109">
        <v>266</v>
      </c>
      <c r="E17" s="105">
        <f t="shared" ref="E17:R17" si="5">D17</f>
        <v>266</v>
      </c>
      <c r="F17" s="105">
        <f t="shared" si="5"/>
        <v>266</v>
      </c>
      <c r="G17" s="105">
        <f t="shared" si="5"/>
        <v>266</v>
      </c>
      <c r="H17" s="105">
        <f t="shared" si="5"/>
        <v>266</v>
      </c>
      <c r="I17" s="105">
        <f t="shared" si="5"/>
        <v>266</v>
      </c>
      <c r="J17" s="105">
        <f t="shared" si="5"/>
        <v>266</v>
      </c>
      <c r="K17" s="105">
        <f t="shared" si="5"/>
        <v>266</v>
      </c>
      <c r="L17" s="105">
        <f t="shared" si="5"/>
        <v>266</v>
      </c>
      <c r="M17" s="105">
        <f t="shared" si="5"/>
        <v>266</v>
      </c>
      <c r="N17" s="105">
        <f t="shared" si="5"/>
        <v>266</v>
      </c>
      <c r="O17" s="105">
        <f t="shared" si="5"/>
        <v>266</v>
      </c>
      <c r="P17" s="105">
        <f t="shared" si="5"/>
        <v>266</v>
      </c>
      <c r="Q17" s="105">
        <f t="shared" si="5"/>
        <v>266</v>
      </c>
      <c r="R17" s="105">
        <f t="shared" si="5"/>
        <v>266</v>
      </c>
      <c r="S17" s="111">
        <f t="shared" si="3"/>
        <v>0.72</v>
      </c>
      <c r="T17" s="110">
        <f t="shared" si="4"/>
        <v>191.51999999999992</v>
      </c>
      <c r="U17" s="95"/>
      <c r="V17" s="72"/>
      <c r="W17" s="72"/>
      <c r="X17" s="72"/>
      <c r="Y17" s="72"/>
      <c r="Z17" s="72"/>
      <c r="AA17" s="72"/>
      <c r="AB17" s="72"/>
      <c r="AC17" s="72"/>
      <c r="AD17" s="72"/>
      <c r="AE17" s="72"/>
      <c r="AF17" s="107">
        <v>664</v>
      </c>
      <c r="AG17" s="72"/>
      <c r="AH17" s="72"/>
      <c r="AK17" s="6">
        <f>SUM(AK19:AK159)</f>
        <v>2567668.444444444</v>
      </c>
      <c r="AL17" s="6" t="e">
        <f>SUM(AL19:AL159)</f>
        <v>#REF!</v>
      </c>
      <c r="AM17" s="38"/>
      <c r="AN17" s="39" t="e">
        <f>AVERAGE(AN19:AN159)</f>
        <v>#REF!</v>
      </c>
      <c r="AO17" s="6" t="e">
        <f>SUM(AO19:AO159)</f>
        <v>#REF!</v>
      </c>
      <c r="AP17" s="6">
        <f>SUM(AP19:AP159)</f>
        <v>26467.999999999985</v>
      </c>
      <c r="AQ17" s="6">
        <f>SUM(AQ19:AQ159)</f>
        <v>11254557485.925915</v>
      </c>
      <c r="AR17" s="6" t="e">
        <f>SUM(AR19:AR159)</f>
        <v>#REF!</v>
      </c>
      <c r="AS17" s="46" t="e">
        <f>SUM(AS19:AS159)</f>
        <v>#REF!</v>
      </c>
      <c r="AT17" s="46" t="e">
        <f>1-AVERAGE(AT19:AT159)</f>
        <v>#REF!</v>
      </c>
    </row>
    <row r="18" spans="1:46" x14ac:dyDescent="0.2">
      <c r="A18" s="106">
        <v>41275</v>
      </c>
      <c r="B18" s="54" t="e">
        <f>VLOOKUP(MONTH(A18),#REF!,3,FALSE)</f>
        <v>#REF!</v>
      </c>
      <c r="C18" s="105" t="e">
        <f>#REF!</f>
        <v>#REF!</v>
      </c>
      <c r="D18" s="109">
        <v>267</v>
      </c>
      <c r="E18" s="105">
        <f t="shared" ref="E18:R18" si="6">D18</f>
        <v>267</v>
      </c>
      <c r="F18" s="105">
        <f t="shared" si="6"/>
        <v>267</v>
      </c>
      <c r="G18" s="105">
        <f t="shared" si="6"/>
        <v>267</v>
      </c>
      <c r="H18" s="105">
        <f t="shared" si="6"/>
        <v>267</v>
      </c>
      <c r="I18" s="105">
        <f t="shared" si="6"/>
        <v>267</v>
      </c>
      <c r="J18" s="105">
        <f t="shared" si="6"/>
        <v>267</v>
      </c>
      <c r="K18" s="105">
        <f t="shared" si="6"/>
        <v>267</v>
      </c>
      <c r="L18" s="105">
        <f t="shared" si="6"/>
        <v>267</v>
      </c>
      <c r="M18" s="105">
        <f t="shared" si="6"/>
        <v>267</v>
      </c>
      <c r="N18" s="105">
        <f t="shared" si="6"/>
        <v>267</v>
      </c>
      <c r="O18" s="105">
        <f t="shared" si="6"/>
        <v>267</v>
      </c>
      <c r="P18" s="105">
        <f t="shared" si="6"/>
        <v>267</v>
      </c>
      <c r="Q18" s="105">
        <f t="shared" si="6"/>
        <v>267</v>
      </c>
      <c r="R18" s="105">
        <f t="shared" si="6"/>
        <v>267</v>
      </c>
      <c r="S18" s="111">
        <f t="shared" si="3"/>
        <v>0.72</v>
      </c>
      <c r="T18" s="110">
        <f t="shared" si="4"/>
        <v>192.23999999999992</v>
      </c>
      <c r="U18" s="95"/>
      <c r="V18" s="72"/>
      <c r="W18" s="72"/>
      <c r="X18" s="72"/>
      <c r="Y18" s="72"/>
      <c r="Z18" s="72"/>
      <c r="AA18" s="72"/>
      <c r="AB18" s="72"/>
      <c r="AC18" s="72"/>
      <c r="AD18" s="72"/>
      <c r="AE18" s="72"/>
      <c r="AF18" s="107">
        <v>1813</v>
      </c>
      <c r="AG18" s="72"/>
      <c r="AH18" s="72"/>
      <c r="AK18" s="9"/>
      <c r="AL18" s="9"/>
      <c r="AM18" s="9"/>
      <c r="AN18" s="40">
        <v>0</v>
      </c>
      <c r="AO18" s="6">
        <v>0</v>
      </c>
      <c r="AP18" s="6">
        <v>0</v>
      </c>
      <c r="AQ18" s="6"/>
      <c r="AR18" s="6"/>
      <c r="AS18" s="6"/>
      <c r="AT18" s="6"/>
    </row>
    <row r="19" spans="1:46" x14ac:dyDescent="0.2">
      <c r="A19" s="106">
        <v>41306</v>
      </c>
      <c r="B19" s="54" t="e">
        <f>VLOOKUP(MONTH(A19),#REF!,3,FALSE)</f>
        <v>#REF!</v>
      </c>
      <c r="C19" s="105" t="e">
        <f>#REF!</f>
        <v>#REF!</v>
      </c>
      <c r="D19" s="109">
        <v>203</v>
      </c>
      <c r="E19" s="105">
        <f t="shared" ref="E19:R19" si="7">D19</f>
        <v>203</v>
      </c>
      <c r="F19" s="105">
        <f t="shared" si="7"/>
        <v>203</v>
      </c>
      <c r="G19" s="105">
        <f t="shared" si="7"/>
        <v>203</v>
      </c>
      <c r="H19" s="105">
        <f t="shared" si="7"/>
        <v>203</v>
      </c>
      <c r="I19" s="105">
        <f t="shared" si="7"/>
        <v>203</v>
      </c>
      <c r="J19" s="105">
        <f t="shared" si="7"/>
        <v>203</v>
      </c>
      <c r="K19" s="105">
        <f t="shared" si="7"/>
        <v>203</v>
      </c>
      <c r="L19" s="105">
        <f t="shared" si="7"/>
        <v>203</v>
      </c>
      <c r="M19" s="105">
        <f t="shared" si="7"/>
        <v>203</v>
      </c>
      <c r="N19" s="105">
        <f t="shared" si="7"/>
        <v>203</v>
      </c>
      <c r="O19" s="105">
        <f t="shared" si="7"/>
        <v>203</v>
      </c>
      <c r="P19" s="105">
        <f t="shared" si="7"/>
        <v>203</v>
      </c>
      <c r="Q19" s="105">
        <f t="shared" si="7"/>
        <v>203</v>
      </c>
      <c r="R19" s="105">
        <f t="shared" si="7"/>
        <v>203</v>
      </c>
      <c r="S19" s="111">
        <f t="shared" si="3"/>
        <v>0.72</v>
      </c>
      <c r="T19" s="110">
        <f t="shared" si="4"/>
        <v>146.15999999999994</v>
      </c>
      <c r="U19" s="97">
        <f>T16*$I$5+T17*$J$5+T18*$K$5+T19*$L$5+T20*$M$5</f>
        <v>159.76121381533267</v>
      </c>
      <c r="V19" s="93" t="e">
        <f>V15+U19-Z19-AA19-AB19</f>
        <v>#REF!</v>
      </c>
      <c r="W19" s="98">
        <f>V15/$X$3</f>
        <v>0.55000000000000004</v>
      </c>
      <c r="X19" s="93" t="e">
        <f>0.5*(U19-U19*W19^X$4-B19*W19*W10-V15*Y$5*W19^4)</f>
        <v>#REF!</v>
      </c>
      <c r="Y19" s="98" t="e">
        <f>(V15+X19)/X$3</f>
        <v>#REF!</v>
      </c>
      <c r="Z19" s="93" t="e">
        <f>U19*Y19^X$4</f>
        <v>#REF!</v>
      </c>
      <c r="AA19" s="93" t="e">
        <f t="shared" ref="AA19:AA48" si="8">B19*Y19*$W$10</f>
        <v>#REF!</v>
      </c>
      <c r="AB19" s="93" t="e">
        <f>V15*Y$5*Y19^4</f>
        <v>#REF!</v>
      </c>
      <c r="AC19" s="93" t="e">
        <f>AC15-AD19+AB19</f>
        <v>#REF!</v>
      </c>
      <c r="AD19" s="93">
        <f>AC15*(1-Y$6)</f>
        <v>18.87794919503143</v>
      </c>
      <c r="AE19" s="93" t="e">
        <f t="shared" ref="AE19:AE48" si="9">(Z19+AD19)*AC$6/2630</f>
        <v>#REF!</v>
      </c>
      <c r="AF19" s="107">
        <v>1654</v>
      </c>
      <c r="AG19" s="94" t="e">
        <f t="shared" ref="AG19:AG36" si="10">(AE19-AF19)/AF19</f>
        <v>#REF!</v>
      </c>
      <c r="AH19" s="93">
        <f t="shared" ref="AH19:AH36" si="11">AD19*AC$6/2630</f>
        <v>400</v>
      </c>
      <c r="AK19" s="7">
        <f t="shared" ref="AK19:AK36" si="12">(AF19-AF$14)^2</f>
        <v>1128788.197530864</v>
      </c>
      <c r="AL19" s="7" t="e">
        <f t="shared" ref="AL19:AL36" si="13">(AF19-AE19)^2</f>
        <v>#REF!</v>
      </c>
      <c r="AM19" s="41" t="e">
        <f t="shared" ref="AM19:AM36" si="14">IF(AE19&lt;AF19,"-","+")</f>
        <v>#REF!</v>
      </c>
      <c r="AN19" s="42" t="e">
        <f t="shared" ref="AN19:AN36" si="15">IF(AM19="-",AN18-1,AN18+1)</f>
        <v>#REF!</v>
      </c>
      <c r="AO19" s="7" t="e">
        <f>AE19-AE$14</f>
        <v>#REF!</v>
      </c>
      <c r="AP19" s="7">
        <f>AF19-AF$14</f>
        <v>1062.4444444444443</v>
      </c>
      <c r="AQ19" s="7">
        <f t="shared" ref="AQ19:AQ36" si="16">(AP19-AP$17)^2</f>
        <v>645442253.08641899</v>
      </c>
      <c r="AR19" s="7" t="e">
        <f t="shared" ref="AR19:AR36" si="17">(AP19-AO19)^2</f>
        <v>#REF!</v>
      </c>
      <c r="AS19" s="5" t="e">
        <f t="shared" ref="AS19:AS36" si="18">((AE19-AF19)/AF19)^2</f>
        <v>#REF!</v>
      </c>
      <c r="AT19" s="5" t="e">
        <f t="shared" ref="AT19:AT36" si="19">ABS((AE19-AF19)/AF19)</f>
        <v>#REF!</v>
      </c>
    </row>
    <row r="20" spans="1:46" x14ac:dyDescent="0.2">
      <c r="A20" s="106">
        <v>41334</v>
      </c>
      <c r="B20" s="54" t="e">
        <f>VLOOKUP(MONTH(A20),#REF!,3,FALSE)</f>
        <v>#REF!</v>
      </c>
      <c r="C20" s="105" t="e">
        <f>#REF!</f>
        <v>#REF!</v>
      </c>
      <c r="D20" s="109">
        <v>172</v>
      </c>
      <c r="E20" s="105">
        <f t="shared" ref="E20:R20" si="20">D20</f>
        <v>172</v>
      </c>
      <c r="F20" s="105">
        <f t="shared" si="20"/>
        <v>172</v>
      </c>
      <c r="G20" s="105">
        <f t="shared" si="20"/>
        <v>172</v>
      </c>
      <c r="H20" s="105">
        <f t="shared" si="20"/>
        <v>172</v>
      </c>
      <c r="I20" s="105">
        <f t="shared" si="20"/>
        <v>172</v>
      </c>
      <c r="J20" s="105">
        <f t="shared" si="20"/>
        <v>172</v>
      </c>
      <c r="K20" s="105">
        <f t="shared" si="20"/>
        <v>172</v>
      </c>
      <c r="L20" s="105">
        <f t="shared" si="20"/>
        <v>172</v>
      </c>
      <c r="M20" s="105">
        <f t="shared" si="20"/>
        <v>172</v>
      </c>
      <c r="N20" s="105">
        <f t="shared" si="20"/>
        <v>172</v>
      </c>
      <c r="O20" s="105">
        <f t="shared" si="20"/>
        <v>172</v>
      </c>
      <c r="P20" s="105">
        <f t="shared" si="20"/>
        <v>172</v>
      </c>
      <c r="Q20" s="105">
        <f t="shared" si="20"/>
        <v>172</v>
      </c>
      <c r="R20" s="105">
        <f t="shared" si="20"/>
        <v>172</v>
      </c>
      <c r="S20" s="111">
        <f t="shared" si="3"/>
        <v>0.72</v>
      </c>
      <c r="T20" s="110">
        <f t="shared" si="4"/>
        <v>123.83999999999996</v>
      </c>
      <c r="U20" s="97">
        <f t="shared" ref="U20:U48" si="21">T17*$I$5+T18*$J$5+T19*$K$5+T20*$L$5+T21*$M$5</f>
        <v>131.0894570125603</v>
      </c>
      <c r="V20" s="93" t="e">
        <f t="shared" ref="V20:V48" si="22">V19+U20-Z20-AA20-AB20</f>
        <v>#REF!</v>
      </c>
      <c r="W20" s="98" t="e">
        <f>V19/$X$3</f>
        <v>#REF!</v>
      </c>
      <c r="X20" s="93" t="e">
        <f t="shared" ref="X20:X48" si="23">0.5*(U20-U20*W20^X$4-B20*W20*$W$10-V19*Y$5*W20^4)</f>
        <v>#REF!</v>
      </c>
      <c r="Y20" s="98" t="e">
        <f t="shared" ref="Y20:Y48" si="24">(V19+X20)/X$3</f>
        <v>#REF!</v>
      </c>
      <c r="Z20" s="93" t="e">
        <f t="shared" ref="Z20:Z48" si="25">U20*Y20^X$4</f>
        <v>#REF!</v>
      </c>
      <c r="AA20" s="93" t="e">
        <f t="shared" si="8"/>
        <v>#REF!</v>
      </c>
      <c r="AB20" s="93" t="e">
        <f t="shared" ref="AB20:AB48" si="26">V19*Y$5*Y20^4</f>
        <v>#REF!</v>
      </c>
      <c r="AC20" s="93" t="e">
        <f t="shared" ref="AC20:AC48" si="27">AC19-AD20+AB20</f>
        <v>#REF!</v>
      </c>
      <c r="AD20" s="93" t="e">
        <f t="shared" ref="AD20:AD48" si="28">AC19*(1-Y$6)</f>
        <v>#REF!</v>
      </c>
      <c r="AE20" s="93" t="e">
        <f t="shared" si="9"/>
        <v>#REF!</v>
      </c>
      <c r="AF20" s="107">
        <v>1240</v>
      </c>
      <c r="AG20" s="94" t="e">
        <f t="shared" si="10"/>
        <v>#REF!</v>
      </c>
      <c r="AH20" s="93" t="e">
        <f t="shared" si="11"/>
        <v>#REF!</v>
      </c>
      <c r="AK20" s="7">
        <f t="shared" si="12"/>
        <v>420480.19753086421</v>
      </c>
      <c r="AL20" s="7" t="e">
        <f t="shared" si="13"/>
        <v>#REF!</v>
      </c>
      <c r="AM20" s="41" t="e">
        <f t="shared" si="14"/>
        <v>#REF!</v>
      </c>
      <c r="AN20" s="42" t="e">
        <f t="shared" si="15"/>
        <v>#REF!</v>
      </c>
      <c r="AO20" s="7" t="e">
        <f t="shared" ref="AO20:AP35" si="29">AE20-AE$14+AO19</f>
        <v>#REF!</v>
      </c>
      <c r="AP20" s="7">
        <f t="shared" si="29"/>
        <v>1710.8888888888887</v>
      </c>
      <c r="AQ20" s="7">
        <f t="shared" si="16"/>
        <v>612914550.56790042</v>
      </c>
      <c r="AR20" s="7" t="e">
        <f t="shared" si="17"/>
        <v>#REF!</v>
      </c>
      <c r="AS20" s="5" t="e">
        <f t="shared" si="18"/>
        <v>#REF!</v>
      </c>
      <c r="AT20" s="5" t="e">
        <f t="shared" si="19"/>
        <v>#REF!</v>
      </c>
    </row>
    <row r="21" spans="1:46" x14ac:dyDescent="0.2">
      <c r="A21" s="106">
        <v>41365</v>
      </c>
      <c r="B21" s="54" t="e">
        <f>VLOOKUP(MONTH(A21),#REF!,3,FALSE)</f>
        <v>#REF!</v>
      </c>
      <c r="C21" s="105" t="e">
        <f>#REF!</f>
        <v>#REF!</v>
      </c>
      <c r="D21" s="109">
        <v>81</v>
      </c>
      <c r="E21" s="105">
        <f t="shared" ref="E21:R21" si="30">D21</f>
        <v>81</v>
      </c>
      <c r="F21" s="105">
        <f t="shared" si="30"/>
        <v>81</v>
      </c>
      <c r="G21" s="105">
        <f t="shared" si="30"/>
        <v>81</v>
      </c>
      <c r="H21" s="105">
        <f t="shared" si="30"/>
        <v>81</v>
      </c>
      <c r="I21" s="105">
        <f t="shared" si="30"/>
        <v>81</v>
      </c>
      <c r="J21" s="105">
        <f t="shared" si="30"/>
        <v>81</v>
      </c>
      <c r="K21" s="105">
        <f t="shared" si="30"/>
        <v>81</v>
      </c>
      <c r="L21" s="105">
        <f t="shared" si="30"/>
        <v>81</v>
      </c>
      <c r="M21" s="105">
        <f t="shared" si="30"/>
        <v>81</v>
      </c>
      <c r="N21" s="105">
        <f t="shared" si="30"/>
        <v>81</v>
      </c>
      <c r="O21" s="105">
        <f t="shared" si="30"/>
        <v>81</v>
      </c>
      <c r="P21" s="105">
        <f t="shared" si="30"/>
        <v>81</v>
      </c>
      <c r="Q21" s="105">
        <f t="shared" si="30"/>
        <v>81</v>
      </c>
      <c r="R21" s="105">
        <f t="shared" si="30"/>
        <v>81</v>
      </c>
      <c r="S21" s="111">
        <f t="shared" si="3"/>
        <v>0.72</v>
      </c>
      <c r="T21" s="110">
        <f t="shared" si="4"/>
        <v>58.319999999999979</v>
      </c>
      <c r="U21" s="97">
        <f t="shared" si="21"/>
        <v>79.299484902359396</v>
      </c>
      <c r="V21" s="93" t="e">
        <f t="shared" si="22"/>
        <v>#REF!</v>
      </c>
      <c r="W21" s="98" t="e">
        <f t="shared" ref="W21:W48" si="31">V20/$X$3</f>
        <v>#REF!</v>
      </c>
      <c r="X21" s="93" t="e">
        <f t="shared" si="23"/>
        <v>#REF!</v>
      </c>
      <c r="Y21" s="98" t="e">
        <f t="shared" si="24"/>
        <v>#REF!</v>
      </c>
      <c r="Z21" s="93" t="e">
        <f t="shared" si="25"/>
        <v>#REF!</v>
      </c>
      <c r="AA21" s="93" t="e">
        <f t="shared" si="8"/>
        <v>#REF!</v>
      </c>
      <c r="AB21" s="93" t="e">
        <f t="shared" si="26"/>
        <v>#REF!</v>
      </c>
      <c r="AC21" s="93" t="e">
        <f t="shared" si="27"/>
        <v>#REF!</v>
      </c>
      <c r="AD21" s="93" t="e">
        <f t="shared" si="28"/>
        <v>#REF!</v>
      </c>
      <c r="AE21" s="93" t="e">
        <f t="shared" si="9"/>
        <v>#REF!</v>
      </c>
      <c r="AF21" s="107">
        <v>996</v>
      </c>
      <c r="AG21" s="94" t="e">
        <f>(AE21-AF21)/AF21</f>
        <v>#REF!</v>
      </c>
      <c r="AH21" s="93" t="e">
        <f t="shared" si="11"/>
        <v>#REF!</v>
      </c>
      <c r="AK21" s="7">
        <f t="shared" si="12"/>
        <v>163575.30864197531</v>
      </c>
      <c r="AL21" s="7" t="e">
        <f t="shared" si="13"/>
        <v>#REF!</v>
      </c>
      <c r="AM21" s="41" t="e">
        <f t="shared" si="14"/>
        <v>#REF!</v>
      </c>
      <c r="AN21" s="42" t="e">
        <f t="shared" si="15"/>
        <v>#REF!</v>
      </c>
      <c r="AO21" s="7" t="e">
        <f t="shared" si="29"/>
        <v>#REF!</v>
      </c>
      <c r="AP21" s="7">
        <f t="shared" si="29"/>
        <v>2115.333333333333</v>
      </c>
      <c r="AQ21" s="7">
        <f t="shared" si="16"/>
        <v>593052373.77777708</v>
      </c>
      <c r="AR21" s="7" t="e">
        <f t="shared" si="17"/>
        <v>#REF!</v>
      </c>
      <c r="AS21" s="5" t="e">
        <f t="shared" si="18"/>
        <v>#REF!</v>
      </c>
      <c r="AT21" s="5" t="e">
        <f t="shared" si="19"/>
        <v>#REF!</v>
      </c>
    </row>
    <row r="22" spans="1:46" x14ac:dyDescent="0.2">
      <c r="A22" s="106">
        <v>41395</v>
      </c>
      <c r="B22" s="54" t="e">
        <f>VLOOKUP(MONTH(A22),#REF!,3,FALSE)</f>
        <v>#REF!</v>
      </c>
      <c r="C22" s="105" t="e">
        <f>#REF!</f>
        <v>#REF!</v>
      </c>
      <c r="D22" s="109">
        <v>59</v>
      </c>
      <c r="E22" s="105">
        <f t="shared" ref="E22:R22" si="32">D22</f>
        <v>59</v>
      </c>
      <c r="F22" s="105">
        <f t="shared" si="32"/>
        <v>59</v>
      </c>
      <c r="G22" s="105">
        <f t="shared" si="32"/>
        <v>59</v>
      </c>
      <c r="H22" s="105">
        <f t="shared" si="32"/>
        <v>59</v>
      </c>
      <c r="I22" s="105">
        <f t="shared" si="32"/>
        <v>59</v>
      </c>
      <c r="J22" s="105">
        <f t="shared" si="32"/>
        <v>59</v>
      </c>
      <c r="K22" s="105">
        <f t="shared" si="32"/>
        <v>59</v>
      </c>
      <c r="L22" s="105">
        <f t="shared" si="32"/>
        <v>59</v>
      </c>
      <c r="M22" s="105">
        <f t="shared" si="32"/>
        <v>59</v>
      </c>
      <c r="N22" s="105">
        <f t="shared" si="32"/>
        <v>59</v>
      </c>
      <c r="O22" s="105">
        <f t="shared" si="32"/>
        <v>59</v>
      </c>
      <c r="P22" s="105">
        <f t="shared" si="32"/>
        <v>59</v>
      </c>
      <c r="Q22" s="105">
        <f t="shared" si="32"/>
        <v>59</v>
      </c>
      <c r="R22" s="105">
        <f t="shared" si="32"/>
        <v>59</v>
      </c>
      <c r="S22" s="111">
        <f t="shared" si="3"/>
        <v>0.72</v>
      </c>
      <c r="T22" s="110">
        <f t="shared" si="4"/>
        <v>42.48</v>
      </c>
      <c r="U22" s="97">
        <f t="shared" si="21"/>
        <v>49.442151823266549</v>
      </c>
      <c r="V22" s="93" t="e">
        <f t="shared" si="22"/>
        <v>#REF!</v>
      </c>
      <c r="W22" s="98" t="e">
        <f t="shared" si="31"/>
        <v>#REF!</v>
      </c>
      <c r="X22" s="93" t="e">
        <f t="shared" si="23"/>
        <v>#REF!</v>
      </c>
      <c r="Y22" s="98" t="e">
        <f t="shared" si="24"/>
        <v>#REF!</v>
      </c>
      <c r="Z22" s="93" t="e">
        <f t="shared" si="25"/>
        <v>#REF!</v>
      </c>
      <c r="AA22" s="93" t="e">
        <f t="shared" si="8"/>
        <v>#REF!</v>
      </c>
      <c r="AB22" s="93" t="e">
        <f t="shared" si="26"/>
        <v>#REF!</v>
      </c>
      <c r="AC22" s="93" t="e">
        <f t="shared" si="27"/>
        <v>#REF!</v>
      </c>
      <c r="AD22" s="93" t="e">
        <f t="shared" si="28"/>
        <v>#REF!</v>
      </c>
      <c r="AE22" s="93" t="e">
        <f t="shared" si="9"/>
        <v>#REF!</v>
      </c>
      <c r="AF22" s="107">
        <v>620</v>
      </c>
      <c r="AG22" s="94" t="e">
        <f t="shared" si="10"/>
        <v>#REF!</v>
      </c>
      <c r="AH22" s="93" t="e">
        <f t="shared" si="11"/>
        <v>#REF!</v>
      </c>
      <c r="AK22" s="7">
        <f t="shared" si="12"/>
        <v>809.08641975308717</v>
      </c>
      <c r="AL22" s="7" t="e">
        <f t="shared" si="13"/>
        <v>#REF!</v>
      </c>
      <c r="AM22" s="41" t="e">
        <f t="shared" si="14"/>
        <v>#REF!</v>
      </c>
      <c r="AN22" s="42" t="e">
        <f t="shared" si="15"/>
        <v>#REF!</v>
      </c>
      <c r="AO22" s="7" t="e">
        <f t="shared" si="29"/>
        <v>#REF!</v>
      </c>
      <c r="AP22" s="7">
        <f t="shared" si="29"/>
        <v>2143.7777777777774</v>
      </c>
      <c r="AQ22" s="7">
        <f t="shared" si="16"/>
        <v>591667786.71604872</v>
      </c>
      <c r="AR22" s="7" t="e">
        <f t="shared" si="17"/>
        <v>#REF!</v>
      </c>
      <c r="AS22" s="5" t="e">
        <f t="shared" si="18"/>
        <v>#REF!</v>
      </c>
      <c r="AT22" s="5" t="e">
        <f t="shared" si="19"/>
        <v>#REF!</v>
      </c>
    </row>
    <row r="23" spans="1:46" x14ac:dyDescent="0.2">
      <c r="A23" s="106">
        <v>41426</v>
      </c>
      <c r="B23" s="54" t="e">
        <f>VLOOKUP(MONTH(A23),#REF!,3,FALSE)</f>
        <v>#REF!</v>
      </c>
      <c r="C23" s="105" t="e">
        <f>#REF!</f>
        <v>#REF!</v>
      </c>
      <c r="D23" s="109">
        <v>31</v>
      </c>
      <c r="E23" s="105">
        <f t="shared" ref="E23:R23" si="33">D23</f>
        <v>31</v>
      </c>
      <c r="F23" s="105">
        <f t="shared" si="33"/>
        <v>31</v>
      </c>
      <c r="G23" s="105">
        <f t="shared" si="33"/>
        <v>31</v>
      </c>
      <c r="H23" s="105">
        <f t="shared" si="33"/>
        <v>31</v>
      </c>
      <c r="I23" s="105">
        <f t="shared" si="33"/>
        <v>31</v>
      </c>
      <c r="J23" s="105">
        <f t="shared" si="33"/>
        <v>31</v>
      </c>
      <c r="K23" s="105">
        <f t="shared" si="33"/>
        <v>31</v>
      </c>
      <c r="L23" s="105">
        <f t="shared" si="33"/>
        <v>31</v>
      </c>
      <c r="M23" s="105">
        <f t="shared" si="33"/>
        <v>31</v>
      </c>
      <c r="N23" s="105">
        <f t="shared" si="33"/>
        <v>31</v>
      </c>
      <c r="O23" s="105">
        <f t="shared" si="33"/>
        <v>31</v>
      </c>
      <c r="P23" s="105">
        <f t="shared" si="33"/>
        <v>31</v>
      </c>
      <c r="Q23" s="105">
        <f t="shared" si="33"/>
        <v>31</v>
      </c>
      <c r="R23" s="105">
        <f t="shared" si="33"/>
        <v>31</v>
      </c>
      <c r="S23" s="111">
        <f t="shared" si="3"/>
        <v>0.72</v>
      </c>
      <c r="T23" s="110">
        <f t="shared" si="4"/>
        <v>22.319999999999997</v>
      </c>
      <c r="U23" s="97">
        <f t="shared" si="21"/>
        <v>29.317181191990841</v>
      </c>
      <c r="V23" s="93" t="e">
        <f t="shared" si="22"/>
        <v>#REF!</v>
      </c>
      <c r="W23" s="98" t="e">
        <f t="shared" si="31"/>
        <v>#REF!</v>
      </c>
      <c r="X23" s="93" t="e">
        <f t="shared" si="23"/>
        <v>#REF!</v>
      </c>
      <c r="Y23" s="98" t="e">
        <f t="shared" si="24"/>
        <v>#REF!</v>
      </c>
      <c r="Z23" s="93" t="e">
        <f t="shared" si="25"/>
        <v>#REF!</v>
      </c>
      <c r="AA23" s="93" t="e">
        <f t="shared" si="8"/>
        <v>#REF!</v>
      </c>
      <c r="AB23" s="93" t="e">
        <f t="shared" si="26"/>
        <v>#REF!</v>
      </c>
      <c r="AC23" s="93" t="e">
        <f t="shared" si="27"/>
        <v>#REF!</v>
      </c>
      <c r="AD23" s="93" t="e">
        <f t="shared" si="28"/>
        <v>#REF!</v>
      </c>
      <c r="AE23" s="93" t="e">
        <f t="shared" si="9"/>
        <v>#REF!</v>
      </c>
      <c r="AF23" s="107">
        <v>647</v>
      </c>
      <c r="AG23" s="94" t="e">
        <f t="shared" si="10"/>
        <v>#REF!</v>
      </c>
      <c r="AH23" s="93" t="e">
        <f t="shared" si="11"/>
        <v>#REF!</v>
      </c>
      <c r="AK23" s="7">
        <f t="shared" si="12"/>
        <v>3074.0864197530877</v>
      </c>
      <c r="AL23" s="7" t="e">
        <f t="shared" si="13"/>
        <v>#REF!</v>
      </c>
      <c r="AM23" s="41" t="e">
        <f t="shared" si="14"/>
        <v>#REF!</v>
      </c>
      <c r="AN23" s="42" t="e">
        <f t="shared" si="15"/>
        <v>#REF!</v>
      </c>
      <c r="AO23" s="7" t="e">
        <f t="shared" si="29"/>
        <v>#REF!</v>
      </c>
      <c r="AP23" s="7">
        <f t="shared" si="29"/>
        <v>2199.2222222222217</v>
      </c>
      <c r="AQ23" s="7">
        <f t="shared" si="16"/>
        <v>588973574.82715976</v>
      </c>
      <c r="AR23" s="7" t="e">
        <f t="shared" si="17"/>
        <v>#REF!</v>
      </c>
      <c r="AS23" s="5" t="e">
        <f t="shared" si="18"/>
        <v>#REF!</v>
      </c>
      <c r="AT23" s="5" t="e">
        <f t="shared" si="19"/>
        <v>#REF!</v>
      </c>
    </row>
    <row r="24" spans="1:46" x14ac:dyDescent="0.2">
      <c r="A24" s="106">
        <v>41456</v>
      </c>
      <c r="B24" s="54" t="e">
        <f>VLOOKUP(MONTH(A24),#REF!,3,FALSE)</f>
        <v>#REF!</v>
      </c>
      <c r="C24" s="105" t="e">
        <f>#REF!</f>
        <v>#REF!</v>
      </c>
      <c r="D24" s="109">
        <v>27</v>
      </c>
      <c r="E24" s="105">
        <f t="shared" ref="E24:R24" si="34">D24</f>
        <v>27</v>
      </c>
      <c r="F24" s="105">
        <f t="shared" si="34"/>
        <v>27</v>
      </c>
      <c r="G24" s="105">
        <f t="shared" si="34"/>
        <v>27</v>
      </c>
      <c r="H24" s="105">
        <f t="shared" si="34"/>
        <v>27</v>
      </c>
      <c r="I24" s="105">
        <f t="shared" si="34"/>
        <v>27</v>
      </c>
      <c r="J24" s="105">
        <f t="shared" si="34"/>
        <v>27</v>
      </c>
      <c r="K24" s="105">
        <f t="shared" si="34"/>
        <v>27</v>
      </c>
      <c r="L24" s="105">
        <f t="shared" si="34"/>
        <v>27</v>
      </c>
      <c r="M24" s="105">
        <f t="shared" si="34"/>
        <v>27</v>
      </c>
      <c r="N24" s="105">
        <f t="shared" si="34"/>
        <v>27</v>
      </c>
      <c r="O24" s="105">
        <f t="shared" si="34"/>
        <v>27</v>
      </c>
      <c r="P24" s="105">
        <f t="shared" si="34"/>
        <v>27</v>
      </c>
      <c r="Q24" s="105">
        <f t="shared" si="34"/>
        <v>27</v>
      </c>
      <c r="R24" s="105">
        <f t="shared" si="34"/>
        <v>27</v>
      </c>
      <c r="S24" s="111">
        <f t="shared" si="3"/>
        <v>0.72</v>
      </c>
      <c r="T24" s="110">
        <f t="shared" si="4"/>
        <v>19.439999999999994</v>
      </c>
      <c r="U24" s="97">
        <f t="shared" si="21"/>
        <v>21.151736379918756</v>
      </c>
      <c r="V24" s="93" t="e">
        <f t="shared" si="22"/>
        <v>#REF!</v>
      </c>
      <c r="W24" s="98" t="e">
        <f t="shared" si="31"/>
        <v>#REF!</v>
      </c>
      <c r="X24" s="93" t="e">
        <f t="shared" si="23"/>
        <v>#REF!</v>
      </c>
      <c r="Y24" s="98" t="e">
        <f t="shared" si="24"/>
        <v>#REF!</v>
      </c>
      <c r="Z24" s="93" t="e">
        <f t="shared" si="25"/>
        <v>#REF!</v>
      </c>
      <c r="AA24" s="93" t="e">
        <f t="shared" si="8"/>
        <v>#REF!</v>
      </c>
      <c r="AB24" s="93" t="e">
        <f t="shared" si="26"/>
        <v>#REF!</v>
      </c>
      <c r="AC24" s="93" t="e">
        <f t="shared" si="27"/>
        <v>#REF!</v>
      </c>
      <c r="AD24" s="93" t="e">
        <f t="shared" si="28"/>
        <v>#REF!</v>
      </c>
      <c r="AE24" s="93" t="e">
        <f t="shared" si="9"/>
        <v>#REF!</v>
      </c>
      <c r="AF24" s="107">
        <v>499</v>
      </c>
      <c r="AG24" s="94" t="e">
        <f t="shared" si="10"/>
        <v>#REF!</v>
      </c>
      <c r="AH24" s="93" t="e">
        <f t="shared" si="11"/>
        <v>#REF!</v>
      </c>
      <c r="AK24" s="7">
        <f t="shared" si="12"/>
        <v>8566.530864197528</v>
      </c>
      <c r="AL24" s="7" t="e">
        <f t="shared" si="13"/>
        <v>#REF!</v>
      </c>
      <c r="AM24" s="41" t="e">
        <f t="shared" si="14"/>
        <v>#REF!</v>
      </c>
      <c r="AN24" s="42" t="e">
        <f t="shared" si="15"/>
        <v>#REF!</v>
      </c>
      <c r="AO24" s="7" t="e">
        <f t="shared" si="29"/>
        <v>#REF!</v>
      </c>
      <c r="AP24" s="7">
        <f t="shared" si="29"/>
        <v>2106.6666666666661</v>
      </c>
      <c r="AQ24" s="7">
        <f t="shared" si="16"/>
        <v>593474561.77777719</v>
      </c>
      <c r="AR24" s="7" t="e">
        <f t="shared" si="17"/>
        <v>#REF!</v>
      </c>
      <c r="AS24" s="5" t="e">
        <f t="shared" si="18"/>
        <v>#REF!</v>
      </c>
      <c r="AT24" s="5" t="e">
        <f t="shared" si="19"/>
        <v>#REF!</v>
      </c>
    </row>
    <row r="25" spans="1:46" x14ac:dyDescent="0.2">
      <c r="A25" s="106">
        <v>41487</v>
      </c>
      <c r="B25" s="54" t="e">
        <f>VLOOKUP(MONTH(A25),#REF!,3,FALSE)</f>
        <v>#REF!</v>
      </c>
      <c r="C25" s="105" t="e">
        <f>#REF!</f>
        <v>#REF!</v>
      </c>
      <c r="D25" s="109">
        <v>29</v>
      </c>
      <c r="E25" s="105">
        <f t="shared" ref="E25:R25" si="35">D25</f>
        <v>29</v>
      </c>
      <c r="F25" s="105">
        <f t="shared" si="35"/>
        <v>29</v>
      </c>
      <c r="G25" s="105">
        <f t="shared" si="35"/>
        <v>29</v>
      </c>
      <c r="H25" s="105">
        <f t="shared" si="35"/>
        <v>29</v>
      </c>
      <c r="I25" s="105">
        <f t="shared" si="35"/>
        <v>29</v>
      </c>
      <c r="J25" s="105">
        <f t="shared" si="35"/>
        <v>29</v>
      </c>
      <c r="K25" s="105">
        <f t="shared" si="35"/>
        <v>29</v>
      </c>
      <c r="L25" s="105">
        <f t="shared" si="35"/>
        <v>29</v>
      </c>
      <c r="M25" s="105">
        <f t="shared" si="35"/>
        <v>29</v>
      </c>
      <c r="N25" s="105">
        <f t="shared" si="35"/>
        <v>29</v>
      </c>
      <c r="O25" s="105">
        <f t="shared" si="35"/>
        <v>29</v>
      </c>
      <c r="P25" s="105">
        <f t="shared" si="35"/>
        <v>29</v>
      </c>
      <c r="Q25" s="105">
        <f t="shared" si="35"/>
        <v>29</v>
      </c>
      <c r="R25" s="105">
        <f t="shared" si="35"/>
        <v>29</v>
      </c>
      <c r="S25" s="111">
        <f t="shared" ref="S25:S36" si="36">$A$5</f>
        <v>0.72</v>
      </c>
      <c r="T25" s="110">
        <f t="shared" ref="T25:T36" si="37">$A$5*SUMPRODUCT($D$12:$R$12,D25:R25)</f>
        <v>20.879999999999995</v>
      </c>
      <c r="U25" s="97">
        <f t="shared" si="21"/>
        <v>21.171978235378997</v>
      </c>
      <c r="V25" s="93" t="e">
        <f t="shared" si="22"/>
        <v>#REF!</v>
      </c>
      <c r="W25" s="98" t="e">
        <f t="shared" si="31"/>
        <v>#REF!</v>
      </c>
      <c r="X25" s="93" t="e">
        <f t="shared" si="23"/>
        <v>#REF!</v>
      </c>
      <c r="Y25" s="98" t="e">
        <f t="shared" si="24"/>
        <v>#REF!</v>
      </c>
      <c r="Z25" s="93" t="e">
        <f t="shared" si="25"/>
        <v>#REF!</v>
      </c>
      <c r="AA25" s="93" t="e">
        <f t="shared" si="8"/>
        <v>#REF!</v>
      </c>
      <c r="AB25" s="93" t="e">
        <f t="shared" si="26"/>
        <v>#REF!</v>
      </c>
      <c r="AC25" s="93" t="e">
        <f t="shared" si="27"/>
        <v>#REF!</v>
      </c>
      <c r="AD25" s="93" t="e">
        <f t="shared" si="28"/>
        <v>#REF!</v>
      </c>
      <c r="AE25" s="93" t="e">
        <f t="shared" si="9"/>
        <v>#REF!</v>
      </c>
      <c r="AF25" s="107">
        <v>363</v>
      </c>
      <c r="AG25" s="94" t="e">
        <f t="shared" si="10"/>
        <v>#REF!</v>
      </c>
      <c r="AH25" s="93" t="e">
        <f t="shared" si="11"/>
        <v>#REF!</v>
      </c>
      <c r="AK25" s="7">
        <f t="shared" si="12"/>
        <v>52237.641975308637</v>
      </c>
      <c r="AL25" s="7" t="e">
        <f t="shared" si="13"/>
        <v>#REF!</v>
      </c>
      <c r="AM25" s="41" t="e">
        <f t="shared" si="14"/>
        <v>#REF!</v>
      </c>
      <c r="AN25" s="42" t="e">
        <f t="shared" si="15"/>
        <v>#REF!</v>
      </c>
      <c r="AO25" s="7" t="e">
        <f t="shared" si="29"/>
        <v>#REF!</v>
      </c>
      <c r="AP25" s="7">
        <f t="shared" si="29"/>
        <v>1878.1111111111104</v>
      </c>
      <c r="AQ25" s="7">
        <f t="shared" si="16"/>
        <v>604662635.56790066</v>
      </c>
      <c r="AR25" s="7" t="e">
        <f t="shared" si="17"/>
        <v>#REF!</v>
      </c>
      <c r="AS25" s="5" t="e">
        <f t="shared" si="18"/>
        <v>#REF!</v>
      </c>
      <c r="AT25" s="5" t="e">
        <f t="shared" si="19"/>
        <v>#REF!</v>
      </c>
    </row>
    <row r="26" spans="1:46" x14ac:dyDescent="0.2">
      <c r="A26" s="106">
        <v>41518</v>
      </c>
      <c r="B26" s="54" t="e">
        <f>VLOOKUP(MONTH(A26),#REF!,3,FALSE)</f>
        <v>#REF!</v>
      </c>
      <c r="C26" s="105" t="e">
        <f>#REF!</f>
        <v>#REF!</v>
      </c>
      <c r="D26" s="109">
        <v>67</v>
      </c>
      <c r="E26" s="105">
        <f t="shared" ref="E26:R26" si="38">D26</f>
        <v>67</v>
      </c>
      <c r="F26" s="105">
        <f t="shared" si="38"/>
        <v>67</v>
      </c>
      <c r="G26" s="105">
        <f t="shared" si="38"/>
        <v>67</v>
      </c>
      <c r="H26" s="105">
        <f t="shared" si="38"/>
        <v>67</v>
      </c>
      <c r="I26" s="105">
        <f t="shared" si="38"/>
        <v>67</v>
      </c>
      <c r="J26" s="105">
        <f t="shared" si="38"/>
        <v>67</v>
      </c>
      <c r="K26" s="105">
        <f t="shared" si="38"/>
        <v>67</v>
      </c>
      <c r="L26" s="105">
        <f t="shared" si="38"/>
        <v>67</v>
      </c>
      <c r="M26" s="105">
        <f t="shared" si="38"/>
        <v>67</v>
      </c>
      <c r="N26" s="105">
        <f t="shared" si="38"/>
        <v>67</v>
      </c>
      <c r="O26" s="105">
        <f t="shared" si="38"/>
        <v>67</v>
      </c>
      <c r="P26" s="105">
        <f t="shared" si="38"/>
        <v>67</v>
      </c>
      <c r="Q26" s="105">
        <f t="shared" si="38"/>
        <v>67</v>
      </c>
      <c r="R26" s="105">
        <f t="shared" si="38"/>
        <v>67</v>
      </c>
      <c r="S26" s="111">
        <f t="shared" si="36"/>
        <v>0.72</v>
      </c>
      <c r="T26" s="110">
        <f t="shared" si="37"/>
        <v>48.239999999999981</v>
      </c>
      <c r="U26" s="97">
        <f t="shared" si="21"/>
        <v>40.761639556388324</v>
      </c>
      <c r="V26" s="93" t="e">
        <f t="shared" si="22"/>
        <v>#REF!</v>
      </c>
      <c r="W26" s="98" t="e">
        <f t="shared" si="31"/>
        <v>#REF!</v>
      </c>
      <c r="X26" s="93" t="e">
        <f t="shared" si="23"/>
        <v>#REF!</v>
      </c>
      <c r="Y26" s="98" t="e">
        <f t="shared" si="24"/>
        <v>#REF!</v>
      </c>
      <c r="Z26" s="93" t="e">
        <f t="shared" si="25"/>
        <v>#REF!</v>
      </c>
      <c r="AA26" s="93" t="e">
        <f t="shared" si="8"/>
        <v>#REF!</v>
      </c>
      <c r="AB26" s="93" t="e">
        <f t="shared" si="26"/>
        <v>#REF!</v>
      </c>
      <c r="AC26" s="93" t="e">
        <f t="shared" si="27"/>
        <v>#REF!</v>
      </c>
      <c r="AD26" s="93" t="e">
        <f t="shared" si="28"/>
        <v>#REF!</v>
      </c>
      <c r="AE26" s="93" t="e">
        <f t="shared" si="9"/>
        <v>#REF!</v>
      </c>
      <c r="AF26" s="107">
        <v>351</v>
      </c>
      <c r="AG26" s="94" t="e">
        <f t="shared" si="10"/>
        <v>#REF!</v>
      </c>
      <c r="AH26" s="93" t="e">
        <f t="shared" si="11"/>
        <v>#REF!</v>
      </c>
      <c r="AK26" s="7">
        <f t="shared" si="12"/>
        <v>57866.975308641966</v>
      </c>
      <c r="AL26" s="7" t="e">
        <f t="shared" si="13"/>
        <v>#REF!</v>
      </c>
      <c r="AM26" s="41" t="e">
        <f t="shared" si="14"/>
        <v>#REF!</v>
      </c>
      <c r="AN26" s="42" t="e">
        <f t="shared" si="15"/>
        <v>#REF!</v>
      </c>
      <c r="AO26" s="7" t="e">
        <f t="shared" si="29"/>
        <v>#REF!</v>
      </c>
      <c r="AP26" s="7">
        <f t="shared" si="29"/>
        <v>1637.5555555555547</v>
      </c>
      <c r="AQ26" s="7">
        <f t="shared" si="16"/>
        <v>616550971.30864131</v>
      </c>
      <c r="AR26" s="7" t="e">
        <f t="shared" si="17"/>
        <v>#REF!</v>
      </c>
      <c r="AS26" s="5" t="e">
        <f t="shared" si="18"/>
        <v>#REF!</v>
      </c>
      <c r="AT26" s="5" t="e">
        <f t="shared" si="19"/>
        <v>#REF!</v>
      </c>
    </row>
    <row r="27" spans="1:46" x14ac:dyDescent="0.2">
      <c r="A27" s="106">
        <v>41548</v>
      </c>
      <c r="B27" s="54" t="e">
        <f>VLOOKUP(MONTH(A27),#REF!,3,FALSE)</f>
        <v>#REF!</v>
      </c>
      <c r="C27" s="105" t="e">
        <f>#REF!</f>
        <v>#REF!</v>
      </c>
      <c r="D27" s="109">
        <v>138</v>
      </c>
      <c r="E27" s="105">
        <f t="shared" ref="E27:R27" si="39">D27</f>
        <v>138</v>
      </c>
      <c r="F27" s="105">
        <f t="shared" si="39"/>
        <v>138</v>
      </c>
      <c r="G27" s="105">
        <f t="shared" si="39"/>
        <v>138</v>
      </c>
      <c r="H27" s="105">
        <f t="shared" si="39"/>
        <v>138</v>
      </c>
      <c r="I27" s="105">
        <f t="shared" si="39"/>
        <v>138</v>
      </c>
      <c r="J27" s="105">
        <f t="shared" si="39"/>
        <v>138</v>
      </c>
      <c r="K27" s="105">
        <f t="shared" si="39"/>
        <v>138</v>
      </c>
      <c r="L27" s="105">
        <f t="shared" si="39"/>
        <v>138</v>
      </c>
      <c r="M27" s="105">
        <f t="shared" si="39"/>
        <v>138</v>
      </c>
      <c r="N27" s="105">
        <f t="shared" si="39"/>
        <v>138</v>
      </c>
      <c r="O27" s="105">
        <f t="shared" si="39"/>
        <v>138</v>
      </c>
      <c r="P27" s="105">
        <f t="shared" si="39"/>
        <v>138</v>
      </c>
      <c r="Q27" s="105">
        <f t="shared" si="39"/>
        <v>138</v>
      </c>
      <c r="R27" s="105">
        <f t="shared" si="39"/>
        <v>138</v>
      </c>
      <c r="S27" s="111">
        <f t="shared" si="36"/>
        <v>0.72</v>
      </c>
      <c r="T27" s="110">
        <f t="shared" si="37"/>
        <v>99.359999999999971</v>
      </c>
      <c r="U27" s="97">
        <f t="shared" si="21"/>
        <v>83.086017622130271</v>
      </c>
      <c r="V27" s="93" t="e">
        <f t="shared" si="22"/>
        <v>#REF!</v>
      </c>
      <c r="W27" s="98" t="e">
        <f t="shared" si="31"/>
        <v>#REF!</v>
      </c>
      <c r="X27" s="93" t="e">
        <f t="shared" si="23"/>
        <v>#REF!</v>
      </c>
      <c r="Y27" s="98" t="e">
        <f t="shared" si="24"/>
        <v>#REF!</v>
      </c>
      <c r="Z27" s="93" t="e">
        <f t="shared" si="25"/>
        <v>#REF!</v>
      </c>
      <c r="AA27" s="93" t="e">
        <f t="shared" si="8"/>
        <v>#REF!</v>
      </c>
      <c r="AB27" s="93" t="e">
        <f t="shared" si="26"/>
        <v>#REF!</v>
      </c>
      <c r="AC27" s="93" t="e">
        <f t="shared" si="27"/>
        <v>#REF!</v>
      </c>
      <c r="AD27" s="93" t="e">
        <f t="shared" si="28"/>
        <v>#REF!</v>
      </c>
      <c r="AE27" s="93" t="e">
        <f t="shared" si="9"/>
        <v>#REF!</v>
      </c>
      <c r="AF27" s="107">
        <v>505</v>
      </c>
      <c r="AG27" s="94" t="e">
        <f t="shared" si="10"/>
        <v>#REF!</v>
      </c>
      <c r="AH27" s="93" t="e">
        <f t="shared" si="11"/>
        <v>#REF!</v>
      </c>
      <c r="AK27" s="7">
        <f t="shared" si="12"/>
        <v>7491.8641975308619</v>
      </c>
      <c r="AL27" s="7" t="e">
        <f t="shared" si="13"/>
        <v>#REF!</v>
      </c>
      <c r="AM27" s="41" t="e">
        <f t="shared" si="14"/>
        <v>#REF!</v>
      </c>
      <c r="AN27" s="42" t="e">
        <f t="shared" si="15"/>
        <v>#REF!</v>
      </c>
      <c r="AO27" s="7" t="e">
        <f t="shared" si="29"/>
        <v>#REF!</v>
      </c>
      <c r="AP27" s="7">
        <f t="shared" si="29"/>
        <v>1550.9999999999991</v>
      </c>
      <c r="AQ27" s="7">
        <f t="shared" si="16"/>
        <v>620856888.99999928</v>
      </c>
      <c r="AR27" s="7" t="e">
        <f t="shared" si="17"/>
        <v>#REF!</v>
      </c>
      <c r="AS27" s="5" t="e">
        <f t="shared" si="18"/>
        <v>#REF!</v>
      </c>
      <c r="AT27" s="5" t="e">
        <f t="shared" si="19"/>
        <v>#REF!</v>
      </c>
    </row>
    <row r="28" spans="1:46" x14ac:dyDescent="0.2">
      <c r="A28" s="106">
        <v>41579</v>
      </c>
      <c r="B28" s="54" t="e">
        <f>VLOOKUP(MONTH(A28),#REF!,3,FALSE)</f>
        <v>#REF!</v>
      </c>
      <c r="C28" s="105" t="e">
        <f>#REF!</f>
        <v>#REF!</v>
      </c>
      <c r="D28" s="109">
        <v>178</v>
      </c>
      <c r="E28" s="105">
        <f t="shared" ref="E28:R28" si="40">D28</f>
        <v>178</v>
      </c>
      <c r="F28" s="105">
        <f t="shared" si="40"/>
        <v>178</v>
      </c>
      <c r="G28" s="105">
        <f t="shared" si="40"/>
        <v>178</v>
      </c>
      <c r="H28" s="105">
        <f t="shared" si="40"/>
        <v>178</v>
      </c>
      <c r="I28" s="105">
        <f t="shared" si="40"/>
        <v>178</v>
      </c>
      <c r="J28" s="105">
        <f t="shared" si="40"/>
        <v>178</v>
      </c>
      <c r="K28" s="105">
        <f t="shared" si="40"/>
        <v>178</v>
      </c>
      <c r="L28" s="105">
        <f t="shared" si="40"/>
        <v>178</v>
      </c>
      <c r="M28" s="105">
        <f t="shared" si="40"/>
        <v>178</v>
      </c>
      <c r="N28" s="105">
        <f t="shared" si="40"/>
        <v>178</v>
      </c>
      <c r="O28" s="105">
        <f t="shared" si="40"/>
        <v>178</v>
      </c>
      <c r="P28" s="105">
        <f t="shared" si="40"/>
        <v>178</v>
      </c>
      <c r="Q28" s="105">
        <f t="shared" si="40"/>
        <v>178</v>
      </c>
      <c r="R28" s="105">
        <f t="shared" si="40"/>
        <v>178</v>
      </c>
      <c r="S28" s="111">
        <f t="shared" si="36"/>
        <v>0.72</v>
      </c>
      <c r="T28" s="110">
        <f t="shared" si="37"/>
        <v>128.15999999999997</v>
      </c>
      <c r="U28" s="97">
        <f t="shared" si="21"/>
        <v>118.57573449365631</v>
      </c>
      <c r="V28" s="93" t="e">
        <f t="shared" si="22"/>
        <v>#REF!</v>
      </c>
      <c r="W28" s="98" t="e">
        <f t="shared" si="31"/>
        <v>#REF!</v>
      </c>
      <c r="X28" s="93" t="e">
        <f t="shared" si="23"/>
        <v>#REF!</v>
      </c>
      <c r="Y28" s="98" t="e">
        <f t="shared" si="24"/>
        <v>#REF!</v>
      </c>
      <c r="Z28" s="93" t="e">
        <f t="shared" si="25"/>
        <v>#REF!</v>
      </c>
      <c r="AA28" s="93" t="e">
        <f t="shared" si="8"/>
        <v>#REF!</v>
      </c>
      <c r="AB28" s="93" t="e">
        <f t="shared" si="26"/>
        <v>#REF!</v>
      </c>
      <c r="AC28" s="93" t="e">
        <f t="shared" si="27"/>
        <v>#REF!</v>
      </c>
      <c r="AD28" s="93" t="e">
        <f t="shared" si="28"/>
        <v>#REF!</v>
      </c>
      <c r="AE28" s="93" t="e">
        <f t="shared" si="9"/>
        <v>#REF!</v>
      </c>
      <c r="AF28" s="107">
        <v>559</v>
      </c>
      <c r="AG28" s="94" t="e">
        <f>(AE28-AF28)/AF28</f>
        <v>#REF!</v>
      </c>
      <c r="AH28" s="93" t="e">
        <f t="shared" si="11"/>
        <v>#REF!</v>
      </c>
      <c r="AK28" s="7">
        <f t="shared" si="12"/>
        <v>1059.8641975308633</v>
      </c>
      <c r="AL28" s="7" t="e">
        <f t="shared" si="13"/>
        <v>#REF!</v>
      </c>
      <c r="AM28" s="41" t="e">
        <f t="shared" si="14"/>
        <v>#REF!</v>
      </c>
      <c r="AN28" s="42" t="e">
        <f t="shared" si="15"/>
        <v>#REF!</v>
      </c>
      <c r="AO28" s="7" t="e">
        <f t="shared" si="29"/>
        <v>#REF!</v>
      </c>
      <c r="AP28" s="7">
        <f t="shared" si="29"/>
        <v>1518.4444444444434</v>
      </c>
      <c r="AQ28" s="7">
        <f t="shared" si="16"/>
        <v>622480322.41975236</v>
      </c>
      <c r="AR28" s="7" t="e">
        <f t="shared" si="17"/>
        <v>#REF!</v>
      </c>
      <c r="AS28" s="5" t="e">
        <f t="shared" si="18"/>
        <v>#REF!</v>
      </c>
      <c r="AT28" s="5" t="e">
        <f t="shared" si="19"/>
        <v>#REF!</v>
      </c>
    </row>
    <row r="29" spans="1:46" x14ac:dyDescent="0.2">
      <c r="A29" s="106">
        <v>41609</v>
      </c>
      <c r="B29" s="54" t="e">
        <f>VLOOKUP(MONTH(A29),#REF!,3,FALSE)</f>
        <v>#REF!</v>
      </c>
      <c r="C29" s="105" t="e">
        <f>#REF!</f>
        <v>#REF!</v>
      </c>
      <c r="D29" s="109">
        <v>266</v>
      </c>
      <c r="E29" s="105">
        <f t="shared" ref="E29:R29" si="41">D29</f>
        <v>266</v>
      </c>
      <c r="F29" s="105">
        <f t="shared" si="41"/>
        <v>266</v>
      </c>
      <c r="G29" s="105">
        <f t="shared" si="41"/>
        <v>266</v>
      </c>
      <c r="H29" s="105">
        <f t="shared" si="41"/>
        <v>266</v>
      </c>
      <c r="I29" s="105">
        <f t="shared" si="41"/>
        <v>266</v>
      </c>
      <c r="J29" s="105">
        <f t="shared" si="41"/>
        <v>266</v>
      </c>
      <c r="K29" s="105">
        <f t="shared" si="41"/>
        <v>266</v>
      </c>
      <c r="L29" s="105">
        <f t="shared" si="41"/>
        <v>266</v>
      </c>
      <c r="M29" s="105">
        <f t="shared" si="41"/>
        <v>266</v>
      </c>
      <c r="N29" s="105">
        <f t="shared" si="41"/>
        <v>266</v>
      </c>
      <c r="O29" s="105">
        <f t="shared" si="41"/>
        <v>266</v>
      </c>
      <c r="P29" s="105">
        <f t="shared" si="41"/>
        <v>266</v>
      </c>
      <c r="Q29" s="105">
        <f t="shared" si="41"/>
        <v>266</v>
      </c>
      <c r="R29" s="105">
        <f t="shared" si="41"/>
        <v>266</v>
      </c>
      <c r="S29" s="111">
        <f t="shared" si="36"/>
        <v>0.72</v>
      </c>
      <c r="T29" s="110">
        <f t="shared" si="37"/>
        <v>191.51999999999992</v>
      </c>
      <c r="U29" s="97">
        <f t="shared" si="21"/>
        <v>170.64522590105906</v>
      </c>
      <c r="V29" s="93" t="e">
        <f t="shared" si="22"/>
        <v>#REF!</v>
      </c>
      <c r="W29" s="98" t="e">
        <f t="shared" si="31"/>
        <v>#REF!</v>
      </c>
      <c r="X29" s="93" t="e">
        <f t="shared" si="23"/>
        <v>#REF!</v>
      </c>
      <c r="Y29" s="98" t="e">
        <f t="shared" si="24"/>
        <v>#REF!</v>
      </c>
      <c r="Z29" s="93" t="e">
        <f t="shared" si="25"/>
        <v>#REF!</v>
      </c>
      <c r="AA29" s="93" t="e">
        <f t="shared" si="8"/>
        <v>#REF!</v>
      </c>
      <c r="AB29" s="93" t="e">
        <f t="shared" si="26"/>
        <v>#REF!</v>
      </c>
      <c r="AC29" s="93" t="e">
        <f t="shared" si="27"/>
        <v>#REF!</v>
      </c>
      <c r="AD29" s="93" t="e">
        <f t="shared" si="28"/>
        <v>#REF!</v>
      </c>
      <c r="AE29" s="93" t="e">
        <f t="shared" si="9"/>
        <v>#REF!</v>
      </c>
      <c r="AF29" s="107">
        <v>979</v>
      </c>
      <c r="AG29" s="94" t="e">
        <f t="shared" si="10"/>
        <v>#REF!</v>
      </c>
      <c r="AH29" s="93" t="e">
        <f t="shared" si="11"/>
        <v>#REF!</v>
      </c>
      <c r="AK29" s="7">
        <f t="shared" si="12"/>
        <v>150113.19753086421</v>
      </c>
      <c r="AL29" s="7" t="e">
        <f t="shared" si="13"/>
        <v>#REF!</v>
      </c>
      <c r="AM29" s="41" t="e">
        <f t="shared" si="14"/>
        <v>#REF!</v>
      </c>
      <c r="AN29" s="42" t="e">
        <f t="shared" si="15"/>
        <v>#REF!</v>
      </c>
      <c r="AO29" s="7" t="e">
        <f t="shared" si="29"/>
        <v>#REF!</v>
      </c>
      <c r="AP29" s="7">
        <f t="shared" si="29"/>
        <v>1905.8888888888878</v>
      </c>
      <c r="AQ29" s="7">
        <f t="shared" si="16"/>
        <v>603297302.23456728</v>
      </c>
      <c r="AR29" s="7" t="e">
        <f t="shared" si="17"/>
        <v>#REF!</v>
      </c>
      <c r="AS29" s="5" t="e">
        <f t="shared" si="18"/>
        <v>#REF!</v>
      </c>
      <c r="AT29" s="5" t="e">
        <f t="shared" si="19"/>
        <v>#REF!</v>
      </c>
    </row>
    <row r="30" spans="1:46" x14ac:dyDescent="0.2">
      <c r="A30" s="106">
        <v>41640</v>
      </c>
      <c r="B30" s="54" t="e">
        <f>VLOOKUP(MONTH(A30),#REF!,3,FALSE)</f>
        <v>#REF!</v>
      </c>
      <c r="C30" s="105" t="e">
        <f>#REF!</f>
        <v>#REF!</v>
      </c>
      <c r="D30" s="109">
        <v>267</v>
      </c>
      <c r="E30" s="105">
        <f t="shared" ref="E30:R30" si="42">D30</f>
        <v>267</v>
      </c>
      <c r="F30" s="105">
        <f t="shared" si="42"/>
        <v>267</v>
      </c>
      <c r="G30" s="105">
        <f t="shared" si="42"/>
        <v>267</v>
      </c>
      <c r="H30" s="105">
        <f t="shared" si="42"/>
        <v>267</v>
      </c>
      <c r="I30" s="105">
        <f t="shared" si="42"/>
        <v>267</v>
      </c>
      <c r="J30" s="105">
        <f t="shared" si="42"/>
        <v>267</v>
      </c>
      <c r="K30" s="105">
        <f t="shared" si="42"/>
        <v>267</v>
      </c>
      <c r="L30" s="105">
        <f t="shared" si="42"/>
        <v>267</v>
      </c>
      <c r="M30" s="105">
        <f t="shared" si="42"/>
        <v>267</v>
      </c>
      <c r="N30" s="105">
        <f t="shared" si="42"/>
        <v>267</v>
      </c>
      <c r="O30" s="105">
        <f t="shared" si="42"/>
        <v>267</v>
      </c>
      <c r="P30" s="105">
        <f t="shared" si="42"/>
        <v>267</v>
      </c>
      <c r="Q30" s="105">
        <f t="shared" si="42"/>
        <v>267</v>
      </c>
      <c r="R30" s="105">
        <f t="shared" si="42"/>
        <v>267</v>
      </c>
      <c r="S30" s="111">
        <f t="shared" si="36"/>
        <v>0.72</v>
      </c>
      <c r="T30" s="110">
        <f t="shared" si="37"/>
        <v>192.23999999999992</v>
      </c>
      <c r="U30" s="97">
        <f t="shared" si="21"/>
        <v>188.65817906595871</v>
      </c>
      <c r="V30" s="93" t="e">
        <f t="shared" si="22"/>
        <v>#REF!</v>
      </c>
      <c r="W30" s="98" t="e">
        <f t="shared" si="31"/>
        <v>#REF!</v>
      </c>
      <c r="X30" s="93" t="e">
        <f t="shared" si="23"/>
        <v>#REF!</v>
      </c>
      <c r="Y30" s="98" t="e">
        <f t="shared" si="24"/>
        <v>#REF!</v>
      </c>
      <c r="Z30" s="93" t="e">
        <f t="shared" si="25"/>
        <v>#REF!</v>
      </c>
      <c r="AA30" s="93" t="e">
        <f t="shared" si="8"/>
        <v>#REF!</v>
      </c>
      <c r="AB30" s="93" t="e">
        <f t="shared" si="26"/>
        <v>#REF!</v>
      </c>
      <c r="AC30" s="93" t="e">
        <f t="shared" si="27"/>
        <v>#REF!</v>
      </c>
      <c r="AD30" s="93" t="e">
        <f t="shared" si="28"/>
        <v>#REF!</v>
      </c>
      <c r="AE30" s="93" t="e">
        <f t="shared" si="9"/>
        <v>#REF!</v>
      </c>
      <c r="AF30" s="107">
        <v>496</v>
      </c>
      <c r="AG30" s="94" t="e">
        <f t="shared" si="10"/>
        <v>#REF!</v>
      </c>
      <c r="AH30" s="93" t="e">
        <f t="shared" si="11"/>
        <v>#REF!</v>
      </c>
      <c r="AK30" s="7">
        <f t="shared" si="12"/>
        <v>9130.8641975308619</v>
      </c>
      <c r="AL30" s="7" t="e">
        <f t="shared" si="13"/>
        <v>#REF!</v>
      </c>
      <c r="AM30" s="41" t="e">
        <f t="shared" si="14"/>
        <v>#REF!</v>
      </c>
      <c r="AN30" s="42" t="e">
        <f t="shared" si="15"/>
        <v>#REF!</v>
      </c>
      <c r="AO30" s="7" t="e">
        <f t="shared" si="29"/>
        <v>#REF!</v>
      </c>
      <c r="AP30" s="7">
        <f t="shared" si="29"/>
        <v>1810.3333333333321</v>
      </c>
      <c r="AQ30" s="7">
        <f t="shared" si="16"/>
        <v>608000525.44444382</v>
      </c>
      <c r="AR30" s="7" t="e">
        <f t="shared" si="17"/>
        <v>#REF!</v>
      </c>
      <c r="AS30" s="5" t="e">
        <f t="shared" si="18"/>
        <v>#REF!</v>
      </c>
      <c r="AT30" s="5" t="e">
        <f t="shared" si="19"/>
        <v>#REF!</v>
      </c>
    </row>
    <row r="31" spans="1:46" x14ac:dyDescent="0.2">
      <c r="A31" s="106">
        <v>41671</v>
      </c>
      <c r="B31" s="54" t="e">
        <f>VLOOKUP(MONTH(A31),#REF!,3,FALSE)</f>
        <v>#REF!</v>
      </c>
      <c r="C31" s="105" t="e">
        <f>#REF!</f>
        <v>#REF!</v>
      </c>
      <c r="D31" s="109">
        <v>203</v>
      </c>
      <c r="E31" s="105">
        <f t="shared" ref="E31:R31" si="43">D31</f>
        <v>203</v>
      </c>
      <c r="F31" s="105">
        <f t="shared" si="43"/>
        <v>203</v>
      </c>
      <c r="G31" s="105">
        <f t="shared" si="43"/>
        <v>203</v>
      </c>
      <c r="H31" s="105">
        <f t="shared" si="43"/>
        <v>203</v>
      </c>
      <c r="I31" s="105">
        <f t="shared" si="43"/>
        <v>203</v>
      </c>
      <c r="J31" s="105">
        <f t="shared" si="43"/>
        <v>203</v>
      </c>
      <c r="K31" s="105">
        <f t="shared" si="43"/>
        <v>203</v>
      </c>
      <c r="L31" s="105">
        <f t="shared" si="43"/>
        <v>203</v>
      </c>
      <c r="M31" s="105">
        <f t="shared" si="43"/>
        <v>203</v>
      </c>
      <c r="N31" s="105">
        <f t="shared" si="43"/>
        <v>203</v>
      </c>
      <c r="O31" s="105">
        <f t="shared" si="43"/>
        <v>203</v>
      </c>
      <c r="P31" s="105">
        <f t="shared" si="43"/>
        <v>203</v>
      </c>
      <c r="Q31" s="105">
        <f t="shared" si="43"/>
        <v>203</v>
      </c>
      <c r="R31" s="105">
        <f t="shared" si="43"/>
        <v>203</v>
      </c>
      <c r="S31" s="111">
        <f t="shared" si="36"/>
        <v>0.72</v>
      </c>
      <c r="T31" s="110">
        <f t="shared" si="37"/>
        <v>146.15999999999994</v>
      </c>
      <c r="U31" s="97">
        <f t="shared" si="21"/>
        <v>159.76121381533267</v>
      </c>
      <c r="V31" s="93" t="e">
        <f t="shared" si="22"/>
        <v>#REF!</v>
      </c>
      <c r="W31" s="98" t="e">
        <f t="shared" si="31"/>
        <v>#REF!</v>
      </c>
      <c r="X31" s="93" t="e">
        <f t="shared" si="23"/>
        <v>#REF!</v>
      </c>
      <c r="Y31" s="98" t="e">
        <f t="shared" si="24"/>
        <v>#REF!</v>
      </c>
      <c r="Z31" s="93" t="e">
        <f t="shared" si="25"/>
        <v>#REF!</v>
      </c>
      <c r="AA31" s="93" t="e">
        <f t="shared" si="8"/>
        <v>#REF!</v>
      </c>
      <c r="AB31" s="93" t="e">
        <f t="shared" si="26"/>
        <v>#REF!</v>
      </c>
      <c r="AC31" s="93" t="e">
        <f t="shared" si="27"/>
        <v>#REF!</v>
      </c>
      <c r="AD31" s="93" t="e">
        <f t="shared" si="28"/>
        <v>#REF!</v>
      </c>
      <c r="AE31" s="93" t="e">
        <f t="shared" si="9"/>
        <v>#REF!</v>
      </c>
      <c r="AF31" s="107">
        <v>273</v>
      </c>
      <c r="AG31" s="94" t="e">
        <f t="shared" si="10"/>
        <v>#REF!</v>
      </c>
      <c r="AH31" s="93" t="e">
        <f t="shared" si="11"/>
        <v>#REF!</v>
      </c>
      <c r="AK31" s="7">
        <f t="shared" si="12"/>
        <v>101477.64197530864</v>
      </c>
      <c r="AL31" s="7" t="e">
        <f t="shared" si="13"/>
        <v>#REF!</v>
      </c>
      <c r="AM31" s="41" t="e">
        <f t="shared" si="14"/>
        <v>#REF!</v>
      </c>
      <c r="AN31" s="42" t="e">
        <f t="shared" si="15"/>
        <v>#REF!</v>
      </c>
      <c r="AO31" s="7" t="e">
        <f t="shared" si="29"/>
        <v>#REF!</v>
      </c>
      <c r="AP31" s="7">
        <f t="shared" si="29"/>
        <v>1491.7777777777765</v>
      </c>
      <c r="AQ31" s="7">
        <f t="shared" si="16"/>
        <v>623811676.49382651</v>
      </c>
      <c r="AR31" s="7" t="e">
        <f t="shared" si="17"/>
        <v>#REF!</v>
      </c>
      <c r="AS31" s="5" t="e">
        <f t="shared" si="18"/>
        <v>#REF!</v>
      </c>
      <c r="AT31" s="5" t="e">
        <f t="shared" si="19"/>
        <v>#REF!</v>
      </c>
    </row>
    <row r="32" spans="1:46" x14ac:dyDescent="0.2">
      <c r="A32" s="106">
        <v>41699</v>
      </c>
      <c r="B32" s="54" t="e">
        <f>VLOOKUP(MONTH(A32),#REF!,3,FALSE)</f>
        <v>#REF!</v>
      </c>
      <c r="C32" s="105" t="e">
        <f>#REF!</f>
        <v>#REF!</v>
      </c>
      <c r="D32" s="109">
        <v>172</v>
      </c>
      <c r="E32" s="105">
        <f t="shared" ref="E32:R32" si="44">D32</f>
        <v>172</v>
      </c>
      <c r="F32" s="105">
        <f t="shared" si="44"/>
        <v>172</v>
      </c>
      <c r="G32" s="105">
        <f t="shared" si="44"/>
        <v>172</v>
      </c>
      <c r="H32" s="105">
        <f t="shared" si="44"/>
        <v>172</v>
      </c>
      <c r="I32" s="105">
        <f t="shared" si="44"/>
        <v>172</v>
      </c>
      <c r="J32" s="105">
        <f t="shared" si="44"/>
        <v>172</v>
      </c>
      <c r="K32" s="105">
        <f t="shared" si="44"/>
        <v>172</v>
      </c>
      <c r="L32" s="105">
        <f t="shared" si="44"/>
        <v>172</v>
      </c>
      <c r="M32" s="105">
        <f t="shared" si="44"/>
        <v>172</v>
      </c>
      <c r="N32" s="105">
        <f t="shared" si="44"/>
        <v>172</v>
      </c>
      <c r="O32" s="105">
        <f t="shared" si="44"/>
        <v>172</v>
      </c>
      <c r="P32" s="105">
        <f t="shared" si="44"/>
        <v>172</v>
      </c>
      <c r="Q32" s="105">
        <f t="shared" si="44"/>
        <v>172</v>
      </c>
      <c r="R32" s="105">
        <f t="shared" si="44"/>
        <v>172</v>
      </c>
      <c r="S32" s="111">
        <f t="shared" si="36"/>
        <v>0.72</v>
      </c>
      <c r="T32" s="110">
        <f t="shared" si="37"/>
        <v>123.83999999999996</v>
      </c>
      <c r="U32" s="97">
        <f t="shared" si="21"/>
        <v>131.0894570125603</v>
      </c>
      <c r="V32" s="93" t="e">
        <f t="shared" si="22"/>
        <v>#REF!</v>
      </c>
      <c r="W32" s="98" t="e">
        <f t="shared" si="31"/>
        <v>#REF!</v>
      </c>
      <c r="X32" s="93" t="e">
        <f t="shared" si="23"/>
        <v>#REF!</v>
      </c>
      <c r="Y32" s="98" t="e">
        <f t="shared" si="24"/>
        <v>#REF!</v>
      </c>
      <c r="Z32" s="93" t="e">
        <f t="shared" si="25"/>
        <v>#REF!</v>
      </c>
      <c r="AA32" s="93" t="e">
        <f t="shared" si="8"/>
        <v>#REF!</v>
      </c>
      <c r="AB32" s="93" t="e">
        <f t="shared" si="26"/>
        <v>#REF!</v>
      </c>
      <c r="AC32" s="93" t="e">
        <f t="shared" si="27"/>
        <v>#REF!</v>
      </c>
      <c r="AD32" s="93" t="e">
        <f t="shared" si="28"/>
        <v>#REF!</v>
      </c>
      <c r="AE32" s="93" t="e">
        <f t="shared" si="9"/>
        <v>#REF!</v>
      </c>
      <c r="AF32" s="107">
        <v>335</v>
      </c>
      <c r="AG32" s="94" t="e">
        <f t="shared" si="10"/>
        <v>#REF!</v>
      </c>
      <c r="AH32" s="93" t="e">
        <f t="shared" si="11"/>
        <v>#REF!</v>
      </c>
      <c r="AK32" s="7">
        <f t="shared" si="12"/>
        <v>65820.753086419747</v>
      </c>
      <c r="AL32" s="7" t="e">
        <f t="shared" si="13"/>
        <v>#REF!</v>
      </c>
      <c r="AM32" s="41" t="e">
        <f t="shared" si="14"/>
        <v>#REF!</v>
      </c>
      <c r="AN32" s="42" t="e">
        <f t="shared" si="15"/>
        <v>#REF!</v>
      </c>
      <c r="AO32" s="7" t="e">
        <f t="shared" si="29"/>
        <v>#REF!</v>
      </c>
      <c r="AP32" s="7">
        <f t="shared" si="29"/>
        <v>1235.2222222222208</v>
      </c>
      <c r="AQ32" s="7">
        <f t="shared" si="16"/>
        <v>636693074.38271546</v>
      </c>
      <c r="AR32" s="7" t="e">
        <f t="shared" si="17"/>
        <v>#REF!</v>
      </c>
      <c r="AS32" s="5" t="e">
        <f t="shared" si="18"/>
        <v>#REF!</v>
      </c>
      <c r="AT32" s="5" t="e">
        <f t="shared" si="19"/>
        <v>#REF!</v>
      </c>
    </row>
    <row r="33" spans="1:46" x14ac:dyDescent="0.2">
      <c r="A33" s="106">
        <v>41730</v>
      </c>
      <c r="B33" s="54" t="e">
        <f>VLOOKUP(MONTH(A33),#REF!,3,FALSE)</f>
        <v>#REF!</v>
      </c>
      <c r="C33" s="105" t="e">
        <f>#REF!</f>
        <v>#REF!</v>
      </c>
      <c r="D33" s="109">
        <v>81</v>
      </c>
      <c r="E33" s="105">
        <f t="shared" ref="E33:R33" si="45">D33</f>
        <v>81</v>
      </c>
      <c r="F33" s="105">
        <f t="shared" si="45"/>
        <v>81</v>
      </c>
      <c r="G33" s="105">
        <f t="shared" si="45"/>
        <v>81</v>
      </c>
      <c r="H33" s="105">
        <f t="shared" si="45"/>
        <v>81</v>
      </c>
      <c r="I33" s="105">
        <f t="shared" si="45"/>
        <v>81</v>
      </c>
      <c r="J33" s="105">
        <f t="shared" si="45"/>
        <v>81</v>
      </c>
      <c r="K33" s="105">
        <f t="shared" si="45"/>
        <v>81</v>
      </c>
      <c r="L33" s="105">
        <f t="shared" si="45"/>
        <v>81</v>
      </c>
      <c r="M33" s="105">
        <f t="shared" si="45"/>
        <v>81</v>
      </c>
      <c r="N33" s="105">
        <f t="shared" si="45"/>
        <v>81</v>
      </c>
      <c r="O33" s="105">
        <f t="shared" si="45"/>
        <v>81</v>
      </c>
      <c r="P33" s="105">
        <f t="shared" si="45"/>
        <v>81</v>
      </c>
      <c r="Q33" s="105">
        <f t="shared" si="45"/>
        <v>81</v>
      </c>
      <c r="R33" s="105">
        <f t="shared" si="45"/>
        <v>81</v>
      </c>
      <c r="S33" s="111">
        <f t="shared" si="36"/>
        <v>0.72</v>
      </c>
      <c r="T33" s="110">
        <f t="shared" si="37"/>
        <v>58.319999999999979</v>
      </c>
      <c r="U33" s="97">
        <f t="shared" si="21"/>
        <v>79.299484902359396</v>
      </c>
      <c r="V33" s="93" t="e">
        <f t="shared" si="22"/>
        <v>#REF!</v>
      </c>
      <c r="W33" s="98" t="e">
        <f t="shared" si="31"/>
        <v>#REF!</v>
      </c>
      <c r="X33" s="93" t="e">
        <f t="shared" si="23"/>
        <v>#REF!</v>
      </c>
      <c r="Y33" s="98" t="e">
        <f t="shared" si="24"/>
        <v>#REF!</v>
      </c>
      <c r="Z33" s="93" t="e">
        <f t="shared" si="25"/>
        <v>#REF!</v>
      </c>
      <c r="AA33" s="93" t="e">
        <f t="shared" si="8"/>
        <v>#REF!</v>
      </c>
      <c r="AB33" s="93" t="e">
        <f t="shared" si="26"/>
        <v>#REF!</v>
      </c>
      <c r="AC33" s="93" t="e">
        <f t="shared" si="27"/>
        <v>#REF!</v>
      </c>
      <c r="AD33" s="93" t="e">
        <f t="shared" si="28"/>
        <v>#REF!</v>
      </c>
      <c r="AE33" s="93" t="e">
        <f t="shared" si="9"/>
        <v>#REF!</v>
      </c>
      <c r="AF33" s="107">
        <v>389</v>
      </c>
      <c r="AG33" s="94" t="e">
        <f t="shared" si="10"/>
        <v>#REF!</v>
      </c>
      <c r="AH33" s="93" t="e">
        <f t="shared" si="11"/>
        <v>#REF!</v>
      </c>
      <c r="AK33" s="7">
        <f t="shared" si="12"/>
        <v>41028.753086419747</v>
      </c>
      <c r="AL33" s="7" t="e">
        <f t="shared" si="13"/>
        <v>#REF!</v>
      </c>
      <c r="AM33" s="41" t="e">
        <f t="shared" si="14"/>
        <v>#REF!</v>
      </c>
      <c r="AN33" s="42" t="e">
        <f t="shared" si="15"/>
        <v>#REF!</v>
      </c>
      <c r="AO33" s="7" t="e">
        <f t="shared" si="29"/>
        <v>#REF!</v>
      </c>
      <c r="AP33" s="7">
        <f t="shared" si="29"/>
        <v>1032.6666666666652</v>
      </c>
      <c r="AQ33" s="7">
        <f t="shared" si="16"/>
        <v>646956181.77777719</v>
      </c>
      <c r="AR33" s="7" t="e">
        <f t="shared" si="17"/>
        <v>#REF!</v>
      </c>
      <c r="AS33" s="5" t="e">
        <f t="shared" si="18"/>
        <v>#REF!</v>
      </c>
      <c r="AT33" s="5" t="e">
        <f t="shared" si="19"/>
        <v>#REF!</v>
      </c>
    </row>
    <row r="34" spans="1:46" x14ac:dyDescent="0.2">
      <c r="A34" s="106">
        <v>41760</v>
      </c>
      <c r="B34" s="54" t="e">
        <f>VLOOKUP(MONTH(A34),#REF!,3,FALSE)</f>
        <v>#REF!</v>
      </c>
      <c r="C34" s="105" t="e">
        <f>#REF!</f>
        <v>#REF!</v>
      </c>
      <c r="D34" s="109">
        <v>59</v>
      </c>
      <c r="E34" s="105">
        <f t="shared" ref="E34:R34" si="46">D34</f>
        <v>59</v>
      </c>
      <c r="F34" s="105">
        <f t="shared" si="46"/>
        <v>59</v>
      </c>
      <c r="G34" s="105">
        <f t="shared" si="46"/>
        <v>59</v>
      </c>
      <c r="H34" s="105">
        <f t="shared" si="46"/>
        <v>59</v>
      </c>
      <c r="I34" s="105">
        <f t="shared" si="46"/>
        <v>59</v>
      </c>
      <c r="J34" s="105">
        <f t="shared" si="46"/>
        <v>59</v>
      </c>
      <c r="K34" s="105">
        <f t="shared" si="46"/>
        <v>59</v>
      </c>
      <c r="L34" s="105">
        <f t="shared" si="46"/>
        <v>59</v>
      </c>
      <c r="M34" s="105">
        <f t="shared" si="46"/>
        <v>59</v>
      </c>
      <c r="N34" s="105">
        <f t="shared" si="46"/>
        <v>59</v>
      </c>
      <c r="O34" s="105">
        <f t="shared" si="46"/>
        <v>59</v>
      </c>
      <c r="P34" s="105">
        <f t="shared" si="46"/>
        <v>59</v>
      </c>
      <c r="Q34" s="105">
        <f t="shared" si="46"/>
        <v>59</v>
      </c>
      <c r="R34" s="105">
        <f t="shared" si="46"/>
        <v>59</v>
      </c>
      <c r="S34" s="111">
        <f t="shared" si="36"/>
        <v>0.72</v>
      </c>
      <c r="T34" s="110">
        <f t="shared" si="37"/>
        <v>42.48</v>
      </c>
      <c r="U34" s="97">
        <f t="shared" si="21"/>
        <v>49.442151823266549</v>
      </c>
      <c r="V34" s="93" t="e">
        <f t="shared" si="22"/>
        <v>#REF!</v>
      </c>
      <c r="W34" s="98" t="e">
        <f t="shared" si="31"/>
        <v>#REF!</v>
      </c>
      <c r="X34" s="93" t="e">
        <f t="shared" si="23"/>
        <v>#REF!</v>
      </c>
      <c r="Y34" s="98" t="e">
        <f t="shared" si="24"/>
        <v>#REF!</v>
      </c>
      <c r="Z34" s="93" t="e">
        <f t="shared" si="25"/>
        <v>#REF!</v>
      </c>
      <c r="AA34" s="93" t="e">
        <f t="shared" si="8"/>
        <v>#REF!</v>
      </c>
      <c r="AB34" s="93" t="e">
        <f t="shared" si="26"/>
        <v>#REF!</v>
      </c>
      <c r="AC34" s="93" t="e">
        <f t="shared" si="27"/>
        <v>#REF!</v>
      </c>
      <c r="AD34" s="93" t="e">
        <f t="shared" si="28"/>
        <v>#REF!</v>
      </c>
      <c r="AE34" s="93" t="e">
        <f t="shared" si="9"/>
        <v>#REF!</v>
      </c>
      <c r="AF34" s="107">
        <v>263</v>
      </c>
      <c r="AG34" s="94" t="e">
        <f t="shared" si="10"/>
        <v>#REF!</v>
      </c>
      <c r="AH34" s="93" t="e">
        <f t="shared" si="11"/>
        <v>#REF!</v>
      </c>
      <c r="AK34" s="7">
        <f t="shared" si="12"/>
        <v>107948.75308641975</v>
      </c>
      <c r="AL34" s="7" t="e">
        <f t="shared" si="13"/>
        <v>#REF!</v>
      </c>
      <c r="AM34" s="41" t="e">
        <f t="shared" si="14"/>
        <v>#REF!</v>
      </c>
      <c r="AN34" s="42" t="e">
        <f t="shared" si="15"/>
        <v>#REF!</v>
      </c>
      <c r="AO34" s="7" t="e">
        <f t="shared" si="29"/>
        <v>#REF!</v>
      </c>
      <c r="AP34" s="7">
        <f t="shared" si="29"/>
        <v>704.11111111110961</v>
      </c>
      <c r="AQ34" s="7">
        <f t="shared" si="16"/>
        <v>663777970.6790117</v>
      </c>
      <c r="AR34" s="7" t="e">
        <f t="shared" si="17"/>
        <v>#REF!</v>
      </c>
      <c r="AS34" s="5" t="e">
        <f t="shared" si="18"/>
        <v>#REF!</v>
      </c>
      <c r="AT34" s="5" t="e">
        <f t="shared" si="19"/>
        <v>#REF!</v>
      </c>
    </row>
    <row r="35" spans="1:46" x14ac:dyDescent="0.2">
      <c r="A35" s="106">
        <v>41791</v>
      </c>
      <c r="B35" s="54" t="e">
        <f>VLOOKUP(MONTH(A35),#REF!,3,FALSE)</f>
        <v>#REF!</v>
      </c>
      <c r="C35" s="105" t="e">
        <f>#REF!</f>
        <v>#REF!</v>
      </c>
      <c r="D35" s="109">
        <v>31</v>
      </c>
      <c r="E35" s="105">
        <f t="shared" ref="E35:R35" si="47">D35</f>
        <v>31</v>
      </c>
      <c r="F35" s="105">
        <f t="shared" si="47"/>
        <v>31</v>
      </c>
      <c r="G35" s="105">
        <f t="shared" si="47"/>
        <v>31</v>
      </c>
      <c r="H35" s="105">
        <f t="shared" si="47"/>
        <v>31</v>
      </c>
      <c r="I35" s="105">
        <f t="shared" si="47"/>
        <v>31</v>
      </c>
      <c r="J35" s="105">
        <f t="shared" si="47"/>
        <v>31</v>
      </c>
      <c r="K35" s="105">
        <f t="shared" si="47"/>
        <v>31</v>
      </c>
      <c r="L35" s="105">
        <f t="shared" si="47"/>
        <v>31</v>
      </c>
      <c r="M35" s="105">
        <f t="shared" si="47"/>
        <v>31</v>
      </c>
      <c r="N35" s="105">
        <f t="shared" si="47"/>
        <v>31</v>
      </c>
      <c r="O35" s="105">
        <f t="shared" si="47"/>
        <v>31</v>
      </c>
      <c r="P35" s="105">
        <f t="shared" si="47"/>
        <v>31</v>
      </c>
      <c r="Q35" s="105">
        <f t="shared" si="47"/>
        <v>31</v>
      </c>
      <c r="R35" s="105">
        <f t="shared" si="47"/>
        <v>31</v>
      </c>
      <c r="S35" s="111">
        <f t="shared" si="36"/>
        <v>0.72</v>
      </c>
      <c r="T35" s="110">
        <f t="shared" si="37"/>
        <v>22.319999999999997</v>
      </c>
      <c r="U35" s="97">
        <f t="shared" si="21"/>
        <v>29.317181191990841</v>
      </c>
      <c r="V35" s="93" t="e">
        <f t="shared" si="22"/>
        <v>#REF!</v>
      </c>
      <c r="W35" s="98" t="e">
        <f t="shared" si="31"/>
        <v>#REF!</v>
      </c>
      <c r="X35" s="93" t="e">
        <f t="shared" si="23"/>
        <v>#REF!</v>
      </c>
      <c r="Y35" s="98" t="e">
        <f t="shared" si="24"/>
        <v>#REF!</v>
      </c>
      <c r="Z35" s="93" t="e">
        <f t="shared" si="25"/>
        <v>#REF!</v>
      </c>
      <c r="AA35" s="93" t="e">
        <f t="shared" si="8"/>
        <v>#REF!</v>
      </c>
      <c r="AB35" s="93" t="e">
        <f t="shared" si="26"/>
        <v>#REF!</v>
      </c>
      <c r="AC35" s="93" t="e">
        <f t="shared" si="27"/>
        <v>#REF!</v>
      </c>
      <c r="AD35" s="93" t="e">
        <f t="shared" si="28"/>
        <v>#REF!</v>
      </c>
      <c r="AE35" s="93" t="e">
        <f t="shared" si="9"/>
        <v>#REF!</v>
      </c>
      <c r="AF35" s="107">
        <v>252</v>
      </c>
      <c r="AG35" s="94" t="e">
        <f t="shared" si="10"/>
        <v>#REF!</v>
      </c>
      <c r="AH35" s="93" t="e">
        <f t="shared" si="11"/>
        <v>#REF!</v>
      </c>
      <c r="AK35" s="7">
        <f t="shared" si="12"/>
        <v>115297.97530864197</v>
      </c>
      <c r="AL35" s="7" t="e">
        <f t="shared" si="13"/>
        <v>#REF!</v>
      </c>
      <c r="AM35" s="41" t="e">
        <f t="shared" si="14"/>
        <v>#REF!</v>
      </c>
      <c r="AN35" s="42" t="e">
        <f t="shared" si="15"/>
        <v>#REF!</v>
      </c>
      <c r="AO35" s="7" t="e">
        <f t="shared" si="29"/>
        <v>#REF!</v>
      </c>
      <c r="AP35" s="7">
        <f t="shared" si="29"/>
        <v>364.55555555555406</v>
      </c>
      <c r="AQ35" s="7">
        <f t="shared" si="16"/>
        <v>681389811.86419678</v>
      </c>
      <c r="AR35" s="7" t="e">
        <f t="shared" si="17"/>
        <v>#REF!</v>
      </c>
      <c r="AS35" s="5" t="e">
        <f t="shared" si="18"/>
        <v>#REF!</v>
      </c>
      <c r="AT35" s="5" t="e">
        <f t="shared" si="19"/>
        <v>#REF!</v>
      </c>
    </row>
    <row r="36" spans="1:46" x14ac:dyDescent="0.2">
      <c r="A36" s="106">
        <v>41821</v>
      </c>
      <c r="B36" s="54">
        <v>115</v>
      </c>
      <c r="C36" s="105" t="e">
        <f>#REF!</f>
        <v>#REF!</v>
      </c>
      <c r="D36" s="109">
        <v>27</v>
      </c>
      <c r="E36" s="105">
        <f t="shared" ref="E36:R36" si="48">D36</f>
        <v>27</v>
      </c>
      <c r="F36" s="105">
        <f t="shared" si="48"/>
        <v>27</v>
      </c>
      <c r="G36" s="105">
        <f t="shared" si="48"/>
        <v>27</v>
      </c>
      <c r="H36" s="105">
        <f t="shared" si="48"/>
        <v>27</v>
      </c>
      <c r="I36" s="105">
        <f t="shared" si="48"/>
        <v>27</v>
      </c>
      <c r="J36" s="105">
        <f t="shared" si="48"/>
        <v>27</v>
      </c>
      <c r="K36" s="105">
        <f t="shared" si="48"/>
        <v>27</v>
      </c>
      <c r="L36" s="105">
        <f t="shared" si="48"/>
        <v>27</v>
      </c>
      <c r="M36" s="105">
        <f t="shared" si="48"/>
        <v>27</v>
      </c>
      <c r="N36" s="105">
        <f t="shared" si="48"/>
        <v>27</v>
      </c>
      <c r="O36" s="105">
        <f t="shared" si="48"/>
        <v>27</v>
      </c>
      <c r="P36" s="105">
        <f t="shared" si="48"/>
        <v>27</v>
      </c>
      <c r="Q36" s="105">
        <f t="shared" si="48"/>
        <v>27</v>
      </c>
      <c r="R36" s="105">
        <f t="shared" si="48"/>
        <v>27</v>
      </c>
      <c r="S36" s="111">
        <f t="shared" si="36"/>
        <v>0.72</v>
      </c>
      <c r="T36" s="110">
        <f t="shared" si="37"/>
        <v>19.439999999999994</v>
      </c>
      <c r="U36" s="97">
        <f t="shared" si="21"/>
        <v>21.151736379918756</v>
      </c>
      <c r="V36" s="93" t="e">
        <f t="shared" si="22"/>
        <v>#REF!</v>
      </c>
      <c r="W36" s="98" t="e">
        <f t="shared" si="31"/>
        <v>#REF!</v>
      </c>
      <c r="X36" s="93" t="e">
        <f t="shared" si="23"/>
        <v>#REF!</v>
      </c>
      <c r="Y36" s="98" t="e">
        <f t="shared" si="24"/>
        <v>#REF!</v>
      </c>
      <c r="Z36" s="93" t="e">
        <f t="shared" si="25"/>
        <v>#REF!</v>
      </c>
      <c r="AA36" s="93" t="e">
        <f t="shared" si="8"/>
        <v>#REF!</v>
      </c>
      <c r="AB36" s="93" t="e">
        <f t="shared" si="26"/>
        <v>#REF!</v>
      </c>
      <c r="AC36" s="93" t="e">
        <f t="shared" si="27"/>
        <v>#REF!</v>
      </c>
      <c r="AD36" s="93" t="e">
        <f t="shared" si="28"/>
        <v>#REF!</v>
      </c>
      <c r="AE36" s="93" t="e">
        <f t="shared" si="9"/>
        <v>#REF!</v>
      </c>
      <c r="AF36" s="107">
        <v>227</v>
      </c>
      <c r="AG36" s="94" t="e">
        <f t="shared" si="10"/>
        <v>#REF!</v>
      </c>
      <c r="AH36" s="93" t="e">
        <f t="shared" si="11"/>
        <v>#REF!</v>
      </c>
      <c r="AK36" s="7">
        <f t="shared" si="12"/>
        <v>132900.75308641975</v>
      </c>
      <c r="AL36" s="7" t="e">
        <f t="shared" si="13"/>
        <v>#REF!</v>
      </c>
      <c r="AM36" s="41" t="e">
        <f t="shared" si="14"/>
        <v>#REF!</v>
      </c>
      <c r="AN36" s="42" t="e">
        <f t="shared" si="15"/>
        <v>#REF!</v>
      </c>
      <c r="AO36" s="7" t="e">
        <f>AE36-AE$14+AO35</f>
        <v>#REF!</v>
      </c>
      <c r="AP36" s="7">
        <f>AF36-AF$14+AP35</f>
        <v>-1.4779288903810084E-12</v>
      </c>
      <c r="AQ36" s="7">
        <f t="shared" si="16"/>
        <v>700555023.99999928</v>
      </c>
      <c r="AR36" s="7" t="e">
        <f t="shared" si="17"/>
        <v>#REF!</v>
      </c>
      <c r="AS36" s="5" t="e">
        <f t="shared" si="18"/>
        <v>#REF!</v>
      </c>
      <c r="AT36" s="5" t="e">
        <f t="shared" si="19"/>
        <v>#REF!</v>
      </c>
    </row>
    <row r="37" spans="1:46" x14ac:dyDescent="0.2">
      <c r="A37" s="108">
        <v>41852</v>
      </c>
      <c r="B37" s="54" t="e">
        <f>VLOOKUP(MONTH(A37),#REF!,3,FALSE)</f>
        <v>#REF!</v>
      </c>
      <c r="C37" s="109"/>
      <c r="D37" s="109">
        <v>29</v>
      </c>
      <c r="E37" s="105">
        <f t="shared" ref="E37:R37" si="49">D37</f>
        <v>29</v>
      </c>
      <c r="F37" s="105">
        <f t="shared" si="49"/>
        <v>29</v>
      </c>
      <c r="G37" s="105">
        <f t="shared" si="49"/>
        <v>29</v>
      </c>
      <c r="H37" s="105">
        <f t="shared" si="49"/>
        <v>29</v>
      </c>
      <c r="I37" s="105">
        <f t="shared" si="49"/>
        <v>29</v>
      </c>
      <c r="J37" s="105">
        <f t="shared" si="49"/>
        <v>29</v>
      </c>
      <c r="K37" s="105">
        <f t="shared" si="49"/>
        <v>29</v>
      </c>
      <c r="L37" s="105">
        <f t="shared" si="49"/>
        <v>29</v>
      </c>
      <c r="M37" s="105">
        <f t="shared" si="49"/>
        <v>29</v>
      </c>
      <c r="N37" s="105">
        <f t="shared" si="49"/>
        <v>29</v>
      </c>
      <c r="O37" s="105">
        <f t="shared" si="49"/>
        <v>29</v>
      </c>
      <c r="P37" s="105">
        <f t="shared" si="49"/>
        <v>29</v>
      </c>
      <c r="Q37" s="105">
        <f t="shared" si="49"/>
        <v>29</v>
      </c>
      <c r="R37" s="105">
        <f t="shared" si="49"/>
        <v>29</v>
      </c>
      <c r="S37" s="111">
        <f t="shared" ref="S37:S48" si="50">$A$5</f>
        <v>0.72</v>
      </c>
      <c r="T37" s="110">
        <f t="shared" ref="T37:T48" si="51">$A$5*SUMPRODUCT($D$12:$R$12,D37:R37)</f>
        <v>20.879999999999995</v>
      </c>
      <c r="U37" s="97">
        <f t="shared" si="21"/>
        <v>21.171978235378997</v>
      </c>
      <c r="V37" s="93" t="e">
        <f t="shared" si="22"/>
        <v>#REF!</v>
      </c>
      <c r="W37" s="98" t="e">
        <f t="shared" si="31"/>
        <v>#REF!</v>
      </c>
      <c r="X37" s="93" t="e">
        <f t="shared" si="23"/>
        <v>#REF!</v>
      </c>
      <c r="Y37" s="98" t="e">
        <f t="shared" si="24"/>
        <v>#REF!</v>
      </c>
      <c r="Z37" s="93" t="e">
        <f t="shared" si="25"/>
        <v>#REF!</v>
      </c>
      <c r="AA37" s="93" t="e">
        <f t="shared" si="8"/>
        <v>#REF!</v>
      </c>
      <c r="AB37" s="93" t="e">
        <f t="shared" si="26"/>
        <v>#REF!</v>
      </c>
      <c r="AC37" s="93" t="e">
        <f t="shared" si="27"/>
        <v>#REF!</v>
      </c>
      <c r="AD37" s="93" t="e">
        <f t="shared" si="28"/>
        <v>#REF!</v>
      </c>
      <c r="AE37" s="93" t="e">
        <f t="shared" si="9"/>
        <v>#REF!</v>
      </c>
      <c r="AF37" s="96"/>
      <c r="AG37" s="94"/>
      <c r="AH37" s="93"/>
      <c r="AK37" s="7"/>
      <c r="AL37" s="7"/>
      <c r="AM37" s="41"/>
      <c r="AN37" s="42"/>
      <c r="AO37" s="7"/>
      <c r="AP37" s="7"/>
      <c r="AQ37" s="7"/>
      <c r="AR37" s="7"/>
      <c r="AS37" s="5"/>
      <c r="AT37" s="5"/>
    </row>
    <row r="38" spans="1:46" x14ac:dyDescent="0.2">
      <c r="A38" s="108">
        <v>41883</v>
      </c>
      <c r="B38" s="54" t="e">
        <f>VLOOKUP(MONTH(A38),#REF!,3,FALSE)</f>
        <v>#REF!</v>
      </c>
      <c r="C38" s="109"/>
      <c r="D38" s="109">
        <v>67</v>
      </c>
      <c r="E38" s="105">
        <f t="shared" ref="E38:R38" si="52">D38</f>
        <v>67</v>
      </c>
      <c r="F38" s="105">
        <f t="shared" si="52"/>
        <v>67</v>
      </c>
      <c r="G38" s="105">
        <f t="shared" si="52"/>
        <v>67</v>
      </c>
      <c r="H38" s="105">
        <f t="shared" si="52"/>
        <v>67</v>
      </c>
      <c r="I38" s="105">
        <f t="shared" si="52"/>
        <v>67</v>
      </c>
      <c r="J38" s="105">
        <f t="shared" si="52"/>
        <v>67</v>
      </c>
      <c r="K38" s="105">
        <f t="shared" si="52"/>
        <v>67</v>
      </c>
      <c r="L38" s="105">
        <f t="shared" si="52"/>
        <v>67</v>
      </c>
      <c r="M38" s="105">
        <f t="shared" si="52"/>
        <v>67</v>
      </c>
      <c r="N38" s="105">
        <f t="shared" si="52"/>
        <v>67</v>
      </c>
      <c r="O38" s="105">
        <f t="shared" si="52"/>
        <v>67</v>
      </c>
      <c r="P38" s="105">
        <f t="shared" si="52"/>
        <v>67</v>
      </c>
      <c r="Q38" s="105">
        <f t="shared" si="52"/>
        <v>67</v>
      </c>
      <c r="R38" s="105">
        <f t="shared" si="52"/>
        <v>67</v>
      </c>
      <c r="S38" s="111">
        <f t="shared" si="50"/>
        <v>0.72</v>
      </c>
      <c r="T38" s="110">
        <f t="shared" si="51"/>
        <v>48.239999999999981</v>
      </c>
      <c r="U38" s="97">
        <f t="shared" si="21"/>
        <v>40.761639556388324</v>
      </c>
      <c r="V38" s="93" t="e">
        <f t="shared" si="22"/>
        <v>#REF!</v>
      </c>
      <c r="W38" s="98" t="e">
        <f t="shared" si="31"/>
        <v>#REF!</v>
      </c>
      <c r="X38" s="93" t="e">
        <f t="shared" si="23"/>
        <v>#REF!</v>
      </c>
      <c r="Y38" s="98" t="e">
        <f t="shared" si="24"/>
        <v>#REF!</v>
      </c>
      <c r="Z38" s="93" t="e">
        <f t="shared" si="25"/>
        <v>#REF!</v>
      </c>
      <c r="AA38" s="93" t="e">
        <f t="shared" si="8"/>
        <v>#REF!</v>
      </c>
      <c r="AB38" s="93" t="e">
        <f t="shared" si="26"/>
        <v>#REF!</v>
      </c>
      <c r="AC38" s="93" t="e">
        <f t="shared" si="27"/>
        <v>#REF!</v>
      </c>
      <c r="AD38" s="93" t="e">
        <f t="shared" si="28"/>
        <v>#REF!</v>
      </c>
      <c r="AE38" s="93" t="e">
        <f t="shared" si="9"/>
        <v>#REF!</v>
      </c>
      <c r="AF38" s="96"/>
      <c r="AG38" s="94"/>
      <c r="AH38" s="93"/>
      <c r="AK38" s="7"/>
      <c r="AL38" s="7"/>
      <c r="AM38" s="41"/>
      <c r="AN38" s="42"/>
      <c r="AO38" s="7"/>
      <c r="AP38" s="7"/>
      <c r="AQ38" s="7"/>
      <c r="AR38" s="7"/>
      <c r="AS38" s="5"/>
      <c r="AT38" s="5"/>
    </row>
    <row r="39" spans="1:46" x14ac:dyDescent="0.2">
      <c r="A39" s="108">
        <v>41913</v>
      </c>
      <c r="B39" s="54" t="e">
        <f>VLOOKUP(MONTH(A39),#REF!,3,FALSE)</f>
        <v>#REF!</v>
      </c>
      <c r="C39" s="109"/>
      <c r="D39" s="109">
        <v>138</v>
      </c>
      <c r="E39" s="105">
        <f t="shared" ref="E39:R39" si="53">D39</f>
        <v>138</v>
      </c>
      <c r="F39" s="105">
        <f t="shared" si="53"/>
        <v>138</v>
      </c>
      <c r="G39" s="105">
        <f t="shared" si="53"/>
        <v>138</v>
      </c>
      <c r="H39" s="105">
        <f t="shared" si="53"/>
        <v>138</v>
      </c>
      <c r="I39" s="105">
        <f t="shared" si="53"/>
        <v>138</v>
      </c>
      <c r="J39" s="105">
        <f t="shared" si="53"/>
        <v>138</v>
      </c>
      <c r="K39" s="105">
        <f t="shared" si="53"/>
        <v>138</v>
      </c>
      <c r="L39" s="105">
        <f t="shared" si="53"/>
        <v>138</v>
      </c>
      <c r="M39" s="105">
        <f t="shared" si="53"/>
        <v>138</v>
      </c>
      <c r="N39" s="105">
        <f t="shared" si="53"/>
        <v>138</v>
      </c>
      <c r="O39" s="105">
        <f t="shared" si="53"/>
        <v>138</v>
      </c>
      <c r="P39" s="105">
        <f t="shared" si="53"/>
        <v>138</v>
      </c>
      <c r="Q39" s="105">
        <f t="shared" si="53"/>
        <v>138</v>
      </c>
      <c r="R39" s="105">
        <f t="shared" si="53"/>
        <v>138</v>
      </c>
      <c r="S39" s="111">
        <f t="shared" si="50"/>
        <v>0.72</v>
      </c>
      <c r="T39" s="110">
        <f t="shared" si="51"/>
        <v>99.359999999999971</v>
      </c>
      <c r="U39" s="97">
        <f t="shared" si="21"/>
        <v>83.086017622130271</v>
      </c>
      <c r="V39" s="93" t="e">
        <f t="shared" si="22"/>
        <v>#REF!</v>
      </c>
      <c r="W39" s="98" t="e">
        <f t="shared" si="31"/>
        <v>#REF!</v>
      </c>
      <c r="X39" s="93" t="e">
        <f t="shared" si="23"/>
        <v>#REF!</v>
      </c>
      <c r="Y39" s="98" t="e">
        <f t="shared" si="24"/>
        <v>#REF!</v>
      </c>
      <c r="Z39" s="93" t="e">
        <f t="shared" si="25"/>
        <v>#REF!</v>
      </c>
      <c r="AA39" s="93" t="e">
        <f t="shared" si="8"/>
        <v>#REF!</v>
      </c>
      <c r="AB39" s="93" t="e">
        <f t="shared" si="26"/>
        <v>#REF!</v>
      </c>
      <c r="AC39" s="93" t="e">
        <f t="shared" si="27"/>
        <v>#REF!</v>
      </c>
      <c r="AD39" s="93" t="e">
        <f t="shared" si="28"/>
        <v>#REF!</v>
      </c>
      <c r="AE39" s="93" t="e">
        <f t="shared" si="9"/>
        <v>#REF!</v>
      </c>
      <c r="AF39" s="96"/>
      <c r="AG39" s="94"/>
      <c r="AH39" s="93"/>
      <c r="AK39" s="7"/>
      <c r="AL39" s="7"/>
      <c r="AM39" s="41"/>
      <c r="AN39" s="42"/>
      <c r="AO39" s="7"/>
      <c r="AP39" s="7"/>
      <c r="AQ39" s="7"/>
      <c r="AR39" s="7"/>
      <c r="AS39" s="5"/>
      <c r="AT39" s="5"/>
    </row>
    <row r="40" spans="1:46" x14ac:dyDescent="0.2">
      <c r="A40" s="108">
        <v>41944</v>
      </c>
      <c r="B40" s="54" t="e">
        <f>VLOOKUP(MONTH(A40),#REF!,3,FALSE)</f>
        <v>#REF!</v>
      </c>
      <c r="C40" s="109"/>
      <c r="D40" s="109">
        <v>178</v>
      </c>
      <c r="E40" s="105">
        <f t="shared" ref="E40:R40" si="54">D40</f>
        <v>178</v>
      </c>
      <c r="F40" s="105">
        <f t="shared" si="54"/>
        <v>178</v>
      </c>
      <c r="G40" s="105">
        <f t="shared" si="54"/>
        <v>178</v>
      </c>
      <c r="H40" s="105">
        <f t="shared" si="54"/>
        <v>178</v>
      </c>
      <c r="I40" s="105">
        <f t="shared" si="54"/>
        <v>178</v>
      </c>
      <c r="J40" s="105">
        <f t="shared" si="54"/>
        <v>178</v>
      </c>
      <c r="K40" s="105">
        <f t="shared" si="54"/>
        <v>178</v>
      </c>
      <c r="L40" s="105">
        <f t="shared" si="54"/>
        <v>178</v>
      </c>
      <c r="M40" s="105">
        <f t="shared" si="54"/>
        <v>178</v>
      </c>
      <c r="N40" s="105">
        <f t="shared" si="54"/>
        <v>178</v>
      </c>
      <c r="O40" s="105">
        <f t="shared" si="54"/>
        <v>178</v>
      </c>
      <c r="P40" s="105">
        <f t="shared" si="54"/>
        <v>178</v>
      </c>
      <c r="Q40" s="105">
        <f t="shared" si="54"/>
        <v>178</v>
      </c>
      <c r="R40" s="105">
        <f t="shared" si="54"/>
        <v>178</v>
      </c>
      <c r="S40" s="111">
        <f t="shared" si="50"/>
        <v>0.72</v>
      </c>
      <c r="T40" s="110">
        <f t="shared" si="51"/>
        <v>128.15999999999997</v>
      </c>
      <c r="U40" s="97">
        <f t="shared" si="21"/>
        <v>118.57573449365631</v>
      </c>
      <c r="V40" s="93" t="e">
        <f t="shared" si="22"/>
        <v>#REF!</v>
      </c>
      <c r="W40" s="98" t="e">
        <f t="shared" si="31"/>
        <v>#REF!</v>
      </c>
      <c r="X40" s="93" t="e">
        <f t="shared" si="23"/>
        <v>#REF!</v>
      </c>
      <c r="Y40" s="98" t="e">
        <f t="shared" si="24"/>
        <v>#REF!</v>
      </c>
      <c r="Z40" s="93" t="e">
        <f t="shared" si="25"/>
        <v>#REF!</v>
      </c>
      <c r="AA40" s="93" t="e">
        <f t="shared" si="8"/>
        <v>#REF!</v>
      </c>
      <c r="AB40" s="93" t="e">
        <f t="shared" si="26"/>
        <v>#REF!</v>
      </c>
      <c r="AC40" s="93" t="e">
        <f t="shared" si="27"/>
        <v>#REF!</v>
      </c>
      <c r="AD40" s="93" t="e">
        <f t="shared" si="28"/>
        <v>#REF!</v>
      </c>
      <c r="AE40" s="93" t="e">
        <f t="shared" si="9"/>
        <v>#REF!</v>
      </c>
      <c r="AF40" s="96"/>
      <c r="AG40" s="94"/>
      <c r="AH40" s="93"/>
      <c r="AK40" s="7"/>
      <c r="AL40" s="7"/>
      <c r="AM40" s="41"/>
      <c r="AN40" s="42"/>
      <c r="AO40" s="7"/>
      <c r="AP40" s="7"/>
      <c r="AQ40" s="7"/>
      <c r="AR40" s="7"/>
      <c r="AS40" s="5"/>
      <c r="AT40" s="5"/>
    </row>
    <row r="41" spans="1:46" x14ac:dyDescent="0.2">
      <c r="A41" s="108">
        <v>41974</v>
      </c>
      <c r="B41" s="54" t="e">
        <f>VLOOKUP(MONTH(A41),#REF!,3,FALSE)</f>
        <v>#REF!</v>
      </c>
      <c r="C41" s="109"/>
      <c r="D41" s="109">
        <v>266</v>
      </c>
      <c r="E41" s="105">
        <f t="shared" ref="E41:R41" si="55">D41</f>
        <v>266</v>
      </c>
      <c r="F41" s="105">
        <f t="shared" si="55"/>
        <v>266</v>
      </c>
      <c r="G41" s="105">
        <f t="shared" si="55"/>
        <v>266</v>
      </c>
      <c r="H41" s="105">
        <f t="shared" si="55"/>
        <v>266</v>
      </c>
      <c r="I41" s="105">
        <f t="shared" si="55"/>
        <v>266</v>
      </c>
      <c r="J41" s="105">
        <f t="shared" si="55"/>
        <v>266</v>
      </c>
      <c r="K41" s="105">
        <f t="shared" si="55"/>
        <v>266</v>
      </c>
      <c r="L41" s="105">
        <f t="shared" si="55"/>
        <v>266</v>
      </c>
      <c r="M41" s="105">
        <f t="shared" si="55"/>
        <v>266</v>
      </c>
      <c r="N41" s="105">
        <f t="shared" si="55"/>
        <v>266</v>
      </c>
      <c r="O41" s="105">
        <f t="shared" si="55"/>
        <v>266</v>
      </c>
      <c r="P41" s="105">
        <f t="shared" si="55"/>
        <v>266</v>
      </c>
      <c r="Q41" s="105">
        <f t="shared" si="55"/>
        <v>266</v>
      </c>
      <c r="R41" s="105">
        <f t="shared" si="55"/>
        <v>266</v>
      </c>
      <c r="S41" s="111">
        <f t="shared" si="50"/>
        <v>0.72</v>
      </c>
      <c r="T41" s="110">
        <f t="shared" si="51"/>
        <v>191.51999999999992</v>
      </c>
      <c r="U41" s="97">
        <f t="shared" si="21"/>
        <v>170.64522590105906</v>
      </c>
      <c r="V41" s="93" t="e">
        <f t="shared" si="22"/>
        <v>#REF!</v>
      </c>
      <c r="W41" s="98" t="e">
        <f t="shared" si="31"/>
        <v>#REF!</v>
      </c>
      <c r="X41" s="93" t="e">
        <f t="shared" si="23"/>
        <v>#REF!</v>
      </c>
      <c r="Y41" s="98" t="e">
        <f t="shared" si="24"/>
        <v>#REF!</v>
      </c>
      <c r="Z41" s="93" t="e">
        <f t="shared" si="25"/>
        <v>#REF!</v>
      </c>
      <c r="AA41" s="93" t="e">
        <f t="shared" si="8"/>
        <v>#REF!</v>
      </c>
      <c r="AB41" s="93" t="e">
        <f t="shared" si="26"/>
        <v>#REF!</v>
      </c>
      <c r="AC41" s="93" t="e">
        <f t="shared" si="27"/>
        <v>#REF!</v>
      </c>
      <c r="AD41" s="93" t="e">
        <f t="shared" si="28"/>
        <v>#REF!</v>
      </c>
      <c r="AE41" s="93" t="e">
        <f t="shared" si="9"/>
        <v>#REF!</v>
      </c>
      <c r="AF41" s="96"/>
      <c r="AG41" s="94"/>
      <c r="AH41" s="93"/>
      <c r="AK41" s="7"/>
      <c r="AL41" s="7"/>
      <c r="AM41" s="41"/>
      <c r="AN41" s="42"/>
      <c r="AO41" s="7"/>
      <c r="AP41" s="7"/>
      <c r="AQ41" s="7"/>
      <c r="AR41" s="7"/>
      <c r="AS41" s="5"/>
      <c r="AT41" s="5"/>
    </row>
    <row r="42" spans="1:46" x14ac:dyDescent="0.2">
      <c r="A42" s="108">
        <v>42005</v>
      </c>
      <c r="B42" s="54" t="e">
        <f>VLOOKUP(MONTH(A42),#REF!,3,FALSE)</f>
        <v>#REF!</v>
      </c>
      <c r="C42" s="109"/>
      <c r="D42" s="109">
        <v>267</v>
      </c>
      <c r="E42" s="105">
        <f t="shared" ref="E42:R42" si="56">D42</f>
        <v>267</v>
      </c>
      <c r="F42" s="105">
        <f t="shared" si="56"/>
        <v>267</v>
      </c>
      <c r="G42" s="105">
        <f t="shared" si="56"/>
        <v>267</v>
      </c>
      <c r="H42" s="105">
        <f t="shared" si="56"/>
        <v>267</v>
      </c>
      <c r="I42" s="105">
        <f t="shared" si="56"/>
        <v>267</v>
      </c>
      <c r="J42" s="105">
        <f t="shared" si="56"/>
        <v>267</v>
      </c>
      <c r="K42" s="105">
        <f t="shared" si="56"/>
        <v>267</v>
      </c>
      <c r="L42" s="105">
        <f t="shared" si="56"/>
        <v>267</v>
      </c>
      <c r="M42" s="105">
        <f t="shared" si="56"/>
        <v>267</v>
      </c>
      <c r="N42" s="105">
        <f t="shared" si="56"/>
        <v>267</v>
      </c>
      <c r="O42" s="105">
        <f t="shared" si="56"/>
        <v>267</v>
      </c>
      <c r="P42" s="105">
        <f t="shared" si="56"/>
        <v>267</v>
      </c>
      <c r="Q42" s="105">
        <f t="shared" si="56"/>
        <v>267</v>
      </c>
      <c r="R42" s="105">
        <f t="shared" si="56"/>
        <v>267</v>
      </c>
      <c r="S42" s="111">
        <f t="shared" si="50"/>
        <v>0.72</v>
      </c>
      <c r="T42" s="110">
        <f t="shared" si="51"/>
        <v>192.23999999999992</v>
      </c>
      <c r="U42" s="97">
        <f t="shared" si="21"/>
        <v>188.65817906595871</v>
      </c>
      <c r="V42" s="93" t="e">
        <f t="shared" si="22"/>
        <v>#REF!</v>
      </c>
      <c r="W42" s="98" t="e">
        <f t="shared" si="31"/>
        <v>#REF!</v>
      </c>
      <c r="X42" s="93" t="e">
        <f t="shared" si="23"/>
        <v>#REF!</v>
      </c>
      <c r="Y42" s="98" t="e">
        <f t="shared" si="24"/>
        <v>#REF!</v>
      </c>
      <c r="Z42" s="93" t="e">
        <f t="shared" si="25"/>
        <v>#REF!</v>
      </c>
      <c r="AA42" s="93" t="e">
        <f t="shared" si="8"/>
        <v>#REF!</v>
      </c>
      <c r="AB42" s="93" t="e">
        <f t="shared" si="26"/>
        <v>#REF!</v>
      </c>
      <c r="AC42" s="93" t="e">
        <f t="shared" si="27"/>
        <v>#REF!</v>
      </c>
      <c r="AD42" s="93" t="e">
        <f t="shared" si="28"/>
        <v>#REF!</v>
      </c>
      <c r="AE42" s="93" t="e">
        <f t="shared" si="9"/>
        <v>#REF!</v>
      </c>
      <c r="AF42" s="96"/>
      <c r="AG42" s="94"/>
      <c r="AH42" s="93"/>
      <c r="AK42" s="7"/>
      <c r="AL42" s="7"/>
      <c r="AM42" s="41"/>
      <c r="AN42" s="42"/>
      <c r="AO42" s="7"/>
      <c r="AP42" s="7"/>
      <c r="AQ42" s="7"/>
      <c r="AR42" s="7"/>
      <c r="AS42" s="5"/>
      <c r="AT42" s="5"/>
    </row>
    <row r="43" spans="1:46" x14ac:dyDescent="0.2">
      <c r="A43" s="108">
        <v>42036</v>
      </c>
      <c r="B43" s="54" t="e">
        <f>VLOOKUP(MONTH(A43),#REF!,3,FALSE)</f>
        <v>#REF!</v>
      </c>
      <c r="C43" s="109"/>
      <c r="D43" s="109">
        <v>203</v>
      </c>
      <c r="E43" s="105">
        <f t="shared" ref="E43:R43" si="57">D43</f>
        <v>203</v>
      </c>
      <c r="F43" s="105">
        <f t="shared" si="57"/>
        <v>203</v>
      </c>
      <c r="G43" s="105">
        <f t="shared" si="57"/>
        <v>203</v>
      </c>
      <c r="H43" s="105">
        <f t="shared" si="57"/>
        <v>203</v>
      </c>
      <c r="I43" s="105">
        <f t="shared" si="57"/>
        <v>203</v>
      </c>
      <c r="J43" s="105">
        <f t="shared" si="57"/>
        <v>203</v>
      </c>
      <c r="K43" s="105">
        <f t="shared" si="57"/>
        <v>203</v>
      </c>
      <c r="L43" s="105">
        <f t="shared" si="57"/>
        <v>203</v>
      </c>
      <c r="M43" s="105">
        <f t="shared" si="57"/>
        <v>203</v>
      </c>
      <c r="N43" s="105">
        <f t="shared" si="57"/>
        <v>203</v>
      </c>
      <c r="O43" s="105">
        <f t="shared" si="57"/>
        <v>203</v>
      </c>
      <c r="P43" s="105">
        <f t="shared" si="57"/>
        <v>203</v>
      </c>
      <c r="Q43" s="105">
        <f t="shared" si="57"/>
        <v>203</v>
      </c>
      <c r="R43" s="105">
        <f t="shared" si="57"/>
        <v>203</v>
      </c>
      <c r="S43" s="111">
        <f t="shared" si="50"/>
        <v>0.72</v>
      </c>
      <c r="T43" s="110">
        <f t="shared" si="51"/>
        <v>146.15999999999994</v>
      </c>
      <c r="U43" s="97">
        <f t="shared" si="21"/>
        <v>159.76121381533267</v>
      </c>
      <c r="V43" s="93" t="e">
        <f t="shared" si="22"/>
        <v>#REF!</v>
      </c>
      <c r="W43" s="98" t="e">
        <f t="shared" si="31"/>
        <v>#REF!</v>
      </c>
      <c r="X43" s="93" t="e">
        <f t="shared" si="23"/>
        <v>#REF!</v>
      </c>
      <c r="Y43" s="98" t="e">
        <f t="shared" si="24"/>
        <v>#REF!</v>
      </c>
      <c r="Z43" s="93" t="e">
        <f t="shared" si="25"/>
        <v>#REF!</v>
      </c>
      <c r="AA43" s="93" t="e">
        <f t="shared" si="8"/>
        <v>#REF!</v>
      </c>
      <c r="AB43" s="93" t="e">
        <f t="shared" si="26"/>
        <v>#REF!</v>
      </c>
      <c r="AC43" s="93" t="e">
        <f t="shared" si="27"/>
        <v>#REF!</v>
      </c>
      <c r="AD43" s="93" t="e">
        <f t="shared" si="28"/>
        <v>#REF!</v>
      </c>
      <c r="AE43" s="93" t="e">
        <f t="shared" si="9"/>
        <v>#REF!</v>
      </c>
      <c r="AF43" s="96"/>
      <c r="AG43" s="94"/>
      <c r="AH43" s="93"/>
      <c r="AK43" s="7"/>
      <c r="AL43" s="7"/>
      <c r="AM43" s="41"/>
      <c r="AN43" s="42"/>
      <c r="AO43" s="7"/>
      <c r="AP43" s="7"/>
      <c r="AQ43" s="7"/>
      <c r="AR43" s="7"/>
      <c r="AS43" s="5"/>
      <c r="AT43" s="5"/>
    </row>
    <row r="44" spans="1:46" x14ac:dyDescent="0.2">
      <c r="A44" s="108">
        <v>42064</v>
      </c>
      <c r="B44" s="54" t="e">
        <f>VLOOKUP(MONTH(A44),#REF!,3,FALSE)</f>
        <v>#REF!</v>
      </c>
      <c r="C44" s="109"/>
      <c r="D44" s="109">
        <v>172</v>
      </c>
      <c r="E44" s="105">
        <f t="shared" ref="E44:R44" si="58">D44</f>
        <v>172</v>
      </c>
      <c r="F44" s="105">
        <f t="shared" si="58"/>
        <v>172</v>
      </c>
      <c r="G44" s="105">
        <f t="shared" si="58"/>
        <v>172</v>
      </c>
      <c r="H44" s="105">
        <f t="shared" si="58"/>
        <v>172</v>
      </c>
      <c r="I44" s="105">
        <f t="shared" si="58"/>
        <v>172</v>
      </c>
      <c r="J44" s="105">
        <f t="shared" si="58"/>
        <v>172</v>
      </c>
      <c r="K44" s="105">
        <f t="shared" si="58"/>
        <v>172</v>
      </c>
      <c r="L44" s="105">
        <f t="shared" si="58"/>
        <v>172</v>
      </c>
      <c r="M44" s="105">
        <f t="shared" si="58"/>
        <v>172</v>
      </c>
      <c r="N44" s="105">
        <f t="shared" si="58"/>
        <v>172</v>
      </c>
      <c r="O44" s="105">
        <f t="shared" si="58"/>
        <v>172</v>
      </c>
      <c r="P44" s="105">
        <f t="shared" si="58"/>
        <v>172</v>
      </c>
      <c r="Q44" s="105">
        <f t="shared" si="58"/>
        <v>172</v>
      </c>
      <c r="R44" s="105">
        <f t="shared" si="58"/>
        <v>172</v>
      </c>
      <c r="S44" s="111">
        <f t="shared" si="50"/>
        <v>0.72</v>
      </c>
      <c r="T44" s="110">
        <f t="shared" si="51"/>
        <v>123.83999999999996</v>
      </c>
      <c r="U44" s="97">
        <f t="shared" si="21"/>
        <v>131.0894570125603</v>
      </c>
      <c r="V44" s="93" t="e">
        <f t="shared" si="22"/>
        <v>#REF!</v>
      </c>
      <c r="W44" s="98" t="e">
        <f t="shared" si="31"/>
        <v>#REF!</v>
      </c>
      <c r="X44" s="93" t="e">
        <f t="shared" si="23"/>
        <v>#REF!</v>
      </c>
      <c r="Y44" s="98" t="e">
        <f t="shared" si="24"/>
        <v>#REF!</v>
      </c>
      <c r="Z44" s="93" t="e">
        <f t="shared" si="25"/>
        <v>#REF!</v>
      </c>
      <c r="AA44" s="93" t="e">
        <f t="shared" si="8"/>
        <v>#REF!</v>
      </c>
      <c r="AB44" s="93" t="e">
        <f t="shared" si="26"/>
        <v>#REF!</v>
      </c>
      <c r="AC44" s="93" t="e">
        <f t="shared" si="27"/>
        <v>#REF!</v>
      </c>
      <c r="AD44" s="93" t="e">
        <f t="shared" si="28"/>
        <v>#REF!</v>
      </c>
      <c r="AE44" s="93" t="e">
        <f t="shared" si="9"/>
        <v>#REF!</v>
      </c>
      <c r="AF44" s="96"/>
      <c r="AG44" s="94"/>
      <c r="AH44" s="93"/>
      <c r="AK44" s="7"/>
      <c r="AL44" s="7"/>
      <c r="AM44" s="41"/>
      <c r="AN44" s="42"/>
      <c r="AO44" s="7"/>
      <c r="AP44" s="7"/>
      <c r="AQ44" s="7"/>
      <c r="AR44" s="7"/>
      <c r="AS44" s="5"/>
      <c r="AT44" s="5"/>
    </row>
    <row r="45" spans="1:46" x14ac:dyDescent="0.2">
      <c r="A45" s="108">
        <v>42095</v>
      </c>
      <c r="B45" s="54" t="e">
        <f>VLOOKUP(MONTH(A45),#REF!,3,FALSE)</f>
        <v>#REF!</v>
      </c>
      <c r="C45" s="109"/>
      <c r="D45" s="109">
        <v>81</v>
      </c>
      <c r="E45" s="105">
        <f t="shared" ref="E45:R45" si="59">D45</f>
        <v>81</v>
      </c>
      <c r="F45" s="105">
        <f t="shared" si="59"/>
        <v>81</v>
      </c>
      <c r="G45" s="105">
        <f t="shared" si="59"/>
        <v>81</v>
      </c>
      <c r="H45" s="105">
        <f t="shared" si="59"/>
        <v>81</v>
      </c>
      <c r="I45" s="105">
        <f t="shared" si="59"/>
        <v>81</v>
      </c>
      <c r="J45" s="105">
        <f t="shared" si="59"/>
        <v>81</v>
      </c>
      <c r="K45" s="105">
        <f t="shared" si="59"/>
        <v>81</v>
      </c>
      <c r="L45" s="105">
        <f t="shared" si="59"/>
        <v>81</v>
      </c>
      <c r="M45" s="105">
        <f t="shared" si="59"/>
        <v>81</v>
      </c>
      <c r="N45" s="105">
        <f t="shared" si="59"/>
        <v>81</v>
      </c>
      <c r="O45" s="105">
        <f t="shared" si="59"/>
        <v>81</v>
      </c>
      <c r="P45" s="105">
        <f t="shared" si="59"/>
        <v>81</v>
      </c>
      <c r="Q45" s="105">
        <f t="shared" si="59"/>
        <v>81</v>
      </c>
      <c r="R45" s="105">
        <f t="shared" si="59"/>
        <v>81</v>
      </c>
      <c r="S45" s="111">
        <f t="shared" si="50"/>
        <v>0.72</v>
      </c>
      <c r="T45" s="110">
        <f t="shared" si="51"/>
        <v>58.319999999999979</v>
      </c>
      <c r="U45" s="97">
        <f t="shared" si="21"/>
        <v>79.299484902359396</v>
      </c>
      <c r="V45" s="93" t="e">
        <f t="shared" si="22"/>
        <v>#REF!</v>
      </c>
      <c r="W45" s="98" t="e">
        <f t="shared" si="31"/>
        <v>#REF!</v>
      </c>
      <c r="X45" s="93" t="e">
        <f t="shared" si="23"/>
        <v>#REF!</v>
      </c>
      <c r="Y45" s="98" t="e">
        <f t="shared" si="24"/>
        <v>#REF!</v>
      </c>
      <c r="Z45" s="93" t="e">
        <f t="shared" si="25"/>
        <v>#REF!</v>
      </c>
      <c r="AA45" s="93" t="e">
        <f t="shared" si="8"/>
        <v>#REF!</v>
      </c>
      <c r="AB45" s="93" t="e">
        <f t="shared" si="26"/>
        <v>#REF!</v>
      </c>
      <c r="AC45" s="93" t="e">
        <f t="shared" si="27"/>
        <v>#REF!</v>
      </c>
      <c r="AD45" s="93" t="e">
        <f t="shared" si="28"/>
        <v>#REF!</v>
      </c>
      <c r="AE45" s="93" t="e">
        <f t="shared" si="9"/>
        <v>#REF!</v>
      </c>
      <c r="AF45" s="96"/>
      <c r="AG45" s="94"/>
      <c r="AH45" s="93"/>
      <c r="AK45" s="7"/>
      <c r="AL45" s="7"/>
      <c r="AM45" s="41"/>
      <c r="AN45" s="42"/>
      <c r="AO45" s="7"/>
      <c r="AP45" s="7"/>
      <c r="AQ45" s="7"/>
      <c r="AR45" s="7"/>
      <c r="AS45" s="5"/>
      <c r="AT45" s="5"/>
    </row>
    <row r="46" spans="1:46" x14ac:dyDescent="0.2">
      <c r="A46" s="108">
        <v>42125</v>
      </c>
      <c r="B46" s="54" t="e">
        <f>VLOOKUP(MONTH(A46),#REF!,3,FALSE)</f>
        <v>#REF!</v>
      </c>
      <c r="C46" s="109"/>
      <c r="D46" s="109">
        <v>59</v>
      </c>
      <c r="E46" s="105">
        <f t="shared" ref="E46:R46" si="60">D46</f>
        <v>59</v>
      </c>
      <c r="F46" s="105">
        <f t="shared" si="60"/>
        <v>59</v>
      </c>
      <c r="G46" s="105">
        <f t="shared" si="60"/>
        <v>59</v>
      </c>
      <c r="H46" s="105">
        <f t="shared" si="60"/>
        <v>59</v>
      </c>
      <c r="I46" s="105">
        <f t="shared" si="60"/>
        <v>59</v>
      </c>
      <c r="J46" s="105">
        <f t="shared" si="60"/>
        <v>59</v>
      </c>
      <c r="K46" s="105">
        <f t="shared" si="60"/>
        <v>59</v>
      </c>
      <c r="L46" s="105">
        <f t="shared" si="60"/>
        <v>59</v>
      </c>
      <c r="M46" s="105">
        <f t="shared" si="60"/>
        <v>59</v>
      </c>
      <c r="N46" s="105">
        <f t="shared" si="60"/>
        <v>59</v>
      </c>
      <c r="O46" s="105">
        <f t="shared" si="60"/>
        <v>59</v>
      </c>
      <c r="P46" s="105">
        <f t="shared" si="60"/>
        <v>59</v>
      </c>
      <c r="Q46" s="105">
        <f t="shared" si="60"/>
        <v>59</v>
      </c>
      <c r="R46" s="105">
        <f t="shared" si="60"/>
        <v>59</v>
      </c>
      <c r="S46" s="111">
        <f t="shared" si="50"/>
        <v>0.72</v>
      </c>
      <c r="T46" s="110">
        <f t="shared" si="51"/>
        <v>42.48</v>
      </c>
      <c r="U46" s="97">
        <f t="shared" si="21"/>
        <v>49.442151823266549</v>
      </c>
      <c r="V46" s="93" t="e">
        <f t="shared" si="22"/>
        <v>#REF!</v>
      </c>
      <c r="W46" s="98" t="e">
        <f t="shared" si="31"/>
        <v>#REF!</v>
      </c>
      <c r="X46" s="93" t="e">
        <f t="shared" si="23"/>
        <v>#REF!</v>
      </c>
      <c r="Y46" s="98" t="e">
        <f t="shared" si="24"/>
        <v>#REF!</v>
      </c>
      <c r="Z46" s="93" t="e">
        <f t="shared" si="25"/>
        <v>#REF!</v>
      </c>
      <c r="AA46" s="93" t="e">
        <f t="shared" si="8"/>
        <v>#REF!</v>
      </c>
      <c r="AB46" s="93" t="e">
        <f t="shared" si="26"/>
        <v>#REF!</v>
      </c>
      <c r="AC46" s="93" t="e">
        <f t="shared" si="27"/>
        <v>#REF!</v>
      </c>
      <c r="AD46" s="93" t="e">
        <f t="shared" si="28"/>
        <v>#REF!</v>
      </c>
      <c r="AE46" s="93" t="e">
        <f t="shared" si="9"/>
        <v>#REF!</v>
      </c>
      <c r="AF46" s="96"/>
      <c r="AG46" s="94"/>
      <c r="AH46" s="93"/>
      <c r="AK46" s="7"/>
      <c r="AL46" s="7"/>
      <c r="AM46" s="41"/>
      <c r="AN46" s="42"/>
      <c r="AO46" s="7"/>
      <c r="AP46" s="7"/>
      <c r="AQ46" s="7"/>
      <c r="AR46" s="7"/>
      <c r="AS46" s="5"/>
      <c r="AT46" s="5"/>
    </row>
    <row r="47" spans="1:46" x14ac:dyDescent="0.2">
      <c r="A47" s="108">
        <v>42156</v>
      </c>
      <c r="B47" s="54" t="e">
        <f>VLOOKUP(MONTH(A47),#REF!,3,FALSE)</f>
        <v>#REF!</v>
      </c>
      <c r="C47" s="109"/>
      <c r="D47" s="109">
        <v>31</v>
      </c>
      <c r="E47" s="105">
        <f t="shared" ref="E47:R47" si="61">D47</f>
        <v>31</v>
      </c>
      <c r="F47" s="105">
        <f t="shared" si="61"/>
        <v>31</v>
      </c>
      <c r="G47" s="105">
        <f t="shared" si="61"/>
        <v>31</v>
      </c>
      <c r="H47" s="105">
        <f t="shared" si="61"/>
        <v>31</v>
      </c>
      <c r="I47" s="105">
        <f t="shared" si="61"/>
        <v>31</v>
      </c>
      <c r="J47" s="105">
        <f t="shared" si="61"/>
        <v>31</v>
      </c>
      <c r="K47" s="105">
        <f t="shared" si="61"/>
        <v>31</v>
      </c>
      <c r="L47" s="105">
        <f t="shared" si="61"/>
        <v>31</v>
      </c>
      <c r="M47" s="105">
        <f t="shared" si="61"/>
        <v>31</v>
      </c>
      <c r="N47" s="105">
        <f t="shared" si="61"/>
        <v>31</v>
      </c>
      <c r="O47" s="105">
        <f t="shared" si="61"/>
        <v>31</v>
      </c>
      <c r="P47" s="105">
        <f t="shared" si="61"/>
        <v>31</v>
      </c>
      <c r="Q47" s="105">
        <f t="shared" si="61"/>
        <v>31</v>
      </c>
      <c r="R47" s="105">
        <f t="shared" si="61"/>
        <v>31</v>
      </c>
      <c r="S47" s="111">
        <f t="shared" si="50"/>
        <v>0.72</v>
      </c>
      <c r="T47" s="110">
        <f t="shared" si="51"/>
        <v>22.319999999999997</v>
      </c>
      <c r="U47" s="97">
        <f t="shared" si="21"/>
        <v>29.317181191990841</v>
      </c>
      <c r="V47" s="93" t="e">
        <f t="shared" si="22"/>
        <v>#REF!</v>
      </c>
      <c r="W47" s="98" t="e">
        <f t="shared" si="31"/>
        <v>#REF!</v>
      </c>
      <c r="X47" s="93" t="e">
        <f t="shared" si="23"/>
        <v>#REF!</v>
      </c>
      <c r="Y47" s="98" t="e">
        <f t="shared" si="24"/>
        <v>#REF!</v>
      </c>
      <c r="Z47" s="93" t="e">
        <f t="shared" si="25"/>
        <v>#REF!</v>
      </c>
      <c r="AA47" s="93" t="e">
        <f t="shared" si="8"/>
        <v>#REF!</v>
      </c>
      <c r="AB47" s="93" t="e">
        <f t="shared" si="26"/>
        <v>#REF!</v>
      </c>
      <c r="AC47" s="93" t="e">
        <f t="shared" si="27"/>
        <v>#REF!</v>
      </c>
      <c r="AD47" s="93" t="e">
        <f t="shared" si="28"/>
        <v>#REF!</v>
      </c>
      <c r="AE47" s="93" t="e">
        <f t="shared" si="9"/>
        <v>#REF!</v>
      </c>
      <c r="AF47" s="96"/>
      <c r="AG47" s="94"/>
      <c r="AH47" s="93"/>
      <c r="AK47" s="7"/>
      <c r="AL47" s="7"/>
      <c r="AM47" s="41"/>
      <c r="AN47" s="42"/>
      <c r="AO47" s="7"/>
      <c r="AP47" s="7"/>
      <c r="AQ47" s="7"/>
      <c r="AR47" s="7"/>
      <c r="AS47" s="5"/>
      <c r="AT47" s="5"/>
    </row>
    <row r="48" spans="1:46" x14ac:dyDescent="0.2">
      <c r="A48" s="108">
        <v>42186</v>
      </c>
      <c r="B48" s="54">
        <v>115</v>
      </c>
      <c r="C48" s="109"/>
      <c r="D48" s="109">
        <v>27</v>
      </c>
      <c r="E48" s="105">
        <f t="shared" ref="E48:R48" si="62">D48</f>
        <v>27</v>
      </c>
      <c r="F48" s="105">
        <f t="shared" si="62"/>
        <v>27</v>
      </c>
      <c r="G48" s="105">
        <f t="shared" si="62"/>
        <v>27</v>
      </c>
      <c r="H48" s="105">
        <f t="shared" si="62"/>
        <v>27</v>
      </c>
      <c r="I48" s="105">
        <f t="shared" si="62"/>
        <v>27</v>
      </c>
      <c r="J48" s="105">
        <f t="shared" si="62"/>
        <v>27</v>
      </c>
      <c r="K48" s="105">
        <f t="shared" si="62"/>
        <v>27</v>
      </c>
      <c r="L48" s="105">
        <f t="shared" si="62"/>
        <v>27</v>
      </c>
      <c r="M48" s="105">
        <f t="shared" si="62"/>
        <v>27</v>
      </c>
      <c r="N48" s="105">
        <f t="shared" si="62"/>
        <v>27</v>
      </c>
      <c r="O48" s="105">
        <f t="shared" si="62"/>
        <v>27</v>
      </c>
      <c r="P48" s="105">
        <f t="shared" si="62"/>
        <v>27</v>
      </c>
      <c r="Q48" s="105">
        <f t="shared" si="62"/>
        <v>27</v>
      </c>
      <c r="R48" s="105">
        <f t="shared" si="62"/>
        <v>27</v>
      </c>
      <c r="S48" s="111">
        <f t="shared" si="50"/>
        <v>0.72</v>
      </c>
      <c r="T48" s="110">
        <f t="shared" si="51"/>
        <v>19.439999999999994</v>
      </c>
      <c r="U48" s="97">
        <f t="shared" si="21"/>
        <v>20.719961107678081</v>
      </c>
      <c r="V48" s="93" t="e">
        <f t="shared" si="22"/>
        <v>#REF!</v>
      </c>
      <c r="W48" s="98" t="e">
        <f t="shared" si="31"/>
        <v>#REF!</v>
      </c>
      <c r="X48" s="93" t="e">
        <f t="shared" si="23"/>
        <v>#REF!</v>
      </c>
      <c r="Y48" s="98" t="e">
        <f t="shared" si="24"/>
        <v>#REF!</v>
      </c>
      <c r="Z48" s="93" t="e">
        <f t="shared" si="25"/>
        <v>#REF!</v>
      </c>
      <c r="AA48" s="93" t="e">
        <f t="shared" si="8"/>
        <v>#REF!</v>
      </c>
      <c r="AB48" s="93" t="e">
        <f t="shared" si="26"/>
        <v>#REF!</v>
      </c>
      <c r="AC48" s="93" t="e">
        <f t="shared" si="27"/>
        <v>#REF!</v>
      </c>
      <c r="AD48" s="93" t="e">
        <f t="shared" si="28"/>
        <v>#REF!</v>
      </c>
      <c r="AE48" s="93" t="e">
        <f t="shared" si="9"/>
        <v>#REF!</v>
      </c>
      <c r="AF48" s="96"/>
      <c r="AG48" s="94"/>
      <c r="AH48" s="93"/>
      <c r="AK48" s="7"/>
      <c r="AL48" s="7"/>
      <c r="AM48" s="41"/>
      <c r="AN48" s="42"/>
      <c r="AO48" s="7"/>
      <c r="AP48" s="7"/>
      <c r="AQ48" s="7"/>
      <c r="AR48" s="7"/>
      <c r="AS48" s="5"/>
      <c r="AT48" s="5"/>
    </row>
    <row r="49" spans="1:46" ht="15.75" x14ac:dyDescent="0.25">
      <c r="A49" s="56"/>
      <c r="B49" s="54"/>
      <c r="D49" s="63"/>
      <c r="E49" s="64"/>
      <c r="F49" s="64"/>
      <c r="G49" s="64"/>
      <c r="H49" s="64"/>
      <c r="I49" s="64"/>
      <c r="J49" s="64"/>
      <c r="K49" s="64"/>
      <c r="L49" s="64"/>
      <c r="M49" s="64"/>
      <c r="N49" s="64"/>
      <c r="O49" s="64"/>
      <c r="P49" s="64"/>
      <c r="Q49" s="64"/>
      <c r="R49" s="65"/>
      <c r="T49" s="95"/>
      <c r="U49" s="97"/>
      <c r="V49" s="93"/>
      <c r="W49" s="98"/>
      <c r="X49" s="93"/>
      <c r="Y49" s="98"/>
      <c r="Z49" s="93"/>
      <c r="AA49" s="93"/>
      <c r="AB49" s="93"/>
      <c r="AC49" s="93"/>
      <c r="AD49" s="93"/>
      <c r="AE49" s="93"/>
      <c r="AF49" s="96"/>
      <c r="AG49" s="94"/>
      <c r="AH49" s="93"/>
      <c r="AK49" s="7"/>
      <c r="AL49" s="7"/>
      <c r="AM49" s="41"/>
      <c r="AN49" s="42"/>
      <c r="AO49" s="7"/>
      <c r="AP49" s="7"/>
      <c r="AQ49" s="7"/>
      <c r="AR49" s="7"/>
      <c r="AS49" s="5"/>
      <c r="AT49" s="5"/>
    </row>
    <row r="50" spans="1:46" ht="15.75" x14ac:dyDescent="0.25">
      <c r="A50" s="56"/>
      <c r="B50" s="54"/>
      <c r="D50" s="63"/>
      <c r="E50" s="64"/>
      <c r="F50" s="64"/>
      <c r="G50" s="64"/>
      <c r="H50" s="64"/>
      <c r="I50" s="64"/>
      <c r="J50" s="64"/>
      <c r="K50" s="64"/>
      <c r="L50" s="64"/>
      <c r="M50" s="64"/>
      <c r="N50" s="64"/>
      <c r="O50" s="64"/>
      <c r="P50" s="64"/>
      <c r="Q50" s="64"/>
      <c r="R50" s="65"/>
      <c r="T50" s="95"/>
      <c r="U50" s="97"/>
      <c r="V50" s="93"/>
      <c r="W50" s="98"/>
      <c r="X50" s="93"/>
      <c r="Y50" s="98"/>
      <c r="Z50" s="93"/>
      <c r="AA50" s="93"/>
      <c r="AB50" s="93"/>
      <c r="AC50" s="93"/>
      <c r="AD50" s="93"/>
      <c r="AE50" s="93"/>
      <c r="AF50" s="96"/>
      <c r="AG50" s="94"/>
      <c r="AH50" s="93"/>
      <c r="AK50" s="7"/>
      <c r="AL50" s="7"/>
      <c r="AM50" s="41"/>
      <c r="AN50" s="42"/>
      <c r="AO50" s="7"/>
      <c r="AP50" s="7"/>
      <c r="AQ50" s="7"/>
      <c r="AR50" s="7"/>
      <c r="AS50" s="5"/>
      <c r="AT50" s="5"/>
    </row>
    <row r="51" spans="1:46" ht="15.75" x14ac:dyDescent="0.25">
      <c r="A51" s="56"/>
      <c r="B51" s="54"/>
      <c r="D51" s="63"/>
      <c r="E51" s="64"/>
      <c r="F51" s="64"/>
      <c r="G51" s="64"/>
      <c r="H51" s="64"/>
      <c r="I51" s="64"/>
      <c r="J51" s="64"/>
      <c r="K51" s="64"/>
      <c r="L51" s="64"/>
      <c r="M51" s="64"/>
      <c r="N51" s="64"/>
      <c r="O51" s="64"/>
      <c r="P51" s="64"/>
      <c r="Q51" s="64"/>
      <c r="R51" s="65"/>
      <c r="T51" s="95"/>
      <c r="U51" s="97"/>
      <c r="V51" s="93"/>
      <c r="W51" s="98"/>
      <c r="X51" s="93"/>
      <c r="Y51" s="98"/>
      <c r="Z51" s="93"/>
      <c r="AA51" s="93"/>
      <c r="AB51" s="93"/>
      <c r="AC51" s="93"/>
      <c r="AD51" s="93"/>
      <c r="AE51" s="93"/>
      <c r="AF51" s="96"/>
      <c r="AG51" s="94"/>
      <c r="AH51" s="93"/>
      <c r="AK51" s="7"/>
      <c r="AL51" s="7"/>
      <c r="AM51" s="41"/>
      <c r="AN51" s="42"/>
      <c r="AO51" s="7"/>
      <c r="AP51" s="7"/>
      <c r="AQ51" s="7"/>
      <c r="AR51" s="7"/>
      <c r="AS51" s="5"/>
      <c r="AT51" s="5"/>
    </row>
    <row r="52" spans="1:46" ht="15.75" x14ac:dyDescent="0.25">
      <c r="A52" s="56"/>
      <c r="B52" s="54"/>
      <c r="D52" s="63"/>
      <c r="E52" s="64"/>
      <c r="F52" s="64"/>
      <c r="G52" s="64"/>
      <c r="H52" s="64"/>
      <c r="I52" s="64"/>
      <c r="J52" s="64"/>
      <c r="K52" s="64"/>
      <c r="L52" s="64"/>
      <c r="M52" s="64"/>
      <c r="N52" s="64"/>
      <c r="O52" s="64"/>
      <c r="P52" s="64"/>
      <c r="Q52" s="64"/>
      <c r="R52" s="65"/>
      <c r="S52" s="4"/>
      <c r="T52" s="95"/>
      <c r="U52" s="97"/>
      <c r="V52" s="93"/>
      <c r="W52" s="98"/>
      <c r="X52" s="93"/>
      <c r="Y52" s="98"/>
      <c r="Z52" s="93"/>
      <c r="AA52" s="93"/>
      <c r="AB52" s="93"/>
      <c r="AC52" s="93"/>
      <c r="AD52" s="93"/>
      <c r="AE52" s="93"/>
      <c r="AF52" s="96"/>
      <c r="AG52" s="94"/>
      <c r="AH52" s="93"/>
      <c r="AK52" s="7"/>
      <c r="AL52" s="7"/>
      <c r="AM52" s="41"/>
      <c r="AN52" s="42"/>
      <c r="AO52" s="7"/>
      <c r="AP52" s="7"/>
      <c r="AQ52" s="7"/>
      <c r="AR52" s="7"/>
      <c r="AS52" s="5"/>
      <c r="AT52" s="5"/>
    </row>
    <row r="53" spans="1:46" ht="15.75" x14ac:dyDescent="0.25">
      <c r="A53" s="56"/>
      <c r="B53" s="54"/>
      <c r="D53" s="63"/>
      <c r="E53" s="64"/>
      <c r="F53" s="64"/>
      <c r="G53" s="64"/>
      <c r="H53" s="64"/>
      <c r="I53" s="64"/>
      <c r="J53" s="64"/>
      <c r="K53" s="64"/>
      <c r="L53" s="64"/>
      <c r="M53" s="64"/>
      <c r="N53" s="64"/>
      <c r="O53" s="64"/>
      <c r="P53" s="64"/>
      <c r="Q53" s="64"/>
      <c r="R53" s="65"/>
      <c r="S53" s="4"/>
      <c r="T53" s="95"/>
      <c r="U53" s="97"/>
      <c r="V53" s="93"/>
      <c r="W53" s="98"/>
      <c r="X53" s="93"/>
      <c r="Y53" s="98"/>
      <c r="Z53" s="93"/>
      <c r="AA53" s="93"/>
      <c r="AB53" s="93"/>
      <c r="AC53" s="93"/>
      <c r="AD53" s="93"/>
      <c r="AE53" s="93"/>
      <c r="AF53" s="96"/>
      <c r="AG53" s="94"/>
      <c r="AH53" s="93"/>
      <c r="AK53" s="7"/>
      <c r="AL53" s="7"/>
      <c r="AM53" s="41"/>
      <c r="AN53" s="42"/>
      <c r="AO53" s="7"/>
      <c r="AP53" s="7"/>
      <c r="AQ53" s="7"/>
      <c r="AR53" s="7"/>
      <c r="AS53" s="5"/>
      <c r="AT53" s="5"/>
    </row>
    <row r="54" spans="1:46" ht="15.75" x14ac:dyDescent="0.25">
      <c r="A54" s="56"/>
      <c r="B54" s="54"/>
      <c r="D54" s="63"/>
      <c r="E54" s="64"/>
      <c r="F54" s="64"/>
      <c r="G54" s="64"/>
      <c r="H54" s="64"/>
      <c r="I54" s="64"/>
      <c r="J54" s="64"/>
      <c r="K54" s="64"/>
      <c r="L54" s="64"/>
      <c r="M54" s="64"/>
      <c r="N54" s="64"/>
      <c r="O54" s="64"/>
      <c r="P54" s="64"/>
      <c r="Q54" s="64"/>
      <c r="R54" s="65"/>
      <c r="S54" s="4"/>
      <c r="T54" s="95"/>
      <c r="U54" s="97"/>
      <c r="V54" s="93"/>
      <c r="W54" s="98"/>
      <c r="X54" s="93"/>
      <c r="Y54" s="98"/>
      <c r="Z54" s="93"/>
      <c r="AA54" s="93"/>
      <c r="AB54" s="93"/>
      <c r="AC54" s="93"/>
      <c r="AD54" s="93"/>
      <c r="AE54" s="93"/>
      <c r="AF54" s="96"/>
      <c r="AG54" s="94"/>
      <c r="AH54" s="93"/>
      <c r="AK54" s="7"/>
      <c r="AL54" s="7"/>
      <c r="AM54" s="41"/>
      <c r="AN54" s="42"/>
      <c r="AO54" s="7"/>
      <c r="AP54" s="7"/>
      <c r="AQ54" s="7"/>
      <c r="AR54" s="7"/>
      <c r="AS54" s="5"/>
      <c r="AT54" s="5"/>
    </row>
    <row r="55" spans="1:46" ht="15.75" x14ac:dyDescent="0.25">
      <c r="A55" s="56"/>
      <c r="B55" s="54"/>
      <c r="D55" s="63"/>
      <c r="E55" s="64"/>
      <c r="F55" s="64"/>
      <c r="G55" s="64"/>
      <c r="H55" s="64"/>
      <c r="I55" s="64"/>
      <c r="J55" s="64"/>
      <c r="K55" s="64"/>
      <c r="L55" s="64"/>
      <c r="M55" s="64"/>
      <c r="N55" s="64"/>
      <c r="O55" s="64"/>
      <c r="P55" s="64"/>
      <c r="Q55" s="64"/>
      <c r="R55" s="65"/>
      <c r="S55" s="4"/>
      <c r="T55" s="95"/>
      <c r="U55" s="97"/>
      <c r="V55" s="93"/>
      <c r="W55" s="98"/>
      <c r="X55" s="93"/>
      <c r="Y55" s="98"/>
      <c r="Z55" s="93"/>
      <c r="AA55" s="93"/>
      <c r="AB55" s="93"/>
      <c r="AC55" s="93"/>
      <c r="AD55" s="93"/>
      <c r="AE55" s="93"/>
      <c r="AF55" s="96"/>
      <c r="AG55" s="94"/>
      <c r="AH55" s="93"/>
      <c r="AK55" s="7"/>
      <c r="AL55" s="7"/>
      <c r="AM55" s="41"/>
      <c r="AN55" s="42"/>
      <c r="AO55" s="7"/>
      <c r="AP55" s="7"/>
      <c r="AQ55" s="7"/>
      <c r="AR55" s="7"/>
      <c r="AS55" s="5"/>
      <c r="AT55" s="5"/>
    </row>
    <row r="56" spans="1:46" ht="16.5" thickBot="1" x14ac:dyDescent="0.3">
      <c r="A56" s="56"/>
      <c r="B56" s="54"/>
      <c r="D56" s="66"/>
      <c r="E56" s="67"/>
      <c r="F56" s="67"/>
      <c r="G56" s="67"/>
      <c r="H56" s="67"/>
      <c r="I56" s="67"/>
      <c r="J56" s="67"/>
      <c r="K56" s="67"/>
      <c r="L56" s="67"/>
      <c r="M56" s="67"/>
      <c r="N56" s="67"/>
      <c r="O56" s="67"/>
      <c r="P56" s="67"/>
      <c r="Q56" s="67"/>
      <c r="R56" s="68"/>
      <c r="S56" s="4"/>
      <c r="T56" s="95"/>
      <c r="U56" s="97"/>
      <c r="V56" s="93"/>
      <c r="W56" s="98"/>
      <c r="X56" s="93"/>
      <c r="Y56" s="98"/>
      <c r="Z56" s="93"/>
      <c r="AA56" s="93"/>
      <c r="AB56" s="93"/>
      <c r="AC56" s="93"/>
      <c r="AD56" s="93"/>
      <c r="AE56" s="93"/>
      <c r="AF56" s="96"/>
      <c r="AG56" s="94"/>
      <c r="AH56" s="93"/>
      <c r="AK56" s="7"/>
      <c r="AL56" s="7"/>
      <c r="AM56" s="41"/>
      <c r="AN56" s="42"/>
      <c r="AO56" s="7"/>
      <c r="AP56" s="7"/>
      <c r="AQ56" s="7"/>
      <c r="AR56" s="7"/>
      <c r="AS56" s="5"/>
      <c r="AT56" s="5"/>
    </row>
    <row r="57" spans="1:46" ht="16.5" thickTop="1" x14ac:dyDescent="0.25">
      <c r="A57" s="56"/>
      <c r="B57" s="54"/>
      <c r="D57" s="69"/>
      <c r="E57" s="70"/>
      <c r="F57" s="70"/>
      <c r="G57" s="70"/>
      <c r="H57" s="70"/>
      <c r="I57" s="70"/>
      <c r="J57" s="70"/>
      <c r="K57" s="70"/>
      <c r="L57" s="70"/>
      <c r="M57" s="70"/>
      <c r="N57" s="70"/>
      <c r="O57" s="70"/>
      <c r="P57" s="70"/>
      <c r="Q57" s="70"/>
      <c r="R57" s="71"/>
      <c r="S57" s="4"/>
      <c r="T57" s="95"/>
      <c r="U57" s="97"/>
      <c r="V57" s="93"/>
      <c r="W57" s="98"/>
      <c r="X57" s="93"/>
      <c r="Y57" s="98"/>
      <c r="Z57" s="93"/>
      <c r="AA57" s="93"/>
      <c r="AB57" s="93"/>
      <c r="AC57" s="93"/>
      <c r="AD57" s="93"/>
      <c r="AE57" s="93"/>
      <c r="AF57" s="96"/>
      <c r="AG57" s="94"/>
      <c r="AH57" s="93"/>
      <c r="AK57" s="7"/>
      <c r="AL57" s="7"/>
      <c r="AM57" s="41"/>
      <c r="AN57" s="42"/>
      <c r="AO57" s="7"/>
      <c r="AP57" s="7"/>
      <c r="AQ57" s="7"/>
      <c r="AR57" s="7"/>
      <c r="AS57" s="5"/>
      <c r="AT57" s="5"/>
    </row>
    <row r="58" spans="1:46" ht="15.75" x14ac:dyDescent="0.25">
      <c r="A58" s="56"/>
      <c r="B58" s="54"/>
      <c r="D58" s="63"/>
      <c r="E58" s="64"/>
      <c r="F58" s="64"/>
      <c r="G58" s="64"/>
      <c r="H58" s="64"/>
      <c r="I58" s="64"/>
      <c r="J58" s="64"/>
      <c r="K58" s="64"/>
      <c r="L58" s="64"/>
      <c r="M58" s="64"/>
      <c r="N58" s="64"/>
      <c r="O58" s="64"/>
      <c r="P58" s="64"/>
      <c r="Q58" s="64"/>
      <c r="R58" s="65"/>
      <c r="S58" s="4"/>
      <c r="T58" s="95"/>
      <c r="U58" s="97"/>
      <c r="V58" s="93"/>
      <c r="W58" s="98"/>
      <c r="X58" s="93"/>
      <c r="Y58" s="98"/>
      <c r="Z58" s="93"/>
      <c r="AA58" s="93"/>
      <c r="AB58" s="93"/>
      <c r="AC58" s="93"/>
      <c r="AD58" s="93"/>
      <c r="AE58" s="93"/>
      <c r="AF58" s="96"/>
      <c r="AG58" s="94"/>
      <c r="AH58" s="93"/>
      <c r="AK58" s="7"/>
      <c r="AL58" s="7"/>
      <c r="AM58" s="41"/>
      <c r="AN58" s="42"/>
      <c r="AO58" s="7"/>
      <c r="AP58" s="7"/>
      <c r="AQ58" s="7"/>
      <c r="AR58" s="7"/>
      <c r="AS58" s="5"/>
      <c r="AT58" s="5"/>
    </row>
    <row r="59" spans="1:46" ht="15.75" x14ac:dyDescent="0.25">
      <c r="A59" s="56"/>
      <c r="B59" s="54"/>
      <c r="D59" s="63"/>
      <c r="E59" s="64"/>
      <c r="F59" s="64"/>
      <c r="G59" s="64"/>
      <c r="H59" s="64"/>
      <c r="I59" s="64"/>
      <c r="J59" s="64"/>
      <c r="K59" s="64"/>
      <c r="L59" s="64"/>
      <c r="M59" s="64"/>
      <c r="N59" s="64"/>
      <c r="O59" s="64"/>
      <c r="P59" s="64"/>
      <c r="Q59" s="64"/>
      <c r="R59" s="65"/>
      <c r="S59" s="4"/>
      <c r="T59" s="95"/>
      <c r="U59" s="97"/>
      <c r="V59" s="93"/>
      <c r="W59" s="98"/>
      <c r="X59" s="93"/>
      <c r="Y59" s="98"/>
      <c r="Z59" s="93"/>
      <c r="AA59" s="93"/>
      <c r="AB59" s="93"/>
      <c r="AC59" s="93"/>
      <c r="AD59" s="93"/>
      <c r="AE59" s="93"/>
      <c r="AF59" s="96"/>
      <c r="AG59" s="94"/>
      <c r="AH59" s="93"/>
      <c r="AK59" s="7"/>
      <c r="AL59" s="7"/>
      <c r="AM59" s="41"/>
      <c r="AN59" s="42"/>
      <c r="AO59" s="7"/>
      <c r="AP59" s="7"/>
      <c r="AQ59" s="7"/>
      <c r="AR59" s="7"/>
      <c r="AS59" s="5"/>
      <c r="AT59" s="5"/>
    </row>
    <row r="60" spans="1:46" ht="15.75" x14ac:dyDescent="0.25">
      <c r="A60" s="56"/>
      <c r="B60" s="54"/>
      <c r="D60" s="63"/>
      <c r="E60" s="64"/>
      <c r="F60" s="64"/>
      <c r="G60" s="64"/>
      <c r="H60" s="64"/>
      <c r="I60" s="64"/>
      <c r="J60" s="64"/>
      <c r="K60" s="64"/>
      <c r="L60" s="64"/>
      <c r="M60" s="64"/>
      <c r="N60" s="64"/>
      <c r="O60" s="64"/>
      <c r="P60" s="64"/>
      <c r="Q60" s="64"/>
      <c r="R60" s="65"/>
      <c r="S60" s="4"/>
      <c r="T60" s="95"/>
      <c r="U60" s="97"/>
      <c r="V60" s="93"/>
      <c r="W60" s="98"/>
      <c r="X60" s="93"/>
      <c r="Y60" s="98"/>
      <c r="Z60" s="93"/>
      <c r="AA60" s="93"/>
      <c r="AB60" s="93"/>
      <c r="AC60" s="93"/>
      <c r="AD60" s="93"/>
      <c r="AE60" s="93"/>
      <c r="AF60" s="96"/>
      <c r="AG60" s="94"/>
      <c r="AH60" s="93"/>
      <c r="AK60" s="7"/>
      <c r="AL60" s="7"/>
      <c r="AM60" s="41"/>
      <c r="AN60" s="42"/>
      <c r="AO60" s="7"/>
      <c r="AP60" s="7"/>
      <c r="AQ60" s="7"/>
      <c r="AR60" s="7"/>
      <c r="AS60" s="5"/>
      <c r="AT60" s="5"/>
    </row>
    <row r="61" spans="1:46" ht="15.75" x14ac:dyDescent="0.25">
      <c r="A61" s="56"/>
      <c r="B61" s="54"/>
      <c r="D61" s="63"/>
      <c r="E61" s="64"/>
      <c r="F61" s="64"/>
      <c r="G61" s="64"/>
      <c r="H61" s="64"/>
      <c r="I61" s="64"/>
      <c r="J61" s="64"/>
      <c r="K61" s="64"/>
      <c r="L61" s="64"/>
      <c r="M61" s="64"/>
      <c r="N61" s="64"/>
      <c r="O61" s="64"/>
      <c r="P61" s="64"/>
      <c r="Q61" s="64"/>
      <c r="R61" s="65"/>
      <c r="S61" s="4"/>
      <c r="T61" s="95"/>
      <c r="U61" s="97"/>
      <c r="V61" s="93"/>
      <c r="W61" s="98"/>
      <c r="X61" s="93"/>
      <c r="Y61" s="98"/>
      <c r="Z61" s="93"/>
      <c r="AA61" s="93"/>
      <c r="AB61" s="93"/>
      <c r="AC61" s="93"/>
      <c r="AD61" s="93"/>
      <c r="AE61" s="93"/>
      <c r="AF61" s="96"/>
      <c r="AG61" s="94"/>
      <c r="AH61" s="93"/>
      <c r="AK61" s="7"/>
      <c r="AL61" s="7"/>
      <c r="AM61" s="41"/>
      <c r="AN61" s="42"/>
      <c r="AO61" s="7"/>
      <c r="AP61" s="7"/>
      <c r="AQ61" s="7"/>
      <c r="AR61" s="7"/>
      <c r="AS61" s="5"/>
      <c r="AT61" s="5"/>
    </row>
    <row r="62" spans="1:46" ht="15.75" x14ac:dyDescent="0.25">
      <c r="A62" s="56"/>
      <c r="B62" s="54"/>
      <c r="D62" s="63"/>
      <c r="E62" s="64"/>
      <c r="F62" s="64"/>
      <c r="G62" s="64"/>
      <c r="H62" s="64"/>
      <c r="I62" s="64"/>
      <c r="J62" s="64"/>
      <c r="K62" s="64"/>
      <c r="L62" s="64"/>
      <c r="M62" s="64"/>
      <c r="N62" s="64"/>
      <c r="O62" s="64"/>
      <c r="P62" s="64"/>
      <c r="Q62" s="64"/>
      <c r="R62" s="65"/>
      <c r="S62" s="4"/>
      <c r="T62" s="95"/>
      <c r="U62" s="97"/>
      <c r="V62" s="93"/>
      <c r="W62" s="98"/>
      <c r="X62" s="93"/>
      <c r="Y62" s="98"/>
      <c r="Z62" s="93"/>
      <c r="AA62" s="93"/>
      <c r="AB62" s="93"/>
      <c r="AC62" s="93"/>
      <c r="AD62" s="93"/>
      <c r="AE62" s="93"/>
      <c r="AF62" s="96"/>
      <c r="AG62" s="94"/>
      <c r="AH62" s="93"/>
      <c r="AK62" s="7"/>
      <c r="AL62" s="7"/>
      <c r="AM62" s="41"/>
      <c r="AN62" s="42"/>
      <c r="AO62" s="7"/>
      <c r="AP62" s="7"/>
      <c r="AQ62" s="7"/>
      <c r="AR62" s="7"/>
      <c r="AS62" s="5"/>
      <c r="AT62" s="5"/>
    </row>
    <row r="63" spans="1:46" ht="15.75" x14ac:dyDescent="0.25">
      <c r="A63" s="56"/>
      <c r="B63" s="54"/>
      <c r="D63" s="63"/>
      <c r="E63" s="64"/>
      <c r="F63" s="64"/>
      <c r="G63" s="64"/>
      <c r="H63" s="64"/>
      <c r="I63" s="64"/>
      <c r="J63" s="64"/>
      <c r="K63" s="64"/>
      <c r="L63" s="64"/>
      <c r="M63" s="64"/>
      <c r="N63" s="64"/>
      <c r="O63" s="64"/>
      <c r="P63" s="64"/>
      <c r="Q63" s="64"/>
      <c r="R63" s="65"/>
      <c r="S63" s="4"/>
      <c r="T63" s="95"/>
      <c r="U63" s="97"/>
      <c r="V63" s="93"/>
      <c r="W63" s="98"/>
      <c r="X63" s="93"/>
      <c r="Y63" s="98"/>
      <c r="Z63" s="93"/>
      <c r="AA63" s="93"/>
      <c r="AB63" s="93"/>
      <c r="AC63" s="93"/>
      <c r="AD63" s="93"/>
      <c r="AE63" s="93"/>
      <c r="AF63" s="96"/>
      <c r="AG63" s="94"/>
      <c r="AH63" s="93"/>
      <c r="AK63" s="7"/>
      <c r="AL63" s="7"/>
      <c r="AM63" s="41"/>
      <c r="AN63" s="42"/>
      <c r="AO63" s="7"/>
      <c r="AP63" s="7"/>
      <c r="AQ63" s="7"/>
      <c r="AR63" s="7"/>
      <c r="AS63" s="5"/>
      <c r="AT63" s="5"/>
    </row>
    <row r="64" spans="1:46" ht="15.75" x14ac:dyDescent="0.25">
      <c r="A64" s="56"/>
      <c r="B64" s="54"/>
      <c r="D64" s="63"/>
      <c r="E64" s="64"/>
      <c r="F64" s="64"/>
      <c r="G64" s="64"/>
      <c r="H64" s="64"/>
      <c r="I64" s="64"/>
      <c r="J64" s="64"/>
      <c r="K64" s="64"/>
      <c r="L64" s="64"/>
      <c r="M64" s="64"/>
      <c r="N64" s="64"/>
      <c r="O64" s="64"/>
      <c r="P64" s="64"/>
      <c r="Q64" s="64"/>
      <c r="R64" s="65"/>
      <c r="T64" s="95"/>
      <c r="U64" s="97"/>
      <c r="V64" s="93"/>
      <c r="W64" s="98"/>
      <c r="X64" s="93"/>
      <c r="Y64" s="98"/>
      <c r="Z64" s="93"/>
      <c r="AA64" s="93"/>
      <c r="AB64" s="93"/>
      <c r="AC64" s="93"/>
      <c r="AD64" s="93"/>
      <c r="AE64" s="93"/>
      <c r="AF64" s="96"/>
      <c r="AG64" s="94"/>
      <c r="AH64" s="93"/>
      <c r="AK64" s="7"/>
      <c r="AL64" s="7"/>
      <c r="AM64" s="41"/>
      <c r="AN64" s="42"/>
      <c r="AO64" s="7"/>
      <c r="AP64" s="7"/>
      <c r="AQ64" s="7"/>
      <c r="AR64" s="7"/>
      <c r="AS64" s="5"/>
      <c r="AT64" s="5"/>
    </row>
    <row r="65" spans="1:46" ht="15.75" x14ac:dyDescent="0.25">
      <c r="A65" s="56"/>
      <c r="B65" s="54"/>
      <c r="D65" s="63"/>
      <c r="E65" s="64"/>
      <c r="F65" s="64"/>
      <c r="G65" s="64"/>
      <c r="H65" s="64"/>
      <c r="I65" s="64"/>
      <c r="J65" s="64"/>
      <c r="K65" s="64"/>
      <c r="L65" s="64"/>
      <c r="M65" s="64"/>
      <c r="N65" s="64"/>
      <c r="O65" s="64"/>
      <c r="P65" s="64"/>
      <c r="Q65" s="64"/>
      <c r="R65" s="65"/>
      <c r="T65" s="95"/>
      <c r="U65" s="97"/>
      <c r="V65" s="93"/>
      <c r="W65" s="98"/>
      <c r="X65" s="93"/>
      <c r="Y65" s="98"/>
      <c r="Z65" s="93"/>
      <c r="AA65" s="93"/>
      <c r="AB65" s="93"/>
      <c r="AC65" s="93"/>
      <c r="AD65" s="93"/>
      <c r="AE65" s="93"/>
      <c r="AF65" s="96"/>
      <c r="AG65" s="94"/>
      <c r="AH65" s="93"/>
      <c r="AK65" s="7"/>
      <c r="AL65" s="7"/>
      <c r="AM65" s="41"/>
      <c r="AN65" s="42"/>
      <c r="AO65" s="7"/>
      <c r="AP65" s="7"/>
      <c r="AQ65" s="7"/>
      <c r="AR65" s="7"/>
      <c r="AS65" s="5"/>
      <c r="AT65" s="5"/>
    </row>
    <row r="66" spans="1:46" ht="15.75" x14ac:dyDescent="0.25">
      <c r="A66" s="56"/>
      <c r="B66" s="54"/>
      <c r="D66" s="63"/>
      <c r="E66" s="64"/>
      <c r="F66" s="64"/>
      <c r="G66" s="64"/>
      <c r="H66" s="64"/>
      <c r="I66" s="64"/>
      <c r="J66" s="64"/>
      <c r="K66" s="64"/>
      <c r="L66" s="64"/>
      <c r="M66" s="64"/>
      <c r="N66" s="64"/>
      <c r="O66" s="64"/>
      <c r="P66" s="64"/>
      <c r="Q66" s="64"/>
      <c r="R66" s="65"/>
      <c r="T66" s="95"/>
      <c r="U66" s="97"/>
      <c r="V66" s="93"/>
      <c r="W66" s="98"/>
      <c r="X66" s="93"/>
      <c r="Y66" s="98"/>
      <c r="Z66" s="93"/>
      <c r="AA66" s="93"/>
      <c r="AB66" s="93"/>
      <c r="AC66" s="93"/>
      <c r="AD66" s="93"/>
      <c r="AE66" s="93"/>
      <c r="AF66" s="96"/>
      <c r="AG66" s="94"/>
      <c r="AH66" s="93"/>
      <c r="AK66" s="7"/>
      <c r="AL66" s="7"/>
      <c r="AM66" s="41"/>
      <c r="AN66" s="42"/>
      <c r="AO66" s="7"/>
      <c r="AP66" s="7"/>
      <c r="AQ66" s="7"/>
      <c r="AR66" s="7"/>
      <c r="AS66" s="5"/>
      <c r="AT66" s="5"/>
    </row>
    <row r="67" spans="1:46" ht="15.75" x14ac:dyDescent="0.25">
      <c r="A67" s="56"/>
      <c r="B67" s="54"/>
      <c r="D67" s="63"/>
      <c r="E67" s="64"/>
      <c r="F67" s="64"/>
      <c r="G67" s="64"/>
      <c r="H67" s="64"/>
      <c r="I67" s="64"/>
      <c r="J67" s="64"/>
      <c r="K67" s="64"/>
      <c r="L67" s="64"/>
      <c r="M67" s="64"/>
      <c r="N67" s="64"/>
      <c r="O67" s="64"/>
      <c r="P67" s="64"/>
      <c r="Q67" s="64"/>
      <c r="R67" s="65"/>
      <c r="T67" s="95"/>
      <c r="U67" s="97"/>
      <c r="V67" s="93"/>
      <c r="W67" s="98"/>
      <c r="X67" s="93"/>
      <c r="Y67" s="98"/>
      <c r="Z67" s="93"/>
      <c r="AA67" s="93"/>
      <c r="AB67" s="93"/>
      <c r="AC67" s="93"/>
      <c r="AD67" s="93"/>
      <c r="AE67" s="93"/>
      <c r="AF67" s="96"/>
      <c r="AG67" s="94"/>
      <c r="AH67" s="93"/>
      <c r="AK67" s="7"/>
      <c r="AL67" s="7"/>
      <c r="AM67" s="41"/>
      <c r="AN67" s="42"/>
      <c r="AO67" s="7"/>
      <c r="AP67" s="7"/>
      <c r="AQ67" s="7"/>
      <c r="AR67" s="7"/>
      <c r="AS67" s="5"/>
      <c r="AT67" s="5"/>
    </row>
    <row r="68" spans="1:46" ht="16.5" thickBot="1" x14ac:dyDescent="0.3">
      <c r="A68" s="56"/>
      <c r="B68" s="54"/>
      <c r="D68" s="66"/>
      <c r="E68" s="67"/>
      <c r="F68" s="67"/>
      <c r="G68" s="67"/>
      <c r="H68" s="67"/>
      <c r="I68" s="67"/>
      <c r="J68" s="67"/>
      <c r="K68" s="67"/>
      <c r="L68" s="67"/>
      <c r="M68" s="67"/>
      <c r="N68" s="67"/>
      <c r="O68" s="67"/>
      <c r="P68" s="67"/>
      <c r="Q68" s="67"/>
      <c r="R68" s="68"/>
      <c r="T68" s="95"/>
      <c r="U68" s="97"/>
      <c r="V68" s="93"/>
      <c r="W68" s="98"/>
      <c r="X68" s="93"/>
      <c r="Y68" s="98"/>
      <c r="Z68" s="93"/>
      <c r="AA68" s="93"/>
      <c r="AB68" s="93"/>
      <c r="AC68" s="93"/>
      <c r="AD68" s="93"/>
      <c r="AE68" s="93"/>
      <c r="AF68" s="96"/>
      <c r="AG68" s="94"/>
      <c r="AH68" s="93"/>
      <c r="AK68" s="7"/>
      <c r="AL68" s="7"/>
      <c r="AM68" s="41"/>
      <c r="AN68" s="42"/>
      <c r="AO68" s="7"/>
      <c r="AP68" s="7"/>
      <c r="AQ68" s="7"/>
      <c r="AR68" s="7"/>
      <c r="AS68" s="5"/>
      <c r="AT68" s="5"/>
    </row>
    <row r="69" spans="1:46" ht="16.5" thickTop="1" x14ac:dyDescent="0.25">
      <c r="A69" s="56"/>
      <c r="B69" s="54"/>
      <c r="D69" s="69"/>
      <c r="E69" s="70"/>
      <c r="F69" s="70"/>
      <c r="G69" s="70"/>
      <c r="H69" s="70"/>
      <c r="I69" s="70"/>
      <c r="J69" s="70"/>
      <c r="K69" s="70"/>
      <c r="L69" s="70"/>
      <c r="M69" s="70"/>
      <c r="N69" s="70"/>
      <c r="O69" s="70"/>
      <c r="P69" s="70"/>
      <c r="Q69" s="70"/>
      <c r="R69" s="71"/>
      <c r="T69" s="95"/>
      <c r="U69" s="97"/>
      <c r="V69" s="93"/>
      <c r="W69" s="98"/>
      <c r="X69" s="93"/>
      <c r="Y69" s="98"/>
      <c r="Z69" s="93"/>
      <c r="AA69" s="93"/>
      <c r="AB69" s="93"/>
      <c r="AC69" s="93"/>
      <c r="AD69" s="93"/>
      <c r="AE69" s="93"/>
      <c r="AF69" s="96"/>
      <c r="AG69" s="94"/>
      <c r="AH69" s="93"/>
      <c r="AK69" s="7"/>
      <c r="AL69" s="7"/>
      <c r="AM69" s="41"/>
      <c r="AN69" s="42"/>
      <c r="AO69" s="7"/>
      <c r="AP69" s="7"/>
      <c r="AQ69" s="7"/>
      <c r="AR69" s="7"/>
      <c r="AS69" s="5"/>
      <c r="AT69" s="5"/>
    </row>
    <row r="70" spans="1:46" ht="15.75" x14ac:dyDescent="0.25">
      <c r="A70" s="56"/>
      <c r="B70" s="54"/>
      <c r="D70" s="63"/>
      <c r="E70" s="64"/>
      <c r="F70" s="64"/>
      <c r="G70" s="64"/>
      <c r="H70" s="64"/>
      <c r="I70" s="64"/>
      <c r="J70" s="64"/>
      <c r="K70" s="64"/>
      <c r="L70" s="64"/>
      <c r="M70" s="64"/>
      <c r="N70" s="64"/>
      <c r="O70" s="64"/>
      <c r="P70" s="64"/>
      <c r="Q70" s="64"/>
      <c r="R70" s="65"/>
      <c r="T70" s="95"/>
      <c r="U70" s="97"/>
      <c r="V70" s="93"/>
      <c r="W70" s="98"/>
      <c r="X70" s="93"/>
      <c r="Y70" s="98"/>
      <c r="Z70" s="93"/>
      <c r="AA70" s="93"/>
      <c r="AB70" s="93"/>
      <c r="AC70" s="93"/>
      <c r="AD70" s="93"/>
      <c r="AE70" s="93"/>
      <c r="AF70" s="96"/>
      <c r="AG70" s="94"/>
      <c r="AH70" s="93"/>
      <c r="AK70" s="7"/>
      <c r="AL70" s="7"/>
      <c r="AM70" s="41"/>
      <c r="AN70" s="42"/>
      <c r="AO70" s="7"/>
      <c r="AP70" s="7"/>
      <c r="AQ70" s="7"/>
      <c r="AR70" s="7"/>
      <c r="AS70" s="5"/>
      <c r="AT70" s="5"/>
    </row>
    <row r="71" spans="1:46" ht="15.75" x14ac:dyDescent="0.25">
      <c r="A71" s="56"/>
      <c r="B71" s="54"/>
      <c r="D71" s="63"/>
      <c r="E71" s="64"/>
      <c r="F71" s="64"/>
      <c r="G71" s="64"/>
      <c r="H71" s="64"/>
      <c r="I71" s="64"/>
      <c r="J71" s="64"/>
      <c r="K71" s="64"/>
      <c r="L71" s="64"/>
      <c r="M71" s="64"/>
      <c r="N71" s="64"/>
      <c r="O71" s="64"/>
      <c r="P71" s="64"/>
      <c r="Q71" s="64"/>
      <c r="R71" s="65"/>
      <c r="T71" s="95"/>
      <c r="U71" s="97"/>
      <c r="V71" s="93"/>
      <c r="W71" s="98"/>
      <c r="X71" s="93"/>
      <c r="Y71" s="98"/>
      <c r="Z71" s="93"/>
      <c r="AA71" s="93"/>
      <c r="AB71" s="93"/>
      <c r="AC71" s="93"/>
      <c r="AD71" s="93"/>
      <c r="AE71" s="93"/>
      <c r="AF71" s="96"/>
      <c r="AG71" s="94"/>
      <c r="AH71" s="93"/>
      <c r="AK71" s="7"/>
      <c r="AL71" s="7"/>
      <c r="AM71" s="41"/>
      <c r="AN71" s="42"/>
      <c r="AO71" s="7"/>
      <c r="AP71" s="7"/>
      <c r="AQ71" s="7"/>
      <c r="AR71" s="7"/>
      <c r="AS71" s="5"/>
      <c r="AT71" s="5"/>
    </row>
    <row r="72" spans="1:46" ht="15.75" x14ac:dyDescent="0.25">
      <c r="A72" s="56"/>
      <c r="B72" s="54"/>
      <c r="D72" s="63"/>
      <c r="E72" s="64"/>
      <c r="F72" s="64"/>
      <c r="G72" s="64"/>
      <c r="H72" s="64"/>
      <c r="I72" s="64"/>
      <c r="J72" s="64"/>
      <c r="K72" s="64"/>
      <c r="L72" s="64"/>
      <c r="M72" s="64"/>
      <c r="N72" s="64"/>
      <c r="O72" s="64"/>
      <c r="P72" s="64"/>
      <c r="Q72" s="64"/>
      <c r="R72" s="65"/>
      <c r="T72" s="95"/>
      <c r="U72" s="97"/>
      <c r="V72" s="93"/>
      <c r="W72" s="98"/>
      <c r="X72" s="93"/>
      <c r="Y72" s="98"/>
      <c r="Z72" s="93"/>
      <c r="AA72" s="93"/>
      <c r="AB72" s="93"/>
      <c r="AC72" s="93"/>
      <c r="AD72" s="93"/>
      <c r="AE72" s="93"/>
      <c r="AF72" s="96"/>
      <c r="AG72" s="94"/>
      <c r="AH72" s="93"/>
      <c r="AK72" s="7"/>
      <c r="AL72" s="7"/>
      <c r="AM72" s="41"/>
      <c r="AN72" s="42"/>
      <c r="AO72" s="7"/>
      <c r="AP72" s="7"/>
      <c r="AQ72" s="7"/>
      <c r="AR72" s="7"/>
      <c r="AS72" s="5"/>
      <c r="AT72" s="5"/>
    </row>
    <row r="73" spans="1:46" ht="15.75" x14ac:dyDescent="0.25">
      <c r="A73" s="56"/>
      <c r="B73" s="54"/>
      <c r="D73" s="63"/>
      <c r="E73" s="64"/>
      <c r="F73" s="64"/>
      <c r="G73" s="64"/>
      <c r="H73" s="64"/>
      <c r="I73" s="64"/>
      <c r="J73" s="64"/>
      <c r="K73" s="64"/>
      <c r="L73" s="64"/>
      <c r="M73" s="64"/>
      <c r="N73" s="64"/>
      <c r="O73" s="64"/>
      <c r="P73" s="64"/>
      <c r="Q73" s="64"/>
      <c r="R73" s="65"/>
      <c r="T73" s="95"/>
      <c r="U73" s="97"/>
      <c r="V73" s="93"/>
      <c r="W73" s="98"/>
      <c r="X73" s="93"/>
      <c r="Y73" s="98"/>
      <c r="Z73" s="93"/>
      <c r="AA73" s="93"/>
      <c r="AB73" s="93"/>
      <c r="AC73" s="93"/>
      <c r="AD73" s="93"/>
      <c r="AE73" s="93"/>
      <c r="AF73" s="96"/>
      <c r="AG73" s="94"/>
      <c r="AH73" s="93"/>
      <c r="AK73" s="7"/>
      <c r="AL73" s="7"/>
      <c r="AM73" s="41"/>
      <c r="AN73" s="42"/>
      <c r="AO73" s="7"/>
      <c r="AP73" s="7"/>
      <c r="AQ73" s="7"/>
      <c r="AR73" s="7"/>
      <c r="AS73" s="5"/>
      <c r="AT73" s="5"/>
    </row>
    <row r="74" spans="1:46" ht="15.75" x14ac:dyDescent="0.25">
      <c r="A74" s="56"/>
      <c r="B74" s="54"/>
      <c r="D74" s="63"/>
      <c r="E74" s="64"/>
      <c r="F74" s="64"/>
      <c r="G74" s="64"/>
      <c r="H74" s="64"/>
      <c r="I74" s="64"/>
      <c r="J74" s="64"/>
      <c r="K74" s="64"/>
      <c r="L74" s="64"/>
      <c r="M74" s="64"/>
      <c r="N74" s="64"/>
      <c r="O74" s="64"/>
      <c r="P74" s="64"/>
      <c r="Q74" s="64"/>
      <c r="R74" s="65"/>
      <c r="T74" s="95"/>
      <c r="U74" s="97"/>
      <c r="V74" s="93"/>
      <c r="W74" s="98"/>
      <c r="X74" s="93"/>
      <c r="Y74" s="98"/>
      <c r="Z74" s="93"/>
      <c r="AA74" s="93"/>
      <c r="AB74" s="93"/>
      <c r="AC74" s="93"/>
      <c r="AD74" s="93"/>
      <c r="AE74" s="93"/>
      <c r="AF74" s="96"/>
      <c r="AG74" s="94"/>
      <c r="AH74" s="93"/>
      <c r="AK74" s="7"/>
      <c r="AL74" s="7"/>
      <c r="AM74" s="41"/>
      <c r="AN74" s="42"/>
      <c r="AO74" s="7"/>
      <c r="AP74" s="7"/>
      <c r="AQ74" s="7"/>
      <c r="AR74" s="7"/>
      <c r="AS74" s="5"/>
      <c r="AT74" s="5"/>
    </row>
    <row r="75" spans="1:46" ht="15.75" x14ac:dyDescent="0.25">
      <c r="A75" s="56"/>
      <c r="B75" s="54"/>
      <c r="D75" s="63"/>
      <c r="E75" s="64"/>
      <c r="F75" s="64"/>
      <c r="G75" s="64"/>
      <c r="H75" s="64"/>
      <c r="I75" s="64"/>
      <c r="J75" s="64"/>
      <c r="K75" s="64"/>
      <c r="L75" s="64"/>
      <c r="M75" s="64"/>
      <c r="N75" s="64"/>
      <c r="O75" s="64"/>
      <c r="P75" s="64"/>
      <c r="Q75" s="64"/>
      <c r="R75" s="65"/>
      <c r="T75" s="95"/>
      <c r="U75" s="97"/>
      <c r="V75" s="93"/>
      <c r="W75" s="98"/>
      <c r="X75" s="93"/>
      <c r="Y75" s="98"/>
      <c r="Z75" s="93"/>
      <c r="AA75" s="93"/>
      <c r="AB75" s="93"/>
      <c r="AC75" s="93"/>
      <c r="AD75" s="93"/>
      <c r="AE75" s="93"/>
      <c r="AF75" s="96"/>
      <c r="AG75" s="94"/>
      <c r="AH75" s="93"/>
      <c r="AK75" s="7"/>
      <c r="AL75" s="7"/>
      <c r="AM75" s="41"/>
      <c r="AN75" s="42"/>
      <c r="AO75" s="7"/>
      <c r="AP75" s="7"/>
      <c r="AQ75" s="7"/>
      <c r="AR75" s="7"/>
      <c r="AS75" s="5"/>
      <c r="AT75" s="5"/>
    </row>
    <row r="76" spans="1:46" ht="15.75" x14ac:dyDescent="0.25">
      <c r="A76" s="56"/>
      <c r="B76" s="54"/>
      <c r="D76" s="63"/>
      <c r="E76" s="64"/>
      <c r="F76" s="64"/>
      <c r="G76" s="64"/>
      <c r="H76" s="64"/>
      <c r="I76" s="64"/>
      <c r="J76" s="64"/>
      <c r="K76" s="64"/>
      <c r="L76" s="64"/>
      <c r="M76" s="64"/>
      <c r="N76" s="64"/>
      <c r="O76" s="64"/>
      <c r="P76" s="64"/>
      <c r="Q76" s="64"/>
      <c r="R76" s="65"/>
      <c r="T76" s="95"/>
      <c r="U76" s="97"/>
      <c r="V76" s="93"/>
      <c r="W76" s="98"/>
      <c r="X76" s="93"/>
      <c r="Y76" s="98"/>
      <c r="Z76" s="93"/>
      <c r="AA76" s="93"/>
      <c r="AB76" s="93"/>
      <c r="AC76" s="93"/>
      <c r="AD76" s="93"/>
      <c r="AE76" s="93"/>
      <c r="AF76" s="96"/>
      <c r="AG76" s="94"/>
      <c r="AH76" s="93"/>
      <c r="AK76" s="7"/>
      <c r="AL76" s="7"/>
      <c r="AM76" s="41"/>
      <c r="AN76" s="42"/>
      <c r="AO76" s="7"/>
      <c r="AP76" s="7"/>
      <c r="AQ76" s="7"/>
      <c r="AR76" s="7"/>
      <c r="AS76" s="5"/>
      <c r="AT76" s="5"/>
    </row>
    <row r="77" spans="1:46" ht="15.75" x14ac:dyDescent="0.25">
      <c r="A77" s="56"/>
      <c r="B77" s="54"/>
      <c r="D77" s="63"/>
      <c r="E77" s="64"/>
      <c r="F77" s="64"/>
      <c r="G77" s="64"/>
      <c r="H77" s="64"/>
      <c r="I77" s="64"/>
      <c r="J77" s="64"/>
      <c r="K77" s="64"/>
      <c r="L77" s="64"/>
      <c r="M77" s="64"/>
      <c r="N77" s="64"/>
      <c r="O77" s="64"/>
      <c r="P77" s="64"/>
      <c r="Q77" s="64"/>
      <c r="R77" s="65"/>
      <c r="T77" s="95"/>
      <c r="U77" s="97"/>
      <c r="V77" s="93"/>
      <c r="W77" s="98"/>
      <c r="X77" s="93"/>
      <c r="Y77" s="98"/>
      <c r="Z77" s="93"/>
      <c r="AA77" s="93"/>
      <c r="AB77" s="93"/>
      <c r="AC77" s="93"/>
      <c r="AD77" s="93"/>
      <c r="AE77" s="93"/>
      <c r="AF77" s="96"/>
      <c r="AG77" s="94"/>
      <c r="AH77" s="93"/>
      <c r="AK77" s="7"/>
      <c r="AL77" s="7"/>
      <c r="AM77" s="41"/>
      <c r="AN77" s="42"/>
      <c r="AO77" s="7"/>
      <c r="AP77" s="7"/>
      <c r="AQ77" s="7"/>
      <c r="AR77" s="7"/>
      <c r="AS77" s="5"/>
      <c r="AT77" s="5"/>
    </row>
    <row r="78" spans="1:46" ht="15.75" x14ac:dyDescent="0.25">
      <c r="A78" s="56"/>
      <c r="B78" s="54"/>
      <c r="D78" s="63"/>
      <c r="E78" s="64"/>
      <c r="F78" s="64"/>
      <c r="G78" s="64"/>
      <c r="H78" s="64"/>
      <c r="I78" s="64"/>
      <c r="J78" s="64"/>
      <c r="K78" s="64"/>
      <c r="L78" s="64"/>
      <c r="M78" s="64"/>
      <c r="N78" s="64"/>
      <c r="O78" s="64"/>
      <c r="P78" s="64"/>
      <c r="Q78" s="64"/>
      <c r="R78" s="65"/>
      <c r="T78" s="95"/>
      <c r="U78" s="97"/>
      <c r="V78" s="93"/>
      <c r="W78" s="98"/>
      <c r="X78" s="93"/>
      <c r="Y78" s="98"/>
      <c r="Z78" s="93"/>
      <c r="AA78" s="93"/>
      <c r="AB78" s="93"/>
      <c r="AC78" s="93"/>
      <c r="AD78" s="93"/>
      <c r="AE78" s="93"/>
      <c r="AF78" s="96"/>
      <c r="AG78" s="94"/>
      <c r="AH78" s="93"/>
      <c r="AK78" s="7"/>
      <c r="AL78" s="7"/>
      <c r="AM78" s="41"/>
      <c r="AN78" s="42"/>
      <c r="AO78" s="7"/>
      <c r="AP78" s="7"/>
      <c r="AQ78" s="7"/>
      <c r="AR78" s="7"/>
      <c r="AS78" s="5"/>
      <c r="AT78" s="5"/>
    </row>
    <row r="79" spans="1:46" ht="15.75" x14ac:dyDescent="0.25">
      <c r="A79" s="56"/>
      <c r="B79" s="54"/>
      <c r="D79" s="63"/>
      <c r="E79" s="64"/>
      <c r="F79" s="64"/>
      <c r="G79" s="64"/>
      <c r="H79" s="64"/>
      <c r="I79" s="64"/>
      <c r="J79" s="64"/>
      <c r="K79" s="64"/>
      <c r="L79" s="64"/>
      <c r="M79" s="64"/>
      <c r="N79" s="64"/>
      <c r="O79" s="64"/>
      <c r="P79" s="64"/>
      <c r="Q79" s="64"/>
      <c r="R79" s="65"/>
      <c r="T79" s="95"/>
      <c r="U79" s="97"/>
      <c r="V79" s="93"/>
      <c r="W79" s="98"/>
      <c r="X79" s="93"/>
      <c r="Y79" s="98"/>
      <c r="Z79" s="93"/>
      <c r="AA79" s="93"/>
      <c r="AB79" s="93"/>
      <c r="AC79" s="93"/>
      <c r="AD79" s="93"/>
      <c r="AE79" s="93"/>
      <c r="AF79" s="96"/>
      <c r="AG79" s="94"/>
      <c r="AH79" s="93"/>
      <c r="AK79" s="7"/>
      <c r="AL79" s="7"/>
      <c r="AM79" s="41"/>
      <c r="AN79" s="42"/>
      <c r="AO79" s="7"/>
      <c r="AP79" s="7"/>
      <c r="AQ79" s="7"/>
      <c r="AR79" s="7"/>
      <c r="AS79" s="5"/>
      <c r="AT79" s="5"/>
    </row>
    <row r="80" spans="1:46" ht="16.5" thickBot="1" x14ac:dyDescent="0.3">
      <c r="A80" s="56"/>
      <c r="B80" s="54"/>
      <c r="D80" s="66"/>
      <c r="E80" s="67"/>
      <c r="F80" s="67"/>
      <c r="G80" s="67"/>
      <c r="H80" s="67"/>
      <c r="I80" s="67"/>
      <c r="J80" s="67"/>
      <c r="K80" s="67"/>
      <c r="L80" s="67"/>
      <c r="M80" s="67"/>
      <c r="N80" s="67"/>
      <c r="O80" s="67"/>
      <c r="P80" s="67"/>
      <c r="Q80" s="67"/>
      <c r="R80" s="68"/>
      <c r="T80" s="95"/>
      <c r="U80" s="97"/>
      <c r="V80" s="93"/>
      <c r="W80" s="98"/>
      <c r="X80" s="93"/>
      <c r="Y80" s="98"/>
      <c r="Z80" s="93"/>
      <c r="AA80" s="93"/>
      <c r="AB80" s="93"/>
      <c r="AC80" s="93"/>
      <c r="AD80" s="93"/>
      <c r="AE80" s="93"/>
      <c r="AF80" s="96"/>
      <c r="AG80" s="94"/>
      <c r="AH80" s="93"/>
      <c r="AK80" s="7"/>
      <c r="AL80" s="7"/>
      <c r="AM80" s="41"/>
      <c r="AN80" s="42"/>
      <c r="AO80" s="7"/>
      <c r="AP80" s="7"/>
      <c r="AQ80" s="7"/>
      <c r="AR80" s="7"/>
      <c r="AS80" s="5"/>
      <c r="AT80" s="5"/>
    </row>
    <row r="81" spans="1:46" ht="16.5" thickTop="1" x14ac:dyDescent="0.25">
      <c r="A81" s="56"/>
      <c r="B81" s="54"/>
      <c r="D81" s="69"/>
      <c r="E81" s="70"/>
      <c r="F81" s="70"/>
      <c r="G81" s="70"/>
      <c r="H81" s="70"/>
      <c r="I81" s="70"/>
      <c r="J81" s="70"/>
      <c r="K81" s="70"/>
      <c r="L81" s="70"/>
      <c r="M81" s="70"/>
      <c r="N81" s="70"/>
      <c r="O81" s="70"/>
      <c r="P81" s="70"/>
      <c r="Q81" s="70"/>
      <c r="R81" s="71"/>
      <c r="T81" s="95"/>
      <c r="U81" s="97"/>
      <c r="V81" s="93"/>
      <c r="W81" s="98"/>
      <c r="X81" s="93"/>
      <c r="Y81" s="98"/>
      <c r="Z81" s="93"/>
      <c r="AA81" s="93"/>
      <c r="AB81" s="93"/>
      <c r="AC81" s="93"/>
      <c r="AD81" s="93"/>
      <c r="AE81" s="93"/>
      <c r="AF81" s="96"/>
      <c r="AG81" s="94"/>
      <c r="AH81" s="93"/>
      <c r="AK81" s="7"/>
      <c r="AL81" s="7"/>
      <c r="AM81" s="41"/>
      <c r="AN81" s="42"/>
      <c r="AO81" s="7"/>
      <c r="AP81" s="7"/>
      <c r="AQ81" s="7"/>
      <c r="AR81" s="7"/>
      <c r="AS81" s="5"/>
      <c r="AT81" s="5"/>
    </row>
    <row r="82" spans="1:46" ht="15.75" x14ac:dyDescent="0.25">
      <c r="A82" s="56"/>
      <c r="B82" s="54"/>
      <c r="D82" s="63"/>
      <c r="E82" s="64"/>
      <c r="F82" s="64"/>
      <c r="G82" s="64"/>
      <c r="H82" s="64"/>
      <c r="I82" s="64"/>
      <c r="J82" s="64"/>
      <c r="K82" s="64"/>
      <c r="L82" s="64"/>
      <c r="M82" s="64"/>
      <c r="N82" s="64"/>
      <c r="O82" s="64"/>
      <c r="P82" s="64"/>
      <c r="Q82" s="64"/>
      <c r="R82" s="65"/>
      <c r="T82" s="95"/>
      <c r="U82" s="97"/>
      <c r="V82" s="93"/>
      <c r="W82" s="98"/>
      <c r="X82" s="93"/>
      <c r="Y82" s="98"/>
      <c r="Z82" s="93"/>
      <c r="AA82" s="93"/>
      <c r="AB82" s="93"/>
      <c r="AC82" s="93"/>
      <c r="AD82" s="93"/>
      <c r="AE82" s="93"/>
      <c r="AF82" s="96"/>
      <c r="AG82" s="94"/>
      <c r="AH82" s="93"/>
      <c r="AK82" s="7"/>
      <c r="AL82" s="7"/>
      <c r="AM82" s="41"/>
      <c r="AN82" s="42"/>
      <c r="AO82" s="7"/>
      <c r="AP82" s="7"/>
      <c r="AQ82" s="7"/>
      <c r="AR82" s="7"/>
      <c r="AS82" s="5"/>
      <c r="AT82" s="5"/>
    </row>
    <row r="83" spans="1:46" ht="15.75" x14ac:dyDescent="0.25">
      <c r="A83" s="56"/>
      <c r="B83" s="54"/>
      <c r="D83" s="63"/>
      <c r="E83" s="64"/>
      <c r="F83" s="64"/>
      <c r="G83" s="64"/>
      <c r="H83" s="64"/>
      <c r="I83" s="64"/>
      <c r="J83" s="64"/>
      <c r="K83" s="64"/>
      <c r="L83" s="64"/>
      <c r="M83" s="64"/>
      <c r="N83" s="64"/>
      <c r="O83" s="64"/>
      <c r="P83" s="64"/>
      <c r="Q83" s="64"/>
      <c r="R83" s="65"/>
      <c r="T83" s="95"/>
      <c r="U83" s="97"/>
      <c r="V83" s="93"/>
      <c r="W83" s="98"/>
      <c r="X83" s="93"/>
      <c r="Y83" s="98"/>
      <c r="Z83" s="93"/>
      <c r="AA83" s="93"/>
      <c r="AB83" s="93"/>
      <c r="AC83" s="93"/>
      <c r="AD83" s="93"/>
      <c r="AE83" s="93"/>
      <c r="AF83" s="96"/>
      <c r="AG83" s="94"/>
      <c r="AH83" s="93"/>
      <c r="AK83" s="7"/>
      <c r="AL83" s="7"/>
      <c r="AM83" s="41"/>
      <c r="AN83" s="42"/>
      <c r="AO83" s="7"/>
      <c r="AP83" s="7"/>
      <c r="AQ83" s="7"/>
      <c r="AR83" s="7"/>
      <c r="AS83" s="5"/>
      <c r="AT83" s="5"/>
    </row>
    <row r="84" spans="1:46" ht="15.75" x14ac:dyDescent="0.25">
      <c r="A84" s="56"/>
      <c r="B84" s="54"/>
      <c r="D84" s="63"/>
      <c r="E84" s="64"/>
      <c r="F84" s="64"/>
      <c r="G84" s="64"/>
      <c r="H84" s="64"/>
      <c r="I84" s="64"/>
      <c r="J84" s="64"/>
      <c r="K84" s="64"/>
      <c r="L84" s="64"/>
      <c r="M84" s="64"/>
      <c r="N84" s="64"/>
      <c r="O84" s="64"/>
      <c r="P84" s="64"/>
      <c r="Q84" s="64"/>
      <c r="R84" s="65"/>
      <c r="T84" s="95"/>
      <c r="U84" s="97"/>
      <c r="V84" s="93"/>
      <c r="W84" s="98"/>
      <c r="X84" s="93"/>
      <c r="Y84" s="98"/>
      <c r="Z84" s="93"/>
      <c r="AA84" s="93"/>
      <c r="AB84" s="93"/>
      <c r="AC84" s="93"/>
      <c r="AD84" s="93"/>
      <c r="AE84" s="93"/>
      <c r="AF84" s="96"/>
      <c r="AG84" s="94"/>
      <c r="AH84" s="93"/>
      <c r="AK84" s="7"/>
      <c r="AL84" s="7"/>
      <c r="AM84" s="41"/>
      <c r="AN84" s="42"/>
      <c r="AO84" s="7"/>
      <c r="AP84" s="7"/>
      <c r="AQ84" s="7"/>
      <c r="AR84" s="7"/>
      <c r="AS84" s="5"/>
      <c r="AT84" s="5"/>
    </row>
    <row r="85" spans="1:46" ht="15.75" x14ac:dyDescent="0.25">
      <c r="A85" s="56"/>
      <c r="B85" s="54"/>
      <c r="D85" s="63"/>
      <c r="E85" s="64"/>
      <c r="F85" s="64"/>
      <c r="G85" s="64"/>
      <c r="H85" s="64"/>
      <c r="I85" s="64"/>
      <c r="J85" s="64"/>
      <c r="K85" s="64"/>
      <c r="L85" s="64"/>
      <c r="M85" s="64"/>
      <c r="N85" s="64"/>
      <c r="O85" s="64"/>
      <c r="P85" s="64"/>
      <c r="Q85" s="64"/>
      <c r="R85" s="65"/>
      <c r="T85" s="95"/>
      <c r="U85" s="97"/>
      <c r="V85" s="93"/>
      <c r="W85" s="98"/>
      <c r="X85" s="93"/>
      <c r="Y85" s="98"/>
      <c r="Z85" s="93"/>
      <c r="AA85" s="93"/>
      <c r="AB85" s="93"/>
      <c r="AC85" s="93"/>
      <c r="AD85" s="93"/>
      <c r="AE85" s="93"/>
      <c r="AF85" s="96"/>
      <c r="AG85" s="94"/>
      <c r="AH85" s="93"/>
      <c r="AK85" s="7"/>
      <c r="AL85" s="7"/>
      <c r="AM85" s="41"/>
      <c r="AN85" s="42"/>
      <c r="AO85" s="7"/>
      <c r="AP85" s="7"/>
      <c r="AQ85" s="7"/>
      <c r="AR85" s="7"/>
      <c r="AS85" s="5"/>
      <c r="AT85" s="5"/>
    </row>
    <row r="86" spans="1:46" ht="15.75" x14ac:dyDescent="0.25">
      <c r="A86" s="56"/>
      <c r="B86" s="54"/>
      <c r="D86" s="63"/>
      <c r="E86" s="64"/>
      <c r="F86" s="64"/>
      <c r="G86" s="64"/>
      <c r="H86" s="64"/>
      <c r="I86" s="64"/>
      <c r="J86" s="64"/>
      <c r="K86" s="64"/>
      <c r="L86" s="64"/>
      <c r="M86" s="64"/>
      <c r="N86" s="64"/>
      <c r="O86" s="64"/>
      <c r="P86" s="64"/>
      <c r="Q86" s="64"/>
      <c r="R86" s="65"/>
      <c r="T86" s="95"/>
      <c r="U86" s="97"/>
      <c r="V86" s="93"/>
      <c r="W86" s="98"/>
      <c r="X86" s="93"/>
      <c r="Y86" s="98"/>
      <c r="Z86" s="93"/>
      <c r="AA86" s="93"/>
      <c r="AB86" s="93"/>
      <c r="AC86" s="93"/>
      <c r="AD86" s="93"/>
      <c r="AE86" s="93"/>
      <c r="AF86" s="96"/>
      <c r="AG86" s="94"/>
      <c r="AH86" s="93"/>
      <c r="AK86" s="7"/>
      <c r="AL86" s="7"/>
      <c r="AM86" s="41"/>
      <c r="AN86" s="42"/>
      <c r="AO86" s="7"/>
      <c r="AP86" s="7"/>
      <c r="AQ86" s="7"/>
      <c r="AR86" s="7"/>
      <c r="AS86" s="5"/>
      <c r="AT86" s="5"/>
    </row>
    <row r="87" spans="1:46" ht="15.75" x14ac:dyDescent="0.25">
      <c r="A87" s="56"/>
      <c r="B87" s="54"/>
      <c r="D87" s="63"/>
      <c r="E87" s="64"/>
      <c r="F87" s="64"/>
      <c r="G87" s="64"/>
      <c r="H87" s="64"/>
      <c r="I87" s="64"/>
      <c r="J87" s="64"/>
      <c r="K87" s="64"/>
      <c r="L87" s="64"/>
      <c r="M87" s="64"/>
      <c r="N87" s="64"/>
      <c r="O87" s="64"/>
      <c r="P87" s="64"/>
      <c r="Q87" s="64"/>
      <c r="R87" s="65"/>
      <c r="T87" s="95"/>
      <c r="U87" s="97"/>
      <c r="V87" s="93"/>
      <c r="W87" s="98"/>
      <c r="X87" s="93"/>
      <c r="Y87" s="98"/>
      <c r="Z87" s="93"/>
      <c r="AA87" s="93"/>
      <c r="AB87" s="93"/>
      <c r="AC87" s="93"/>
      <c r="AD87" s="93"/>
      <c r="AE87" s="93"/>
      <c r="AF87" s="96"/>
      <c r="AG87" s="94"/>
      <c r="AH87" s="93"/>
      <c r="AK87" s="7"/>
      <c r="AL87" s="7"/>
      <c r="AM87" s="41"/>
      <c r="AN87" s="42"/>
      <c r="AO87" s="7"/>
      <c r="AP87" s="7"/>
      <c r="AQ87" s="7"/>
      <c r="AR87" s="7"/>
      <c r="AS87" s="5"/>
      <c r="AT87" s="5"/>
    </row>
    <row r="88" spans="1:46" ht="15.75" x14ac:dyDescent="0.25">
      <c r="A88" s="56"/>
      <c r="B88" s="54"/>
      <c r="D88" s="63"/>
      <c r="E88" s="64"/>
      <c r="F88" s="64"/>
      <c r="G88" s="64"/>
      <c r="H88" s="64"/>
      <c r="I88" s="64"/>
      <c r="J88" s="64"/>
      <c r="K88" s="64"/>
      <c r="L88" s="64"/>
      <c r="M88" s="64"/>
      <c r="N88" s="64"/>
      <c r="O88" s="64"/>
      <c r="P88" s="64"/>
      <c r="Q88" s="64"/>
      <c r="R88" s="65"/>
      <c r="T88" s="95"/>
      <c r="U88" s="97"/>
      <c r="V88" s="93"/>
      <c r="W88" s="98"/>
      <c r="X88" s="93"/>
      <c r="Y88" s="98"/>
      <c r="Z88" s="93"/>
      <c r="AA88" s="93"/>
      <c r="AB88" s="93"/>
      <c r="AC88" s="93"/>
      <c r="AD88" s="93"/>
      <c r="AE88" s="93"/>
      <c r="AF88" s="96"/>
      <c r="AG88" s="94"/>
      <c r="AH88" s="93"/>
      <c r="AK88" s="7"/>
      <c r="AL88" s="7"/>
      <c r="AM88" s="41"/>
      <c r="AN88" s="42"/>
      <c r="AO88" s="7"/>
      <c r="AP88" s="7"/>
      <c r="AQ88" s="7"/>
      <c r="AR88" s="7"/>
      <c r="AS88" s="5"/>
      <c r="AT88" s="5"/>
    </row>
    <row r="89" spans="1:46" ht="15.75" x14ac:dyDescent="0.25">
      <c r="A89" s="56"/>
      <c r="B89" s="54"/>
      <c r="D89" s="63"/>
      <c r="E89" s="64"/>
      <c r="F89" s="64"/>
      <c r="G89" s="64"/>
      <c r="H89" s="64"/>
      <c r="I89" s="64"/>
      <c r="J89" s="64"/>
      <c r="K89" s="64"/>
      <c r="L89" s="64"/>
      <c r="M89" s="64"/>
      <c r="N89" s="64"/>
      <c r="O89" s="64"/>
      <c r="P89" s="64"/>
      <c r="Q89" s="64"/>
      <c r="R89" s="65"/>
      <c r="T89" s="95"/>
      <c r="U89" s="97"/>
      <c r="V89" s="93"/>
      <c r="W89" s="98"/>
      <c r="X89" s="93"/>
      <c r="Y89" s="98"/>
      <c r="Z89" s="93"/>
      <c r="AA89" s="93"/>
      <c r="AB89" s="93"/>
      <c r="AC89" s="93"/>
      <c r="AD89" s="93"/>
      <c r="AE89" s="93"/>
      <c r="AF89" s="96"/>
      <c r="AG89" s="94"/>
      <c r="AH89" s="93"/>
      <c r="AK89" s="7"/>
      <c r="AL89" s="7"/>
      <c r="AM89" s="41"/>
      <c r="AN89" s="42"/>
      <c r="AO89" s="7"/>
      <c r="AP89" s="7"/>
      <c r="AQ89" s="7"/>
      <c r="AR89" s="7"/>
      <c r="AS89" s="5"/>
      <c r="AT89" s="5"/>
    </row>
    <row r="90" spans="1:46" ht="15.75" x14ac:dyDescent="0.25">
      <c r="A90" s="56"/>
      <c r="B90" s="54"/>
      <c r="D90" s="63"/>
      <c r="E90" s="64"/>
      <c r="F90" s="64"/>
      <c r="G90" s="64"/>
      <c r="H90" s="64"/>
      <c r="I90" s="64"/>
      <c r="J90" s="64"/>
      <c r="K90" s="64"/>
      <c r="L90" s="64"/>
      <c r="M90" s="64"/>
      <c r="N90" s="64"/>
      <c r="O90" s="64"/>
      <c r="P90" s="64"/>
      <c r="Q90" s="64"/>
      <c r="R90" s="65"/>
      <c r="T90" s="95"/>
      <c r="U90" s="97"/>
      <c r="V90" s="93"/>
      <c r="W90" s="98"/>
      <c r="X90" s="93"/>
      <c r="Y90" s="98"/>
      <c r="Z90" s="93"/>
      <c r="AA90" s="93"/>
      <c r="AB90" s="93"/>
      <c r="AC90" s="93"/>
      <c r="AD90" s="93"/>
      <c r="AE90" s="93"/>
      <c r="AF90" s="96"/>
      <c r="AG90" s="94"/>
      <c r="AH90" s="93"/>
      <c r="AK90" s="7"/>
      <c r="AL90" s="7"/>
      <c r="AM90" s="41"/>
      <c r="AN90" s="42"/>
      <c r="AO90" s="7"/>
      <c r="AP90" s="7"/>
      <c r="AQ90" s="7"/>
      <c r="AR90" s="7"/>
      <c r="AS90" s="5"/>
      <c r="AT90" s="5"/>
    </row>
    <row r="91" spans="1:46" ht="15.75" x14ac:dyDescent="0.25">
      <c r="A91" s="56"/>
      <c r="B91" s="54"/>
      <c r="D91" s="63"/>
      <c r="E91" s="64"/>
      <c r="F91" s="64"/>
      <c r="G91" s="64"/>
      <c r="H91" s="64"/>
      <c r="I91" s="64"/>
      <c r="J91" s="64"/>
      <c r="K91" s="64"/>
      <c r="L91" s="64"/>
      <c r="M91" s="64"/>
      <c r="N91" s="64"/>
      <c r="O91" s="64"/>
      <c r="P91" s="64"/>
      <c r="Q91" s="64"/>
      <c r="R91" s="65"/>
      <c r="T91" s="95"/>
      <c r="U91" s="97"/>
      <c r="V91" s="93"/>
      <c r="W91" s="98"/>
      <c r="X91" s="93"/>
      <c r="Y91" s="98"/>
      <c r="Z91" s="93"/>
      <c r="AA91" s="93"/>
      <c r="AB91" s="93"/>
      <c r="AC91" s="93"/>
      <c r="AD91" s="93"/>
      <c r="AE91" s="93"/>
      <c r="AF91" s="96"/>
      <c r="AG91" s="94"/>
      <c r="AH91" s="93"/>
      <c r="AK91" s="7"/>
      <c r="AL91" s="7"/>
      <c r="AM91" s="41"/>
      <c r="AN91" s="42"/>
      <c r="AO91" s="7"/>
      <c r="AP91" s="7"/>
      <c r="AQ91" s="7"/>
      <c r="AR91" s="7"/>
      <c r="AS91" s="5"/>
      <c r="AT91" s="5"/>
    </row>
    <row r="92" spans="1:46" ht="16.5" thickBot="1" x14ac:dyDescent="0.3">
      <c r="A92" s="56"/>
      <c r="B92" s="54"/>
      <c r="D92" s="66"/>
      <c r="E92" s="67"/>
      <c r="F92" s="67"/>
      <c r="G92" s="67"/>
      <c r="H92" s="67"/>
      <c r="I92" s="67"/>
      <c r="J92" s="67"/>
      <c r="K92" s="67"/>
      <c r="L92" s="67"/>
      <c r="M92" s="67"/>
      <c r="N92" s="67"/>
      <c r="O92" s="67"/>
      <c r="P92" s="67"/>
      <c r="Q92" s="67"/>
      <c r="R92" s="68"/>
      <c r="T92" s="95"/>
      <c r="U92" s="97"/>
      <c r="V92" s="93"/>
      <c r="W92" s="98"/>
      <c r="X92" s="93"/>
      <c r="Y92" s="98"/>
      <c r="Z92" s="93"/>
      <c r="AA92" s="93"/>
      <c r="AB92" s="93"/>
      <c r="AC92" s="93"/>
      <c r="AD92" s="93"/>
      <c r="AE92" s="93"/>
      <c r="AF92" s="96"/>
      <c r="AG92" s="94"/>
      <c r="AH92" s="93"/>
      <c r="AK92" s="7"/>
      <c r="AL92" s="7"/>
      <c r="AM92" s="41"/>
      <c r="AN92" s="42"/>
      <c r="AO92" s="7"/>
      <c r="AP92" s="7"/>
      <c r="AQ92" s="7"/>
      <c r="AR92" s="7"/>
      <c r="AS92" s="5"/>
      <c r="AT92" s="5"/>
    </row>
    <row r="93" spans="1:46" ht="16.5" thickTop="1" x14ac:dyDescent="0.25">
      <c r="A93" s="56"/>
      <c r="B93" s="54"/>
      <c r="D93" s="69"/>
      <c r="E93" s="70"/>
      <c r="F93" s="70"/>
      <c r="G93" s="70"/>
      <c r="H93" s="70"/>
      <c r="I93" s="70"/>
      <c r="J93" s="70"/>
      <c r="K93" s="70"/>
      <c r="L93" s="70"/>
      <c r="M93" s="70"/>
      <c r="N93" s="70"/>
      <c r="O93" s="70"/>
      <c r="P93" s="70"/>
      <c r="Q93" s="70"/>
      <c r="R93" s="71"/>
      <c r="T93" s="95"/>
      <c r="U93" s="97"/>
      <c r="V93" s="93"/>
      <c r="W93" s="98"/>
      <c r="X93" s="93"/>
      <c r="Y93" s="98"/>
      <c r="Z93" s="93"/>
      <c r="AA93" s="93"/>
      <c r="AB93" s="93"/>
      <c r="AC93" s="93"/>
      <c r="AD93" s="93"/>
      <c r="AE93" s="93"/>
      <c r="AF93" s="96"/>
      <c r="AG93" s="94"/>
      <c r="AH93" s="93"/>
      <c r="AK93" s="7"/>
      <c r="AL93" s="7"/>
      <c r="AM93" s="41"/>
      <c r="AN93" s="42"/>
      <c r="AO93" s="7"/>
      <c r="AP93" s="7"/>
      <c r="AQ93" s="7"/>
      <c r="AR93" s="7"/>
      <c r="AS93" s="5"/>
      <c r="AT93" s="5"/>
    </row>
    <row r="94" spans="1:46" ht="15.75" x14ac:dyDescent="0.25">
      <c r="A94" s="56"/>
      <c r="B94" s="54"/>
      <c r="D94" s="63"/>
      <c r="E94" s="64"/>
      <c r="F94" s="64"/>
      <c r="G94" s="64"/>
      <c r="H94" s="64"/>
      <c r="I94" s="64"/>
      <c r="J94" s="64"/>
      <c r="K94" s="64"/>
      <c r="L94" s="64"/>
      <c r="M94" s="64"/>
      <c r="N94" s="64"/>
      <c r="O94" s="64"/>
      <c r="P94" s="64"/>
      <c r="Q94" s="64"/>
      <c r="R94" s="65"/>
      <c r="T94" s="95"/>
      <c r="U94" s="97"/>
      <c r="V94" s="93"/>
      <c r="W94" s="98"/>
      <c r="X94" s="93"/>
      <c r="Y94" s="98"/>
      <c r="Z94" s="93"/>
      <c r="AA94" s="93"/>
      <c r="AB94" s="93"/>
      <c r="AC94" s="93"/>
      <c r="AD94" s="93"/>
      <c r="AE94" s="93"/>
      <c r="AF94" s="96"/>
      <c r="AG94" s="94"/>
      <c r="AH94" s="93"/>
      <c r="AK94" s="7"/>
      <c r="AL94" s="7"/>
      <c r="AM94" s="41"/>
      <c r="AN94" s="42"/>
      <c r="AO94" s="7"/>
      <c r="AP94" s="7"/>
      <c r="AQ94" s="7"/>
      <c r="AR94" s="7"/>
      <c r="AS94" s="5"/>
      <c r="AT94" s="5"/>
    </row>
    <row r="95" spans="1:46" ht="15.75" x14ac:dyDescent="0.25">
      <c r="A95" s="56"/>
      <c r="B95" s="54"/>
      <c r="D95" s="63"/>
      <c r="E95" s="64"/>
      <c r="F95" s="64"/>
      <c r="G95" s="64"/>
      <c r="H95" s="64"/>
      <c r="I95" s="64"/>
      <c r="J95" s="64"/>
      <c r="K95" s="64"/>
      <c r="L95" s="64"/>
      <c r="M95" s="64"/>
      <c r="N95" s="64"/>
      <c r="O95" s="64"/>
      <c r="P95" s="64"/>
      <c r="Q95" s="64"/>
      <c r="R95" s="65"/>
      <c r="T95" s="95"/>
      <c r="U95" s="97"/>
      <c r="V95" s="93"/>
      <c r="W95" s="98"/>
      <c r="X95" s="93"/>
      <c r="Y95" s="98"/>
      <c r="Z95" s="93"/>
      <c r="AA95" s="93"/>
      <c r="AB95" s="93"/>
      <c r="AC95" s="93"/>
      <c r="AD95" s="93"/>
      <c r="AE95" s="93"/>
      <c r="AF95" s="96"/>
      <c r="AG95" s="94"/>
      <c r="AH95" s="93"/>
      <c r="AK95" s="7"/>
      <c r="AL95" s="7"/>
      <c r="AM95" s="41"/>
      <c r="AN95" s="42"/>
      <c r="AO95" s="7"/>
      <c r="AP95" s="7"/>
      <c r="AQ95" s="7"/>
      <c r="AR95" s="7"/>
      <c r="AS95" s="5"/>
      <c r="AT95" s="5"/>
    </row>
    <row r="96" spans="1:46" ht="15.75" x14ac:dyDescent="0.25">
      <c r="A96" s="56"/>
      <c r="B96" s="54"/>
      <c r="D96" s="63"/>
      <c r="E96" s="64"/>
      <c r="F96" s="64"/>
      <c r="G96" s="64"/>
      <c r="H96" s="64"/>
      <c r="I96" s="64"/>
      <c r="J96" s="64"/>
      <c r="K96" s="64"/>
      <c r="L96" s="64"/>
      <c r="M96" s="64"/>
      <c r="N96" s="64"/>
      <c r="O96" s="64"/>
      <c r="P96" s="64"/>
      <c r="Q96" s="64"/>
      <c r="R96" s="65"/>
      <c r="T96" s="95"/>
      <c r="U96" s="97"/>
      <c r="V96" s="93"/>
      <c r="W96" s="98"/>
      <c r="X96" s="93"/>
      <c r="Y96" s="98"/>
      <c r="Z96" s="93"/>
      <c r="AA96" s="93"/>
      <c r="AB96" s="93"/>
      <c r="AC96" s="93"/>
      <c r="AD96" s="93"/>
      <c r="AE96" s="93"/>
      <c r="AF96" s="96"/>
      <c r="AG96" s="94"/>
      <c r="AH96" s="93"/>
      <c r="AK96" s="7"/>
      <c r="AL96" s="7"/>
      <c r="AM96" s="41"/>
      <c r="AN96" s="42"/>
      <c r="AO96" s="7"/>
      <c r="AP96" s="7"/>
      <c r="AQ96" s="7"/>
      <c r="AR96" s="7"/>
      <c r="AS96" s="5"/>
      <c r="AT96" s="5"/>
    </row>
    <row r="97" spans="1:46" ht="15.75" x14ac:dyDescent="0.25">
      <c r="A97" s="56"/>
      <c r="B97" s="54"/>
      <c r="D97" s="63"/>
      <c r="E97" s="64"/>
      <c r="F97" s="64"/>
      <c r="G97" s="64"/>
      <c r="H97" s="64"/>
      <c r="I97" s="64"/>
      <c r="J97" s="64"/>
      <c r="K97" s="64"/>
      <c r="L97" s="64"/>
      <c r="M97" s="64"/>
      <c r="N97" s="64"/>
      <c r="O97" s="64"/>
      <c r="P97" s="64"/>
      <c r="Q97" s="64"/>
      <c r="R97" s="65"/>
      <c r="T97" s="95"/>
      <c r="U97" s="97"/>
      <c r="V97" s="93"/>
      <c r="W97" s="98"/>
      <c r="X97" s="93"/>
      <c r="Y97" s="98"/>
      <c r="Z97" s="93"/>
      <c r="AA97" s="93"/>
      <c r="AB97" s="93"/>
      <c r="AC97" s="93"/>
      <c r="AD97" s="93"/>
      <c r="AE97" s="93"/>
      <c r="AF97" s="96"/>
      <c r="AG97" s="94"/>
      <c r="AH97" s="93"/>
      <c r="AK97" s="7"/>
      <c r="AL97" s="7"/>
      <c r="AM97" s="41"/>
      <c r="AN97" s="42"/>
      <c r="AO97" s="7"/>
      <c r="AP97" s="7"/>
      <c r="AQ97" s="7"/>
      <c r="AR97" s="7"/>
      <c r="AS97" s="5"/>
      <c r="AT97" s="5"/>
    </row>
    <row r="98" spans="1:46" ht="15.75" x14ac:dyDescent="0.25">
      <c r="A98" s="56"/>
      <c r="B98" s="54"/>
      <c r="D98" s="63"/>
      <c r="E98" s="64"/>
      <c r="F98" s="64"/>
      <c r="G98" s="64"/>
      <c r="H98" s="64"/>
      <c r="I98" s="64"/>
      <c r="J98" s="64"/>
      <c r="K98" s="64"/>
      <c r="L98" s="64"/>
      <c r="M98" s="64"/>
      <c r="N98" s="64"/>
      <c r="O98" s="64"/>
      <c r="P98" s="64"/>
      <c r="Q98" s="64"/>
      <c r="R98" s="65"/>
      <c r="T98" s="95"/>
      <c r="U98" s="97"/>
      <c r="V98" s="93"/>
      <c r="W98" s="98"/>
      <c r="X98" s="93"/>
      <c r="Y98" s="98"/>
      <c r="Z98" s="93"/>
      <c r="AA98" s="93"/>
      <c r="AB98" s="93"/>
      <c r="AC98" s="93"/>
      <c r="AD98" s="93"/>
      <c r="AE98" s="93"/>
      <c r="AF98" s="96"/>
      <c r="AG98" s="94"/>
      <c r="AH98" s="93"/>
      <c r="AK98" s="7"/>
      <c r="AL98" s="7"/>
      <c r="AM98" s="41"/>
      <c r="AN98" s="42"/>
      <c r="AO98" s="7"/>
      <c r="AP98" s="7"/>
      <c r="AQ98" s="7"/>
      <c r="AR98" s="7"/>
      <c r="AS98" s="5"/>
      <c r="AT98" s="5"/>
    </row>
    <row r="99" spans="1:46" ht="15.75" x14ac:dyDescent="0.25">
      <c r="A99" s="56"/>
      <c r="B99" s="54"/>
      <c r="D99" s="63"/>
      <c r="E99" s="64"/>
      <c r="F99" s="64"/>
      <c r="G99" s="64"/>
      <c r="H99" s="64"/>
      <c r="I99" s="64"/>
      <c r="J99" s="64"/>
      <c r="K99" s="64"/>
      <c r="L99" s="64"/>
      <c r="M99" s="64"/>
      <c r="N99" s="64"/>
      <c r="O99" s="64"/>
      <c r="P99" s="64"/>
      <c r="Q99" s="64"/>
      <c r="R99" s="65"/>
      <c r="T99" s="95"/>
      <c r="U99" s="97"/>
      <c r="V99" s="93"/>
      <c r="W99" s="98"/>
      <c r="X99" s="93"/>
      <c r="Y99" s="98"/>
      <c r="Z99" s="93"/>
      <c r="AA99" s="93"/>
      <c r="AB99" s="93"/>
      <c r="AC99" s="93"/>
      <c r="AD99" s="93"/>
      <c r="AE99" s="93"/>
      <c r="AF99" s="96"/>
      <c r="AG99" s="94"/>
      <c r="AH99" s="93"/>
      <c r="AK99" s="7"/>
      <c r="AL99" s="7"/>
      <c r="AM99" s="41"/>
      <c r="AN99" s="42"/>
      <c r="AO99" s="7"/>
      <c r="AP99" s="7"/>
      <c r="AQ99" s="7"/>
      <c r="AR99" s="7"/>
      <c r="AS99" s="5"/>
      <c r="AT99" s="5"/>
    </row>
    <row r="100" spans="1:46" ht="15.75" x14ac:dyDescent="0.25">
      <c r="A100" s="56"/>
      <c r="B100" s="54"/>
      <c r="D100" s="63"/>
      <c r="E100" s="64"/>
      <c r="F100" s="64"/>
      <c r="G100" s="64"/>
      <c r="H100" s="64"/>
      <c r="I100" s="64"/>
      <c r="J100" s="64"/>
      <c r="K100" s="64"/>
      <c r="L100" s="64"/>
      <c r="M100" s="64"/>
      <c r="N100" s="64"/>
      <c r="O100" s="64"/>
      <c r="P100" s="64"/>
      <c r="Q100" s="64"/>
      <c r="R100" s="65"/>
      <c r="T100" s="95"/>
      <c r="U100" s="97"/>
      <c r="V100" s="93"/>
      <c r="W100" s="98"/>
      <c r="X100" s="93"/>
      <c r="Y100" s="98"/>
      <c r="Z100" s="93"/>
      <c r="AA100" s="93"/>
      <c r="AB100" s="93"/>
      <c r="AC100" s="93"/>
      <c r="AD100" s="93"/>
      <c r="AE100" s="93"/>
      <c r="AF100" s="96"/>
      <c r="AG100" s="94"/>
      <c r="AH100" s="93"/>
      <c r="AK100" s="7"/>
      <c r="AL100" s="7"/>
      <c r="AM100" s="41"/>
      <c r="AN100" s="42"/>
      <c r="AO100" s="7"/>
      <c r="AP100" s="7"/>
      <c r="AQ100" s="7"/>
      <c r="AR100" s="7"/>
      <c r="AS100" s="5"/>
      <c r="AT100" s="5"/>
    </row>
    <row r="101" spans="1:46" ht="15.75" x14ac:dyDescent="0.25">
      <c r="A101" s="56"/>
      <c r="B101" s="54"/>
      <c r="D101" s="63"/>
      <c r="E101" s="64"/>
      <c r="F101" s="64"/>
      <c r="G101" s="64"/>
      <c r="H101" s="64"/>
      <c r="I101" s="64"/>
      <c r="J101" s="64"/>
      <c r="K101" s="64"/>
      <c r="L101" s="64"/>
      <c r="M101" s="64"/>
      <c r="N101" s="64"/>
      <c r="O101" s="64"/>
      <c r="P101" s="64"/>
      <c r="Q101" s="64"/>
      <c r="R101" s="65"/>
      <c r="T101" s="95"/>
      <c r="U101" s="97"/>
      <c r="V101" s="93"/>
      <c r="W101" s="98"/>
      <c r="X101" s="93"/>
      <c r="Y101" s="98"/>
      <c r="Z101" s="93"/>
      <c r="AA101" s="93"/>
      <c r="AB101" s="93"/>
      <c r="AC101" s="93"/>
      <c r="AD101" s="93"/>
      <c r="AE101" s="93"/>
      <c r="AF101" s="96"/>
      <c r="AG101" s="94"/>
      <c r="AH101" s="93"/>
      <c r="AK101" s="7"/>
      <c r="AL101" s="7"/>
      <c r="AM101" s="41"/>
      <c r="AN101" s="42"/>
      <c r="AO101" s="7"/>
      <c r="AP101" s="7"/>
      <c r="AQ101" s="7"/>
      <c r="AR101" s="7"/>
      <c r="AS101" s="5"/>
      <c r="AT101" s="5"/>
    </row>
    <row r="102" spans="1:46" ht="15.75" x14ac:dyDescent="0.25">
      <c r="A102" s="56"/>
      <c r="B102" s="54"/>
      <c r="D102" s="63"/>
      <c r="E102" s="64"/>
      <c r="F102" s="64"/>
      <c r="G102" s="64"/>
      <c r="H102" s="64"/>
      <c r="I102" s="64"/>
      <c r="J102" s="64"/>
      <c r="K102" s="64"/>
      <c r="L102" s="64"/>
      <c r="M102" s="64"/>
      <c r="N102" s="64"/>
      <c r="O102" s="64"/>
      <c r="P102" s="64"/>
      <c r="Q102" s="64"/>
      <c r="R102" s="65"/>
      <c r="T102" s="95"/>
      <c r="U102" s="97"/>
      <c r="V102" s="93"/>
      <c r="W102" s="98"/>
      <c r="X102" s="93"/>
      <c r="Y102" s="98"/>
      <c r="Z102" s="93"/>
      <c r="AA102" s="93"/>
      <c r="AB102" s="93"/>
      <c r="AC102" s="93"/>
      <c r="AD102" s="93"/>
      <c r="AE102" s="93"/>
      <c r="AF102" s="96"/>
      <c r="AG102" s="94"/>
      <c r="AH102" s="93"/>
      <c r="AK102" s="7"/>
      <c r="AL102" s="7"/>
      <c r="AM102" s="41"/>
      <c r="AN102" s="42"/>
      <c r="AO102" s="7"/>
      <c r="AP102" s="7"/>
      <c r="AQ102" s="7"/>
      <c r="AR102" s="7"/>
      <c r="AS102" s="5"/>
      <c r="AT102" s="5"/>
    </row>
    <row r="103" spans="1:46" ht="15.75" x14ac:dyDescent="0.25">
      <c r="A103" s="56"/>
      <c r="B103" s="54"/>
      <c r="D103" s="63"/>
      <c r="E103" s="64"/>
      <c r="F103" s="64"/>
      <c r="G103" s="64"/>
      <c r="H103" s="64"/>
      <c r="I103" s="64"/>
      <c r="J103" s="64"/>
      <c r="K103" s="64"/>
      <c r="L103" s="64"/>
      <c r="M103" s="64"/>
      <c r="N103" s="64"/>
      <c r="O103" s="64"/>
      <c r="P103" s="64"/>
      <c r="Q103" s="64"/>
      <c r="R103" s="65"/>
      <c r="T103" s="95"/>
      <c r="U103" s="97"/>
      <c r="V103" s="93"/>
      <c r="W103" s="98"/>
      <c r="X103" s="93"/>
      <c r="Y103" s="98"/>
      <c r="Z103" s="93"/>
      <c r="AA103" s="93"/>
      <c r="AB103" s="93"/>
      <c r="AC103" s="93"/>
      <c r="AD103" s="93"/>
      <c r="AE103" s="93"/>
      <c r="AF103" s="96"/>
      <c r="AG103" s="94"/>
      <c r="AH103" s="93"/>
      <c r="AK103" s="7"/>
      <c r="AL103" s="7"/>
      <c r="AM103" s="41"/>
      <c r="AN103" s="42"/>
      <c r="AO103" s="7"/>
      <c r="AP103" s="7"/>
      <c r="AQ103" s="7"/>
      <c r="AR103" s="7"/>
      <c r="AS103" s="5"/>
      <c r="AT103" s="5"/>
    </row>
    <row r="104" spans="1:46" ht="16.5" thickBot="1" x14ac:dyDescent="0.3">
      <c r="A104" s="56"/>
      <c r="B104" s="54"/>
      <c r="D104" s="66"/>
      <c r="E104" s="67"/>
      <c r="F104" s="67"/>
      <c r="G104" s="67"/>
      <c r="H104" s="67"/>
      <c r="I104" s="67"/>
      <c r="J104" s="67"/>
      <c r="K104" s="67"/>
      <c r="L104" s="67"/>
      <c r="M104" s="67"/>
      <c r="N104" s="67"/>
      <c r="O104" s="67"/>
      <c r="P104" s="67"/>
      <c r="Q104" s="67"/>
      <c r="R104" s="68"/>
      <c r="T104" s="95"/>
      <c r="U104" s="97"/>
      <c r="V104" s="93"/>
      <c r="W104" s="98"/>
      <c r="X104" s="93"/>
      <c r="Y104" s="98"/>
      <c r="Z104" s="93"/>
      <c r="AA104" s="93"/>
      <c r="AB104" s="93"/>
      <c r="AC104" s="93"/>
      <c r="AD104" s="93"/>
      <c r="AE104" s="93"/>
      <c r="AF104" s="96"/>
      <c r="AG104" s="94"/>
      <c r="AH104" s="93"/>
      <c r="AK104" s="7"/>
      <c r="AL104" s="7"/>
      <c r="AM104" s="41"/>
      <c r="AN104" s="42"/>
      <c r="AO104" s="7"/>
      <c r="AP104" s="7"/>
      <c r="AQ104" s="7"/>
      <c r="AR104" s="7"/>
      <c r="AS104" s="5"/>
      <c r="AT104" s="5"/>
    </row>
    <row r="105" spans="1:46" ht="16.5" thickTop="1" x14ac:dyDescent="0.25">
      <c r="A105" s="56"/>
      <c r="B105" s="54"/>
      <c r="D105" s="69"/>
      <c r="E105" s="70"/>
      <c r="F105" s="70"/>
      <c r="G105" s="70"/>
      <c r="H105" s="70"/>
      <c r="I105" s="70"/>
      <c r="J105" s="70"/>
      <c r="K105" s="70"/>
      <c r="L105" s="70"/>
      <c r="M105" s="70"/>
      <c r="N105" s="70"/>
      <c r="O105" s="70"/>
      <c r="P105" s="70"/>
      <c r="Q105" s="70"/>
      <c r="R105" s="71"/>
      <c r="T105" s="95"/>
      <c r="U105" s="97"/>
      <c r="V105" s="93"/>
      <c r="W105" s="98"/>
      <c r="X105" s="93"/>
      <c r="Y105" s="98"/>
      <c r="Z105" s="93"/>
      <c r="AA105" s="93"/>
      <c r="AB105" s="93"/>
      <c r="AC105" s="93"/>
      <c r="AD105" s="93"/>
      <c r="AE105" s="93"/>
      <c r="AF105" s="72"/>
      <c r="AG105" s="94"/>
      <c r="AH105" s="93"/>
      <c r="AK105" s="7"/>
      <c r="AL105" s="7"/>
      <c r="AM105" s="41"/>
      <c r="AN105" s="42"/>
      <c r="AO105" s="7"/>
      <c r="AP105" s="7"/>
      <c r="AQ105" s="7"/>
      <c r="AR105" s="7"/>
      <c r="AS105" s="5"/>
      <c r="AT105" s="5"/>
    </row>
    <row r="106" spans="1:46" ht="15.75" x14ac:dyDescent="0.25">
      <c r="A106" s="56"/>
      <c r="B106" s="54"/>
      <c r="D106" s="63"/>
      <c r="E106" s="64"/>
      <c r="F106" s="64"/>
      <c r="G106" s="64"/>
      <c r="H106" s="64"/>
      <c r="I106" s="64"/>
      <c r="J106" s="64"/>
      <c r="K106" s="64"/>
      <c r="L106" s="64"/>
      <c r="M106" s="64"/>
      <c r="N106" s="64"/>
      <c r="O106" s="64"/>
      <c r="P106" s="64"/>
      <c r="Q106" s="64"/>
      <c r="R106" s="65"/>
      <c r="T106" s="95"/>
      <c r="U106" s="97"/>
      <c r="V106" s="93"/>
      <c r="W106" s="98"/>
      <c r="X106" s="93"/>
      <c r="Y106" s="98"/>
      <c r="Z106" s="93"/>
      <c r="AA106" s="93"/>
      <c r="AB106" s="93"/>
      <c r="AC106" s="93"/>
      <c r="AD106" s="93"/>
      <c r="AE106" s="93"/>
      <c r="AF106" s="72"/>
      <c r="AG106" s="94"/>
      <c r="AH106" s="93"/>
      <c r="AK106" s="7"/>
      <c r="AL106" s="7"/>
      <c r="AM106" s="41"/>
      <c r="AN106" s="42"/>
      <c r="AO106" s="7"/>
      <c r="AP106" s="7"/>
      <c r="AQ106" s="7"/>
      <c r="AR106" s="7"/>
      <c r="AS106" s="5"/>
      <c r="AT106" s="5"/>
    </row>
    <row r="107" spans="1:46" ht="15.75" x14ac:dyDescent="0.25">
      <c r="A107" s="56"/>
      <c r="B107" s="54"/>
      <c r="D107" s="63"/>
      <c r="E107" s="64"/>
      <c r="F107" s="64"/>
      <c r="G107" s="64"/>
      <c r="H107" s="64"/>
      <c r="I107" s="64"/>
      <c r="J107" s="64"/>
      <c r="K107" s="64"/>
      <c r="L107" s="64"/>
      <c r="M107" s="64"/>
      <c r="N107" s="64"/>
      <c r="O107" s="64"/>
      <c r="P107" s="64"/>
      <c r="Q107" s="64"/>
      <c r="R107" s="65"/>
      <c r="T107" s="95"/>
      <c r="U107" s="97"/>
      <c r="V107" s="93"/>
      <c r="W107" s="98"/>
      <c r="X107" s="93"/>
      <c r="Y107" s="98"/>
      <c r="Z107" s="93"/>
      <c r="AA107" s="93"/>
      <c r="AB107" s="93"/>
      <c r="AC107" s="93"/>
      <c r="AD107" s="93"/>
      <c r="AE107" s="93"/>
      <c r="AF107" s="72"/>
      <c r="AG107" s="94"/>
      <c r="AH107" s="93"/>
      <c r="AK107" s="7"/>
      <c r="AL107" s="7"/>
      <c r="AM107" s="41"/>
      <c r="AN107" s="42"/>
      <c r="AO107" s="7"/>
      <c r="AP107" s="7"/>
      <c r="AQ107" s="7"/>
      <c r="AR107" s="7"/>
      <c r="AS107" s="5"/>
      <c r="AT107" s="5"/>
    </row>
    <row r="108" spans="1:46" ht="15.75" x14ac:dyDescent="0.25">
      <c r="A108" s="56"/>
      <c r="B108" s="54"/>
      <c r="D108" s="63"/>
      <c r="E108" s="64"/>
      <c r="F108" s="64"/>
      <c r="G108" s="64"/>
      <c r="H108" s="64"/>
      <c r="I108" s="64"/>
      <c r="J108" s="64"/>
      <c r="K108" s="64"/>
      <c r="L108" s="64"/>
      <c r="M108" s="64"/>
      <c r="N108" s="64"/>
      <c r="O108" s="64"/>
      <c r="P108" s="64"/>
      <c r="Q108" s="64"/>
      <c r="R108" s="65"/>
      <c r="T108" s="95"/>
      <c r="U108" s="97"/>
      <c r="V108" s="93"/>
      <c r="W108" s="98"/>
      <c r="X108" s="93"/>
      <c r="Y108" s="98"/>
      <c r="Z108" s="93"/>
      <c r="AA108" s="93"/>
      <c r="AB108" s="93"/>
      <c r="AC108" s="93"/>
      <c r="AD108" s="93"/>
      <c r="AE108" s="93"/>
      <c r="AF108" s="72"/>
      <c r="AG108" s="94"/>
      <c r="AH108" s="93"/>
      <c r="AK108" s="7"/>
      <c r="AL108" s="7"/>
      <c r="AM108" s="41"/>
      <c r="AN108" s="42"/>
      <c r="AO108" s="7"/>
      <c r="AP108" s="7"/>
      <c r="AQ108" s="7"/>
      <c r="AR108" s="7"/>
      <c r="AS108" s="5"/>
      <c r="AT108" s="5"/>
    </row>
    <row r="109" spans="1:46" ht="15.75" x14ac:dyDescent="0.25">
      <c r="A109" s="56"/>
      <c r="B109" s="54"/>
      <c r="D109" s="63"/>
      <c r="E109" s="64"/>
      <c r="F109" s="64"/>
      <c r="G109" s="64"/>
      <c r="H109" s="64"/>
      <c r="I109" s="64"/>
      <c r="J109" s="64"/>
      <c r="K109" s="64"/>
      <c r="L109" s="64"/>
      <c r="M109" s="64"/>
      <c r="N109" s="64"/>
      <c r="O109" s="64"/>
      <c r="P109" s="64"/>
      <c r="Q109" s="64"/>
      <c r="R109" s="65"/>
      <c r="T109" s="95"/>
      <c r="U109" s="97"/>
      <c r="V109" s="93"/>
      <c r="W109" s="98"/>
      <c r="X109" s="93"/>
      <c r="Y109" s="98"/>
      <c r="Z109" s="93"/>
      <c r="AA109" s="93"/>
      <c r="AB109" s="93"/>
      <c r="AC109" s="93"/>
      <c r="AD109" s="93"/>
      <c r="AE109" s="93"/>
      <c r="AF109" s="93"/>
      <c r="AG109" s="94"/>
      <c r="AH109" s="93"/>
      <c r="AK109" s="7"/>
      <c r="AL109" s="7"/>
      <c r="AM109" s="41"/>
      <c r="AN109" s="42"/>
      <c r="AO109" s="7"/>
      <c r="AP109" s="7"/>
      <c r="AQ109" s="7"/>
      <c r="AR109" s="7"/>
      <c r="AS109" s="5"/>
      <c r="AT109" s="5"/>
    </row>
    <row r="110" spans="1:46" ht="15.75" x14ac:dyDescent="0.25">
      <c r="A110" s="56"/>
      <c r="B110" s="54"/>
      <c r="D110" s="63"/>
      <c r="E110" s="64"/>
      <c r="F110" s="64"/>
      <c r="G110" s="64"/>
      <c r="H110" s="64"/>
      <c r="I110" s="64"/>
      <c r="J110" s="64"/>
      <c r="K110" s="64"/>
      <c r="L110" s="64"/>
      <c r="M110" s="64"/>
      <c r="N110" s="64"/>
      <c r="O110" s="64"/>
      <c r="P110" s="64"/>
      <c r="Q110" s="64"/>
      <c r="R110" s="65"/>
      <c r="T110" s="95"/>
      <c r="U110" s="97"/>
      <c r="V110" s="93"/>
      <c r="W110" s="98"/>
      <c r="X110" s="93"/>
      <c r="Y110" s="98"/>
      <c r="Z110" s="93"/>
      <c r="AA110" s="93"/>
      <c r="AB110" s="93"/>
      <c r="AC110" s="93"/>
      <c r="AD110" s="93"/>
      <c r="AE110" s="93"/>
      <c r="AF110" s="72"/>
      <c r="AG110" s="94"/>
      <c r="AH110" s="93"/>
      <c r="AK110" s="7"/>
      <c r="AL110" s="7"/>
      <c r="AM110" s="41"/>
      <c r="AN110" s="42"/>
      <c r="AO110" s="7"/>
      <c r="AP110" s="7"/>
      <c r="AQ110" s="7"/>
      <c r="AR110" s="7"/>
      <c r="AS110" s="5"/>
      <c r="AT110" s="5"/>
    </row>
    <row r="111" spans="1:46" ht="15.75" x14ac:dyDescent="0.25">
      <c r="A111" s="56"/>
      <c r="B111" s="54"/>
      <c r="D111" s="63"/>
      <c r="E111" s="64"/>
      <c r="F111" s="64"/>
      <c r="G111" s="64"/>
      <c r="H111" s="64"/>
      <c r="I111" s="64"/>
      <c r="J111" s="64"/>
      <c r="K111" s="64"/>
      <c r="L111" s="64"/>
      <c r="M111" s="64"/>
      <c r="N111" s="64"/>
      <c r="O111" s="64"/>
      <c r="P111" s="64"/>
      <c r="Q111" s="64"/>
      <c r="R111" s="65"/>
      <c r="T111" s="95"/>
      <c r="U111" s="97"/>
      <c r="V111" s="93"/>
      <c r="W111" s="98"/>
      <c r="X111" s="93"/>
      <c r="Y111" s="98"/>
      <c r="Z111" s="93"/>
      <c r="AA111" s="93"/>
      <c r="AB111" s="93"/>
      <c r="AC111" s="93"/>
      <c r="AD111" s="93"/>
      <c r="AE111" s="93"/>
      <c r="AF111" s="72"/>
      <c r="AG111" s="94"/>
      <c r="AH111" s="93"/>
      <c r="AK111" s="7"/>
      <c r="AL111" s="7"/>
      <c r="AM111" s="41"/>
      <c r="AN111" s="42"/>
      <c r="AO111" s="7"/>
      <c r="AP111" s="7"/>
      <c r="AQ111" s="7"/>
      <c r="AR111" s="7"/>
      <c r="AS111" s="5"/>
      <c r="AT111" s="5"/>
    </row>
    <row r="112" spans="1:46" ht="15.75" x14ac:dyDescent="0.25">
      <c r="A112" s="56"/>
      <c r="B112" s="54"/>
      <c r="D112" s="63"/>
      <c r="E112" s="64"/>
      <c r="F112" s="64"/>
      <c r="G112" s="64"/>
      <c r="H112" s="64"/>
      <c r="I112" s="64"/>
      <c r="J112" s="64"/>
      <c r="K112" s="64"/>
      <c r="L112" s="64"/>
      <c r="M112" s="64"/>
      <c r="N112" s="64"/>
      <c r="O112" s="64"/>
      <c r="P112" s="64"/>
      <c r="Q112" s="64"/>
      <c r="R112" s="65"/>
      <c r="T112" s="95"/>
      <c r="U112" s="97"/>
      <c r="V112" s="93"/>
      <c r="W112" s="98"/>
      <c r="X112" s="93"/>
      <c r="Y112" s="98"/>
      <c r="Z112" s="93"/>
      <c r="AA112" s="93"/>
      <c r="AB112" s="93"/>
      <c r="AC112" s="93"/>
      <c r="AD112" s="93"/>
      <c r="AE112" s="93"/>
      <c r="AF112" s="72"/>
      <c r="AG112" s="94"/>
      <c r="AH112" s="93"/>
      <c r="AK112" s="7"/>
      <c r="AL112" s="7"/>
      <c r="AM112" s="41"/>
      <c r="AN112" s="42"/>
      <c r="AO112" s="7"/>
      <c r="AP112" s="7"/>
      <c r="AQ112" s="7"/>
      <c r="AR112" s="7"/>
      <c r="AS112" s="5"/>
      <c r="AT112" s="5"/>
    </row>
    <row r="113" spans="1:46" ht="15.75" x14ac:dyDescent="0.25">
      <c r="A113" s="56"/>
      <c r="B113" s="54"/>
      <c r="D113" s="63"/>
      <c r="E113" s="64"/>
      <c r="F113" s="64"/>
      <c r="G113" s="64"/>
      <c r="H113" s="64"/>
      <c r="I113" s="64"/>
      <c r="J113" s="64"/>
      <c r="K113" s="64"/>
      <c r="L113" s="64"/>
      <c r="M113" s="64"/>
      <c r="N113" s="64"/>
      <c r="O113" s="64"/>
      <c r="P113" s="64"/>
      <c r="Q113" s="64"/>
      <c r="R113" s="65"/>
      <c r="T113" s="95"/>
      <c r="U113" s="97"/>
      <c r="V113" s="93"/>
      <c r="W113" s="98"/>
      <c r="X113" s="93"/>
      <c r="Y113" s="98"/>
      <c r="Z113" s="93"/>
      <c r="AA113" s="93"/>
      <c r="AB113" s="93"/>
      <c r="AC113" s="93"/>
      <c r="AD113" s="93"/>
      <c r="AE113" s="93"/>
      <c r="AF113" s="72"/>
      <c r="AG113" s="94"/>
      <c r="AH113" s="93"/>
      <c r="AK113" s="7"/>
      <c r="AL113" s="7"/>
      <c r="AM113" s="41"/>
      <c r="AN113" s="42"/>
      <c r="AO113" s="7"/>
      <c r="AP113" s="7"/>
      <c r="AQ113" s="7"/>
      <c r="AR113" s="7"/>
      <c r="AS113" s="5"/>
      <c r="AT113" s="5"/>
    </row>
    <row r="114" spans="1:46" ht="15.75" x14ac:dyDescent="0.25">
      <c r="A114" s="56"/>
      <c r="B114" s="54"/>
      <c r="D114" s="63"/>
      <c r="E114" s="64"/>
      <c r="F114" s="64"/>
      <c r="G114" s="64"/>
      <c r="H114" s="64"/>
      <c r="I114" s="64"/>
      <c r="J114" s="64"/>
      <c r="K114" s="64"/>
      <c r="L114" s="64"/>
      <c r="M114" s="64"/>
      <c r="N114" s="64"/>
      <c r="O114" s="64"/>
      <c r="P114" s="64"/>
      <c r="Q114" s="64"/>
      <c r="R114" s="65"/>
      <c r="T114" s="95"/>
      <c r="U114" s="97"/>
      <c r="V114" s="93"/>
      <c r="W114" s="98"/>
      <c r="X114" s="93"/>
      <c r="Y114" s="98"/>
      <c r="Z114" s="93"/>
      <c r="AA114" s="93"/>
      <c r="AB114" s="93"/>
      <c r="AC114" s="93"/>
      <c r="AD114" s="93"/>
      <c r="AE114" s="93"/>
      <c r="AF114" s="72"/>
      <c r="AG114" s="94"/>
      <c r="AH114" s="93"/>
      <c r="AK114" s="7"/>
      <c r="AL114" s="7"/>
      <c r="AM114" s="41"/>
      <c r="AN114" s="42"/>
      <c r="AO114" s="7"/>
      <c r="AP114" s="7"/>
      <c r="AQ114" s="7"/>
      <c r="AR114" s="7"/>
      <c r="AS114" s="5"/>
      <c r="AT114" s="5"/>
    </row>
    <row r="115" spans="1:46" ht="15.75" x14ac:dyDescent="0.25">
      <c r="A115" s="56"/>
      <c r="B115" s="54"/>
      <c r="D115" s="63"/>
      <c r="E115" s="64"/>
      <c r="F115" s="64"/>
      <c r="G115" s="64"/>
      <c r="H115" s="64"/>
      <c r="I115" s="64"/>
      <c r="J115" s="64"/>
      <c r="K115" s="64"/>
      <c r="L115" s="64"/>
      <c r="M115" s="64"/>
      <c r="N115" s="64"/>
      <c r="O115" s="64"/>
      <c r="P115" s="64"/>
      <c r="Q115" s="64"/>
      <c r="R115" s="65"/>
      <c r="T115" s="95"/>
      <c r="U115" s="97"/>
      <c r="V115" s="93"/>
      <c r="W115" s="98"/>
      <c r="X115" s="93"/>
      <c r="Y115" s="98"/>
      <c r="Z115" s="93"/>
      <c r="AA115" s="93"/>
      <c r="AB115" s="93"/>
      <c r="AC115" s="93"/>
      <c r="AD115" s="93"/>
      <c r="AE115" s="93"/>
      <c r="AF115" s="72"/>
      <c r="AG115" s="94"/>
      <c r="AH115" s="93"/>
      <c r="AK115" s="7"/>
      <c r="AL115" s="7"/>
      <c r="AM115" s="41"/>
      <c r="AN115" s="42"/>
      <c r="AO115" s="7"/>
      <c r="AP115" s="7"/>
      <c r="AQ115" s="7"/>
      <c r="AR115" s="7"/>
      <c r="AS115" s="5"/>
      <c r="AT115" s="5"/>
    </row>
    <row r="116" spans="1:46" ht="16.5" thickBot="1" x14ac:dyDescent="0.3">
      <c r="A116" s="56"/>
      <c r="B116" s="54"/>
      <c r="D116" s="66"/>
      <c r="E116" s="67"/>
      <c r="F116" s="67"/>
      <c r="G116" s="67"/>
      <c r="H116" s="67"/>
      <c r="I116" s="67"/>
      <c r="J116" s="67"/>
      <c r="K116" s="67"/>
      <c r="L116" s="67"/>
      <c r="M116" s="67"/>
      <c r="N116" s="67"/>
      <c r="O116" s="67"/>
      <c r="P116" s="67"/>
      <c r="Q116" s="67"/>
      <c r="R116" s="68"/>
      <c r="T116" s="95"/>
      <c r="U116" s="97"/>
      <c r="V116" s="93"/>
      <c r="W116" s="98"/>
      <c r="X116" s="93"/>
      <c r="Y116" s="98"/>
      <c r="Z116" s="93"/>
      <c r="AA116" s="93"/>
      <c r="AB116" s="93"/>
      <c r="AC116" s="93"/>
      <c r="AD116" s="93"/>
      <c r="AE116" s="93"/>
      <c r="AF116" s="72"/>
      <c r="AG116" s="94"/>
      <c r="AH116" s="93"/>
      <c r="AK116" s="7"/>
      <c r="AL116" s="7"/>
      <c r="AM116" s="41"/>
      <c r="AN116" s="42"/>
      <c r="AO116" s="7"/>
      <c r="AP116" s="7"/>
      <c r="AQ116" s="7"/>
      <c r="AR116" s="7"/>
      <c r="AS116" s="5"/>
      <c r="AT116" s="5"/>
    </row>
    <row r="117" spans="1:46" ht="16.5" thickTop="1" x14ac:dyDescent="0.25">
      <c r="A117" s="56"/>
      <c r="B117" s="54"/>
      <c r="D117" s="69"/>
      <c r="E117" s="70"/>
      <c r="F117" s="70"/>
      <c r="G117" s="70"/>
      <c r="H117" s="70"/>
      <c r="I117" s="70"/>
      <c r="J117" s="70"/>
      <c r="K117" s="70"/>
      <c r="L117" s="70"/>
      <c r="M117" s="70"/>
      <c r="N117" s="70"/>
      <c r="O117" s="70"/>
      <c r="P117" s="70"/>
      <c r="Q117" s="70"/>
      <c r="R117" s="71"/>
      <c r="T117" s="95"/>
      <c r="U117" s="97"/>
      <c r="V117" s="93"/>
      <c r="W117" s="98"/>
      <c r="X117" s="93"/>
      <c r="Y117" s="98"/>
      <c r="Z117" s="93"/>
      <c r="AA117" s="93"/>
      <c r="AB117" s="93"/>
      <c r="AC117" s="93"/>
      <c r="AD117" s="93"/>
      <c r="AE117" s="93"/>
      <c r="AF117" s="72"/>
      <c r="AG117" s="94"/>
      <c r="AH117" s="93"/>
      <c r="AK117" s="7"/>
      <c r="AL117" s="7"/>
      <c r="AM117" s="41"/>
      <c r="AN117" s="42"/>
      <c r="AO117" s="7"/>
      <c r="AP117" s="7"/>
      <c r="AQ117" s="7"/>
      <c r="AR117" s="7"/>
      <c r="AS117" s="5"/>
      <c r="AT117" s="5"/>
    </row>
    <row r="118" spans="1:46" ht="15.75" x14ac:dyDescent="0.25">
      <c r="A118" s="56"/>
      <c r="B118" s="54"/>
      <c r="D118" s="63"/>
      <c r="E118" s="64"/>
      <c r="F118" s="64"/>
      <c r="G118" s="64"/>
      <c r="H118" s="64"/>
      <c r="I118" s="64"/>
      <c r="J118" s="64"/>
      <c r="K118" s="64"/>
      <c r="L118" s="64"/>
      <c r="M118" s="64"/>
      <c r="N118" s="64"/>
      <c r="O118" s="64"/>
      <c r="P118" s="64"/>
      <c r="Q118" s="64"/>
      <c r="R118" s="65"/>
      <c r="T118" s="95"/>
      <c r="U118" s="97"/>
      <c r="V118" s="93"/>
      <c r="W118" s="98"/>
      <c r="X118" s="93"/>
      <c r="Y118" s="98"/>
      <c r="Z118" s="93"/>
      <c r="AA118" s="93"/>
      <c r="AB118" s="93"/>
      <c r="AC118" s="93"/>
      <c r="AD118" s="93"/>
      <c r="AE118" s="93"/>
      <c r="AF118" s="72"/>
      <c r="AG118" s="94"/>
      <c r="AH118" s="93"/>
      <c r="AK118" s="7"/>
      <c r="AL118" s="7"/>
      <c r="AM118" s="41"/>
      <c r="AN118" s="42"/>
      <c r="AO118" s="7"/>
      <c r="AP118" s="7"/>
      <c r="AQ118" s="7"/>
      <c r="AR118" s="7"/>
      <c r="AS118" s="5"/>
      <c r="AT118" s="5"/>
    </row>
    <row r="119" spans="1:46" ht="15.75" x14ac:dyDescent="0.25">
      <c r="A119" s="56"/>
      <c r="B119" s="54"/>
      <c r="D119" s="63"/>
      <c r="E119" s="64"/>
      <c r="F119" s="64"/>
      <c r="G119" s="64"/>
      <c r="H119" s="64"/>
      <c r="I119" s="64"/>
      <c r="J119" s="64"/>
      <c r="K119" s="64"/>
      <c r="L119" s="64"/>
      <c r="M119" s="64"/>
      <c r="N119" s="64"/>
      <c r="O119" s="64"/>
      <c r="P119" s="64"/>
      <c r="Q119" s="64"/>
      <c r="R119" s="65"/>
      <c r="T119" s="95"/>
      <c r="U119" s="97"/>
      <c r="V119" s="93"/>
      <c r="W119" s="98"/>
      <c r="X119" s="93"/>
      <c r="Y119" s="98"/>
      <c r="Z119" s="93"/>
      <c r="AA119" s="93"/>
      <c r="AB119" s="93"/>
      <c r="AC119" s="93"/>
      <c r="AD119" s="93"/>
      <c r="AE119" s="93"/>
      <c r="AF119" s="72"/>
      <c r="AG119" s="94"/>
      <c r="AH119" s="93"/>
      <c r="AK119" s="7"/>
      <c r="AL119" s="7"/>
      <c r="AM119" s="41"/>
      <c r="AN119" s="42"/>
      <c r="AO119" s="7"/>
      <c r="AP119" s="7"/>
      <c r="AQ119" s="7"/>
      <c r="AR119" s="7"/>
      <c r="AS119" s="5"/>
      <c r="AT119" s="5"/>
    </row>
    <row r="120" spans="1:46" ht="15.75" x14ac:dyDescent="0.25">
      <c r="A120" s="56"/>
      <c r="B120" s="54"/>
      <c r="D120" s="63"/>
      <c r="E120" s="64"/>
      <c r="F120" s="64"/>
      <c r="G120" s="64"/>
      <c r="H120" s="64"/>
      <c r="I120" s="64"/>
      <c r="J120" s="64"/>
      <c r="K120" s="64"/>
      <c r="L120" s="64"/>
      <c r="M120" s="64"/>
      <c r="N120" s="64"/>
      <c r="O120" s="64"/>
      <c r="P120" s="64"/>
      <c r="Q120" s="64"/>
      <c r="R120" s="65"/>
      <c r="T120" s="95"/>
      <c r="U120" s="97"/>
      <c r="V120" s="93"/>
      <c r="W120" s="98"/>
      <c r="X120" s="93"/>
      <c r="Y120" s="98"/>
      <c r="Z120" s="93"/>
      <c r="AA120" s="93"/>
      <c r="AB120" s="93"/>
      <c r="AC120" s="93"/>
      <c r="AD120" s="93"/>
      <c r="AE120" s="93"/>
      <c r="AF120" s="72"/>
      <c r="AG120" s="94"/>
      <c r="AH120" s="93"/>
      <c r="AK120" s="7"/>
      <c r="AL120" s="7"/>
      <c r="AM120" s="41"/>
      <c r="AN120" s="42"/>
      <c r="AO120" s="7"/>
      <c r="AP120" s="7"/>
      <c r="AQ120" s="7"/>
      <c r="AR120" s="7"/>
      <c r="AS120" s="5"/>
      <c r="AT120" s="5"/>
    </row>
    <row r="121" spans="1:46" ht="15.75" x14ac:dyDescent="0.25">
      <c r="A121" s="56"/>
      <c r="B121" s="54"/>
      <c r="D121" s="63"/>
      <c r="E121" s="64"/>
      <c r="F121" s="64"/>
      <c r="G121" s="64"/>
      <c r="H121" s="64"/>
      <c r="I121" s="64"/>
      <c r="J121" s="64"/>
      <c r="K121" s="64"/>
      <c r="L121" s="64"/>
      <c r="M121" s="64"/>
      <c r="N121" s="64"/>
      <c r="O121" s="64"/>
      <c r="P121" s="64"/>
      <c r="Q121" s="64"/>
      <c r="R121" s="65"/>
      <c r="T121" s="95"/>
      <c r="U121" s="97"/>
      <c r="V121" s="93"/>
      <c r="W121" s="98"/>
      <c r="X121" s="93"/>
      <c r="Y121" s="98"/>
      <c r="Z121" s="93"/>
      <c r="AA121" s="93"/>
      <c r="AB121" s="93"/>
      <c r="AC121" s="93"/>
      <c r="AD121" s="93"/>
      <c r="AE121" s="93"/>
      <c r="AF121" s="72"/>
      <c r="AG121" s="94"/>
      <c r="AH121" s="93"/>
      <c r="AK121" s="7"/>
      <c r="AL121" s="7"/>
      <c r="AM121" s="41"/>
      <c r="AN121" s="42"/>
      <c r="AO121" s="7"/>
      <c r="AP121" s="7"/>
      <c r="AQ121" s="7"/>
      <c r="AR121" s="7"/>
      <c r="AS121" s="5"/>
      <c r="AT121" s="5"/>
    </row>
    <row r="122" spans="1:46" ht="15.75" x14ac:dyDescent="0.25">
      <c r="A122" s="56"/>
      <c r="B122" s="54"/>
      <c r="D122" s="63"/>
      <c r="E122" s="64"/>
      <c r="F122" s="64"/>
      <c r="G122" s="64"/>
      <c r="H122" s="64"/>
      <c r="I122" s="64"/>
      <c r="J122" s="64"/>
      <c r="K122" s="64"/>
      <c r="L122" s="64"/>
      <c r="M122" s="64"/>
      <c r="N122" s="64"/>
      <c r="O122" s="64"/>
      <c r="P122" s="64"/>
      <c r="Q122" s="64"/>
      <c r="R122" s="65"/>
      <c r="T122" s="95"/>
      <c r="U122" s="97"/>
      <c r="V122" s="93"/>
      <c r="W122" s="98"/>
      <c r="X122" s="93"/>
      <c r="Y122" s="98"/>
      <c r="Z122" s="93"/>
      <c r="AA122" s="93"/>
      <c r="AB122" s="93"/>
      <c r="AC122" s="93"/>
      <c r="AD122" s="93"/>
      <c r="AE122" s="93"/>
      <c r="AF122" s="72"/>
      <c r="AG122" s="94"/>
      <c r="AH122" s="93"/>
      <c r="AK122" s="7"/>
      <c r="AL122" s="7"/>
      <c r="AM122" s="41"/>
      <c r="AN122" s="42"/>
      <c r="AO122" s="7"/>
      <c r="AP122" s="7"/>
      <c r="AQ122" s="7"/>
      <c r="AR122" s="7"/>
      <c r="AS122" s="5"/>
      <c r="AT122" s="5"/>
    </row>
    <row r="123" spans="1:46" ht="15.75" x14ac:dyDescent="0.25">
      <c r="A123" s="56"/>
      <c r="B123" s="54"/>
      <c r="D123" s="63"/>
      <c r="E123" s="64"/>
      <c r="F123" s="64"/>
      <c r="G123" s="64"/>
      <c r="H123" s="64"/>
      <c r="I123" s="64"/>
      <c r="J123" s="64"/>
      <c r="K123" s="64"/>
      <c r="L123" s="64"/>
      <c r="M123" s="64"/>
      <c r="N123" s="64"/>
      <c r="O123" s="64"/>
      <c r="P123" s="64"/>
      <c r="Q123" s="64"/>
      <c r="R123" s="65"/>
      <c r="T123" s="95"/>
      <c r="U123" s="97"/>
      <c r="V123" s="93"/>
      <c r="W123" s="98"/>
      <c r="X123" s="93"/>
      <c r="Y123" s="98"/>
      <c r="Z123" s="93"/>
      <c r="AA123" s="93"/>
      <c r="AB123" s="93"/>
      <c r="AC123" s="93"/>
      <c r="AD123" s="93"/>
      <c r="AE123" s="93"/>
      <c r="AF123" s="72"/>
      <c r="AG123" s="94"/>
      <c r="AH123" s="93"/>
      <c r="AK123" s="7"/>
      <c r="AL123" s="7"/>
      <c r="AM123" s="41"/>
      <c r="AN123" s="42"/>
      <c r="AO123" s="7"/>
      <c r="AP123" s="7"/>
      <c r="AQ123" s="7"/>
      <c r="AR123" s="7"/>
      <c r="AS123" s="5"/>
      <c r="AT123" s="5"/>
    </row>
    <row r="124" spans="1:46" ht="15.75" x14ac:dyDescent="0.25">
      <c r="A124" s="56"/>
      <c r="B124" s="54"/>
      <c r="D124" s="63"/>
      <c r="E124" s="64"/>
      <c r="F124" s="64"/>
      <c r="G124" s="64"/>
      <c r="H124" s="64"/>
      <c r="I124" s="64"/>
      <c r="J124" s="64"/>
      <c r="K124" s="64"/>
      <c r="L124" s="64"/>
      <c r="M124" s="64"/>
      <c r="N124" s="64"/>
      <c r="O124" s="64"/>
      <c r="P124" s="64"/>
      <c r="Q124" s="64"/>
      <c r="R124" s="65"/>
      <c r="T124" s="95"/>
      <c r="U124" s="97"/>
      <c r="V124" s="93"/>
      <c r="W124" s="98"/>
      <c r="X124" s="93"/>
      <c r="Y124" s="98"/>
      <c r="Z124" s="93"/>
      <c r="AA124" s="93"/>
      <c r="AB124" s="93"/>
      <c r="AC124" s="93"/>
      <c r="AD124" s="93"/>
      <c r="AE124" s="93"/>
      <c r="AF124" s="72"/>
      <c r="AG124" s="94"/>
      <c r="AH124" s="93"/>
      <c r="AK124" s="7"/>
      <c r="AL124" s="7"/>
      <c r="AM124" s="41"/>
      <c r="AN124" s="42"/>
      <c r="AO124" s="7"/>
      <c r="AP124" s="7"/>
      <c r="AQ124" s="7"/>
      <c r="AR124" s="7"/>
      <c r="AS124" s="5"/>
      <c r="AT124" s="5"/>
    </row>
    <row r="125" spans="1:46" ht="15.75" x14ac:dyDescent="0.25">
      <c r="A125" s="56"/>
      <c r="B125" s="54"/>
      <c r="D125" s="63"/>
      <c r="E125" s="64"/>
      <c r="F125" s="64"/>
      <c r="G125" s="64"/>
      <c r="H125" s="64"/>
      <c r="I125" s="64"/>
      <c r="J125" s="64"/>
      <c r="K125" s="64"/>
      <c r="L125" s="64"/>
      <c r="M125" s="64"/>
      <c r="N125" s="64"/>
      <c r="O125" s="64"/>
      <c r="P125" s="64"/>
      <c r="Q125" s="64"/>
      <c r="R125" s="65"/>
      <c r="T125" s="95"/>
      <c r="U125" s="97"/>
      <c r="V125" s="93"/>
      <c r="W125" s="98"/>
      <c r="X125" s="93"/>
      <c r="Y125" s="98"/>
      <c r="Z125" s="93"/>
      <c r="AA125" s="93"/>
      <c r="AB125" s="93"/>
      <c r="AC125" s="93"/>
      <c r="AD125" s="93"/>
      <c r="AE125" s="93"/>
      <c r="AF125" s="72"/>
      <c r="AG125" s="94"/>
      <c r="AH125" s="93"/>
      <c r="AK125" s="7"/>
      <c r="AL125" s="7"/>
      <c r="AM125" s="41"/>
      <c r="AN125" s="42"/>
      <c r="AO125" s="7"/>
      <c r="AP125" s="7"/>
      <c r="AQ125" s="7"/>
      <c r="AR125" s="7"/>
      <c r="AS125" s="5"/>
      <c r="AT125" s="5"/>
    </row>
    <row r="126" spans="1:46" ht="15.75" x14ac:dyDescent="0.25">
      <c r="A126" s="56"/>
      <c r="B126" s="54"/>
      <c r="D126" s="63"/>
      <c r="E126" s="64"/>
      <c r="F126" s="64"/>
      <c r="G126" s="64"/>
      <c r="H126" s="64"/>
      <c r="I126" s="64"/>
      <c r="J126" s="64"/>
      <c r="K126" s="64"/>
      <c r="L126" s="64"/>
      <c r="M126" s="64"/>
      <c r="N126" s="64"/>
      <c r="O126" s="64"/>
      <c r="P126" s="64"/>
      <c r="Q126" s="64"/>
      <c r="R126" s="65"/>
      <c r="T126" s="95"/>
      <c r="U126" s="97"/>
      <c r="V126" s="93"/>
      <c r="W126" s="98"/>
      <c r="X126" s="93"/>
      <c r="Y126" s="98"/>
      <c r="Z126" s="93"/>
      <c r="AA126" s="93"/>
      <c r="AB126" s="93"/>
      <c r="AC126" s="93"/>
      <c r="AD126" s="93"/>
      <c r="AE126" s="93"/>
      <c r="AF126" s="72"/>
      <c r="AG126" s="94"/>
      <c r="AH126" s="93"/>
      <c r="AK126" s="7"/>
      <c r="AL126" s="7"/>
      <c r="AM126" s="41"/>
      <c r="AN126" s="42"/>
      <c r="AO126" s="7"/>
      <c r="AP126" s="7"/>
      <c r="AQ126" s="7"/>
      <c r="AR126" s="7"/>
      <c r="AS126" s="5"/>
      <c r="AT126" s="5"/>
    </row>
    <row r="127" spans="1:46" ht="15.75" x14ac:dyDescent="0.25">
      <c r="A127" s="56"/>
      <c r="B127" s="54"/>
      <c r="D127" s="63"/>
      <c r="E127" s="64"/>
      <c r="F127" s="64"/>
      <c r="G127" s="64"/>
      <c r="H127" s="64"/>
      <c r="I127" s="64"/>
      <c r="J127" s="64"/>
      <c r="K127" s="64"/>
      <c r="L127" s="64"/>
      <c r="M127" s="64"/>
      <c r="N127" s="64"/>
      <c r="O127" s="64"/>
      <c r="P127" s="64"/>
      <c r="Q127" s="64"/>
      <c r="R127" s="65"/>
      <c r="T127" s="95"/>
      <c r="U127" s="97"/>
      <c r="V127" s="93"/>
      <c r="W127" s="98"/>
      <c r="X127" s="93"/>
      <c r="Y127" s="98"/>
      <c r="Z127" s="93"/>
      <c r="AA127" s="93"/>
      <c r="AB127" s="93"/>
      <c r="AC127" s="93"/>
      <c r="AD127" s="93"/>
      <c r="AE127" s="93"/>
      <c r="AF127" s="72"/>
      <c r="AG127" s="94"/>
      <c r="AH127" s="93"/>
      <c r="AK127" s="7"/>
      <c r="AL127" s="7"/>
      <c r="AM127" s="41"/>
      <c r="AN127" s="42"/>
      <c r="AO127" s="7"/>
      <c r="AP127" s="7"/>
      <c r="AQ127" s="7"/>
      <c r="AR127" s="7"/>
      <c r="AS127" s="5"/>
      <c r="AT127" s="5"/>
    </row>
    <row r="128" spans="1:46" ht="16.5" thickBot="1" x14ac:dyDescent="0.3">
      <c r="A128" s="56"/>
      <c r="B128" s="54"/>
      <c r="D128" s="66"/>
      <c r="E128" s="67"/>
      <c r="F128" s="67"/>
      <c r="G128" s="67"/>
      <c r="H128" s="67"/>
      <c r="I128" s="67"/>
      <c r="J128" s="67"/>
      <c r="K128" s="67"/>
      <c r="L128" s="67"/>
      <c r="M128" s="67"/>
      <c r="N128" s="67"/>
      <c r="O128" s="67"/>
      <c r="P128" s="67"/>
      <c r="Q128" s="67"/>
      <c r="R128" s="68"/>
      <c r="T128" s="95"/>
      <c r="U128" s="97"/>
      <c r="V128" s="93"/>
      <c r="W128" s="98"/>
      <c r="X128" s="93"/>
      <c r="Y128" s="98"/>
      <c r="Z128" s="93"/>
      <c r="AA128" s="93"/>
      <c r="AB128" s="93"/>
      <c r="AC128" s="93"/>
      <c r="AD128" s="93"/>
      <c r="AE128" s="93"/>
      <c r="AF128" s="72"/>
      <c r="AG128" s="94"/>
      <c r="AH128" s="93"/>
      <c r="AK128" s="7"/>
      <c r="AL128" s="7"/>
      <c r="AM128" s="41"/>
      <c r="AN128" s="42"/>
      <c r="AO128" s="7"/>
      <c r="AP128" s="7"/>
      <c r="AQ128" s="7"/>
      <c r="AR128" s="7"/>
      <c r="AS128" s="5"/>
      <c r="AT128" s="5"/>
    </row>
    <row r="129" spans="1:46" ht="16.5" thickTop="1" x14ac:dyDescent="0.25">
      <c r="A129" s="56"/>
      <c r="B129" s="54"/>
      <c r="D129" s="69"/>
      <c r="E129" s="70"/>
      <c r="F129" s="70"/>
      <c r="G129" s="70"/>
      <c r="H129" s="70"/>
      <c r="I129" s="70"/>
      <c r="J129" s="70"/>
      <c r="K129" s="70"/>
      <c r="L129" s="70"/>
      <c r="M129" s="70"/>
      <c r="N129" s="70"/>
      <c r="O129" s="70"/>
      <c r="P129" s="70"/>
      <c r="Q129" s="70"/>
      <c r="R129" s="71"/>
      <c r="T129" s="95"/>
      <c r="U129" s="97"/>
      <c r="V129" s="93"/>
      <c r="W129" s="98"/>
      <c r="X129" s="93"/>
      <c r="Y129" s="98"/>
      <c r="Z129" s="93"/>
      <c r="AA129" s="93"/>
      <c r="AB129" s="93"/>
      <c r="AC129" s="93"/>
      <c r="AD129" s="93"/>
      <c r="AE129" s="93"/>
      <c r="AF129" s="72"/>
      <c r="AG129" s="94"/>
      <c r="AH129" s="93"/>
      <c r="AK129" s="7"/>
      <c r="AL129" s="7"/>
      <c r="AM129" s="41"/>
      <c r="AN129" s="42"/>
      <c r="AO129" s="7"/>
      <c r="AP129" s="7"/>
      <c r="AQ129" s="7"/>
      <c r="AR129" s="7"/>
      <c r="AS129" s="5"/>
      <c r="AT129" s="5"/>
    </row>
    <row r="130" spans="1:46" ht="15.75" x14ac:dyDescent="0.25">
      <c r="A130" s="56"/>
      <c r="B130" s="54"/>
      <c r="D130" s="63"/>
      <c r="E130" s="64"/>
      <c r="F130" s="64"/>
      <c r="G130" s="64"/>
      <c r="H130" s="64"/>
      <c r="I130" s="64"/>
      <c r="J130" s="64"/>
      <c r="K130" s="64"/>
      <c r="L130" s="64"/>
      <c r="M130" s="64"/>
      <c r="N130" s="64"/>
      <c r="O130" s="64"/>
      <c r="P130" s="64"/>
      <c r="Q130" s="64"/>
      <c r="R130" s="65"/>
      <c r="T130" s="95"/>
      <c r="U130" s="97"/>
      <c r="V130" s="93"/>
      <c r="W130" s="98"/>
      <c r="X130" s="93"/>
      <c r="Y130" s="98"/>
      <c r="Z130" s="93"/>
      <c r="AA130" s="93"/>
      <c r="AB130" s="93"/>
      <c r="AC130" s="93"/>
      <c r="AD130" s="93"/>
      <c r="AE130" s="93"/>
      <c r="AF130" s="72"/>
      <c r="AG130" s="94"/>
      <c r="AH130" s="93"/>
      <c r="AK130" s="7"/>
      <c r="AL130" s="7"/>
      <c r="AM130" s="41"/>
      <c r="AN130" s="42"/>
      <c r="AO130" s="7"/>
      <c r="AP130" s="7"/>
      <c r="AQ130" s="7"/>
      <c r="AR130" s="7"/>
      <c r="AS130" s="5"/>
      <c r="AT130" s="5"/>
    </row>
    <row r="131" spans="1:46" ht="15.75" x14ac:dyDescent="0.25">
      <c r="A131" s="56"/>
      <c r="B131" s="54"/>
      <c r="D131" s="63"/>
      <c r="E131" s="64"/>
      <c r="F131" s="64"/>
      <c r="G131" s="64"/>
      <c r="H131" s="64"/>
      <c r="I131" s="64"/>
      <c r="J131" s="64"/>
      <c r="K131" s="64"/>
      <c r="L131" s="64"/>
      <c r="M131" s="64"/>
      <c r="N131" s="64"/>
      <c r="O131" s="64"/>
      <c r="P131" s="64"/>
      <c r="Q131" s="64"/>
      <c r="R131" s="65"/>
      <c r="T131" s="95"/>
      <c r="U131" s="97"/>
      <c r="V131" s="93"/>
      <c r="W131" s="98"/>
      <c r="X131" s="93"/>
      <c r="Y131" s="98"/>
      <c r="Z131" s="93"/>
      <c r="AA131" s="93"/>
      <c r="AB131" s="93"/>
      <c r="AC131" s="93"/>
      <c r="AD131" s="93"/>
      <c r="AE131" s="93"/>
      <c r="AF131" s="72"/>
      <c r="AG131" s="94"/>
      <c r="AH131" s="93"/>
      <c r="AK131" s="7"/>
      <c r="AL131" s="7"/>
      <c r="AM131" s="41"/>
      <c r="AN131" s="42"/>
      <c r="AO131" s="7"/>
      <c r="AP131" s="7"/>
      <c r="AQ131" s="7"/>
      <c r="AR131" s="7"/>
      <c r="AS131" s="5"/>
      <c r="AT131" s="5"/>
    </row>
    <row r="132" spans="1:46" ht="15.75" x14ac:dyDescent="0.25">
      <c r="A132" s="56"/>
      <c r="B132" s="54"/>
      <c r="D132" s="63"/>
      <c r="E132" s="64"/>
      <c r="F132" s="64"/>
      <c r="G132" s="64"/>
      <c r="H132" s="64"/>
      <c r="I132" s="64"/>
      <c r="J132" s="64"/>
      <c r="K132" s="64"/>
      <c r="L132" s="64"/>
      <c r="M132" s="64"/>
      <c r="N132" s="64"/>
      <c r="O132" s="64"/>
      <c r="P132" s="64"/>
      <c r="Q132" s="64"/>
      <c r="R132" s="65"/>
      <c r="T132" s="95"/>
      <c r="U132" s="97"/>
      <c r="V132" s="93"/>
      <c r="W132" s="98"/>
      <c r="X132" s="93"/>
      <c r="Y132" s="98"/>
      <c r="Z132" s="93"/>
      <c r="AA132" s="93"/>
      <c r="AB132" s="93"/>
      <c r="AC132" s="93"/>
      <c r="AD132" s="93"/>
      <c r="AE132" s="93"/>
      <c r="AF132" s="72"/>
      <c r="AG132" s="94"/>
      <c r="AH132" s="93"/>
      <c r="AK132" s="7"/>
      <c r="AL132" s="7"/>
      <c r="AM132" s="41"/>
      <c r="AN132" s="42"/>
      <c r="AO132" s="7"/>
      <c r="AP132" s="7"/>
      <c r="AQ132" s="7"/>
      <c r="AR132" s="7"/>
      <c r="AS132" s="5"/>
      <c r="AT132" s="5"/>
    </row>
    <row r="133" spans="1:46" ht="15.75" x14ac:dyDescent="0.25">
      <c r="A133" s="56"/>
      <c r="B133" s="54"/>
      <c r="D133" s="63"/>
      <c r="E133" s="64"/>
      <c r="F133" s="64"/>
      <c r="G133" s="64"/>
      <c r="H133" s="64"/>
      <c r="I133" s="64"/>
      <c r="J133" s="64"/>
      <c r="K133" s="64"/>
      <c r="L133" s="64"/>
      <c r="M133" s="64"/>
      <c r="N133" s="64"/>
      <c r="O133" s="64"/>
      <c r="P133" s="64"/>
      <c r="Q133" s="64"/>
      <c r="R133" s="65"/>
      <c r="T133" s="95"/>
      <c r="U133" s="97"/>
      <c r="V133" s="93"/>
      <c r="W133" s="98"/>
      <c r="X133" s="93"/>
      <c r="Y133" s="98"/>
      <c r="Z133" s="93"/>
      <c r="AA133" s="93"/>
      <c r="AB133" s="93"/>
      <c r="AC133" s="93"/>
      <c r="AD133" s="93"/>
      <c r="AE133" s="93"/>
      <c r="AF133" s="72"/>
      <c r="AG133" s="94"/>
      <c r="AH133" s="93"/>
      <c r="AK133" s="7"/>
      <c r="AL133" s="7"/>
      <c r="AM133" s="41"/>
      <c r="AN133" s="42"/>
      <c r="AO133" s="7"/>
      <c r="AP133" s="7"/>
      <c r="AQ133" s="7"/>
      <c r="AR133" s="7"/>
      <c r="AS133" s="5"/>
      <c r="AT133" s="5"/>
    </row>
    <row r="134" spans="1:46" ht="15.75" x14ac:dyDescent="0.25">
      <c r="A134" s="56"/>
      <c r="B134" s="54"/>
      <c r="D134" s="63"/>
      <c r="E134" s="64"/>
      <c r="F134" s="64"/>
      <c r="G134" s="64"/>
      <c r="H134" s="64"/>
      <c r="I134" s="64"/>
      <c r="J134" s="64"/>
      <c r="K134" s="64"/>
      <c r="L134" s="64"/>
      <c r="M134" s="64"/>
      <c r="N134" s="64"/>
      <c r="O134" s="64"/>
      <c r="P134" s="64"/>
      <c r="Q134" s="64"/>
      <c r="R134" s="65"/>
      <c r="T134" s="95"/>
      <c r="U134" s="97"/>
      <c r="V134" s="93"/>
      <c r="W134" s="98"/>
      <c r="X134" s="93"/>
      <c r="Y134" s="98"/>
      <c r="Z134" s="93"/>
      <c r="AA134" s="93"/>
      <c r="AB134" s="93"/>
      <c r="AC134" s="93"/>
      <c r="AD134" s="93"/>
      <c r="AE134" s="93"/>
      <c r="AF134" s="72"/>
      <c r="AG134" s="94"/>
      <c r="AH134" s="93"/>
      <c r="AK134" s="7"/>
      <c r="AL134" s="7"/>
      <c r="AM134" s="41"/>
      <c r="AN134" s="42"/>
      <c r="AO134" s="7"/>
      <c r="AP134" s="7"/>
      <c r="AQ134" s="7"/>
      <c r="AR134" s="7"/>
      <c r="AS134" s="5"/>
      <c r="AT134" s="5"/>
    </row>
    <row r="135" spans="1:46" ht="15.75" x14ac:dyDescent="0.25">
      <c r="A135" s="56"/>
      <c r="B135" s="54"/>
      <c r="D135" s="63"/>
      <c r="E135" s="64"/>
      <c r="F135" s="64"/>
      <c r="G135" s="64"/>
      <c r="H135" s="64"/>
      <c r="I135" s="64"/>
      <c r="J135" s="64"/>
      <c r="K135" s="64"/>
      <c r="L135" s="64"/>
      <c r="M135" s="64"/>
      <c r="N135" s="64"/>
      <c r="O135" s="64"/>
      <c r="P135" s="64"/>
      <c r="Q135" s="64"/>
      <c r="R135" s="65"/>
      <c r="T135" s="95"/>
      <c r="U135" s="97"/>
      <c r="V135" s="93"/>
      <c r="W135" s="98"/>
      <c r="X135" s="93"/>
      <c r="Y135" s="98"/>
      <c r="Z135" s="93"/>
      <c r="AA135" s="93"/>
      <c r="AB135" s="93"/>
      <c r="AC135" s="93"/>
      <c r="AD135" s="93"/>
      <c r="AE135" s="93"/>
      <c r="AF135" s="72"/>
      <c r="AG135" s="94"/>
      <c r="AH135" s="93"/>
      <c r="AK135" s="7"/>
      <c r="AL135" s="7"/>
      <c r="AM135" s="41"/>
      <c r="AN135" s="42"/>
      <c r="AO135" s="7"/>
      <c r="AP135" s="7"/>
      <c r="AQ135" s="7"/>
      <c r="AR135" s="7"/>
      <c r="AS135" s="5"/>
      <c r="AT135" s="5"/>
    </row>
    <row r="136" spans="1:46" ht="15.75" x14ac:dyDescent="0.25">
      <c r="A136" s="56"/>
      <c r="B136" s="54"/>
      <c r="D136" s="63"/>
      <c r="E136" s="64"/>
      <c r="F136" s="64"/>
      <c r="G136" s="64"/>
      <c r="H136" s="64"/>
      <c r="I136" s="64"/>
      <c r="J136" s="64"/>
      <c r="K136" s="64"/>
      <c r="L136" s="64"/>
      <c r="M136" s="64"/>
      <c r="N136" s="64"/>
      <c r="O136" s="64"/>
      <c r="P136" s="64"/>
      <c r="Q136" s="64"/>
      <c r="R136" s="65"/>
      <c r="T136" s="95"/>
      <c r="U136" s="97"/>
      <c r="V136" s="93"/>
      <c r="W136" s="98"/>
      <c r="X136" s="93"/>
      <c r="Y136" s="98"/>
      <c r="Z136" s="93"/>
      <c r="AA136" s="93"/>
      <c r="AB136" s="93"/>
      <c r="AC136" s="93"/>
      <c r="AD136" s="93"/>
      <c r="AE136" s="93"/>
      <c r="AF136" s="72"/>
      <c r="AG136" s="94"/>
      <c r="AH136" s="93"/>
      <c r="AK136" s="7"/>
      <c r="AL136" s="7"/>
      <c r="AM136" s="41"/>
      <c r="AN136" s="42"/>
      <c r="AO136" s="7"/>
      <c r="AP136" s="7"/>
      <c r="AQ136" s="7"/>
      <c r="AR136" s="7"/>
      <c r="AS136" s="5"/>
      <c r="AT136" s="5"/>
    </row>
    <row r="137" spans="1:46" ht="15.75" x14ac:dyDescent="0.25">
      <c r="A137" s="56"/>
      <c r="B137" s="54"/>
      <c r="D137" s="63"/>
      <c r="E137" s="64"/>
      <c r="F137" s="64"/>
      <c r="G137" s="64"/>
      <c r="H137" s="64"/>
      <c r="I137" s="64"/>
      <c r="J137" s="64"/>
      <c r="K137" s="64"/>
      <c r="L137" s="64"/>
      <c r="M137" s="64"/>
      <c r="N137" s="64"/>
      <c r="O137" s="64"/>
      <c r="P137" s="64"/>
      <c r="Q137" s="64"/>
      <c r="R137" s="65"/>
      <c r="T137" s="95"/>
      <c r="U137" s="97"/>
      <c r="V137" s="93"/>
      <c r="W137" s="98"/>
      <c r="X137" s="93"/>
      <c r="Y137" s="98"/>
      <c r="Z137" s="93"/>
      <c r="AA137" s="93"/>
      <c r="AB137" s="93"/>
      <c r="AC137" s="93"/>
      <c r="AD137" s="93"/>
      <c r="AE137" s="93"/>
      <c r="AF137" s="72"/>
      <c r="AG137" s="94"/>
      <c r="AH137" s="93"/>
      <c r="AK137" s="7"/>
      <c r="AL137" s="7"/>
      <c r="AM137" s="41"/>
      <c r="AN137" s="42"/>
      <c r="AO137" s="7"/>
      <c r="AP137" s="7"/>
      <c r="AQ137" s="7"/>
      <c r="AR137" s="7"/>
      <c r="AS137" s="5"/>
      <c r="AT137" s="5"/>
    </row>
    <row r="138" spans="1:46" ht="15.75" x14ac:dyDescent="0.25">
      <c r="A138" s="56"/>
      <c r="B138" s="54"/>
      <c r="D138" s="63"/>
      <c r="E138" s="64"/>
      <c r="F138" s="64"/>
      <c r="G138" s="64"/>
      <c r="H138" s="64"/>
      <c r="I138" s="64"/>
      <c r="J138" s="64"/>
      <c r="K138" s="64"/>
      <c r="L138" s="64"/>
      <c r="M138" s="64"/>
      <c r="N138" s="64"/>
      <c r="O138" s="64"/>
      <c r="P138" s="64"/>
      <c r="Q138" s="64"/>
      <c r="R138" s="65"/>
      <c r="T138" s="95"/>
      <c r="U138" s="97"/>
      <c r="V138" s="93"/>
      <c r="W138" s="98"/>
      <c r="X138" s="93"/>
      <c r="Y138" s="98"/>
      <c r="Z138" s="93"/>
      <c r="AA138" s="93"/>
      <c r="AB138" s="93"/>
      <c r="AC138" s="93"/>
      <c r="AD138" s="93"/>
      <c r="AE138" s="93"/>
      <c r="AF138" s="72"/>
      <c r="AG138" s="94"/>
      <c r="AH138" s="93"/>
      <c r="AK138" s="7"/>
      <c r="AL138" s="7"/>
      <c r="AM138" s="41"/>
      <c r="AN138" s="42"/>
      <c r="AO138" s="7"/>
      <c r="AP138" s="7"/>
      <c r="AQ138" s="7"/>
      <c r="AR138" s="7"/>
      <c r="AS138" s="5"/>
      <c r="AT138" s="5"/>
    </row>
    <row r="139" spans="1:46" ht="15.75" x14ac:dyDescent="0.25">
      <c r="A139" s="56"/>
      <c r="B139" s="54"/>
      <c r="D139" s="63"/>
      <c r="E139" s="64"/>
      <c r="F139" s="64"/>
      <c r="G139" s="64"/>
      <c r="H139" s="64"/>
      <c r="I139" s="64"/>
      <c r="J139" s="64"/>
      <c r="K139" s="64"/>
      <c r="L139" s="64"/>
      <c r="M139" s="64"/>
      <c r="N139" s="64"/>
      <c r="O139" s="64"/>
      <c r="P139" s="64"/>
      <c r="Q139" s="64"/>
      <c r="R139" s="65"/>
      <c r="T139" s="95"/>
      <c r="U139" s="97"/>
      <c r="V139" s="93"/>
      <c r="W139" s="98"/>
      <c r="X139" s="93"/>
      <c r="Y139" s="98"/>
      <c r="Z139" s="93"/>
      <c r="AA139" s="93"/>
      <c r="AB139" s="93"/>
      <c r="AC139" s="93"/>
      <c r="AD139" s="93"/>
      <c r="AE139" s="93"/>
      <c r="AF139" s="72"/>
      <c r="AG139" s="94"/>
      <c r="AH139" s="93"/>
      <c r="AK139" s="7"/>
      <c r="AL139" s="7"/>
      <c r="AM139" s="41"/>
      <c r="AN139" s="42"/>
      <c r="AO139" s="7"/>
      <c r="AP139" s="7"/>
      <c r="AQ139" s="7"/>
      <c r="AR139" s="7"/>
      <c r="AS139" s="5"/>
      <c r="AT139" s="5"/>
    </row>
    <row r="140" spans="1:46" ht="16.5" thickBot="1" x14ac:dyDescent="0.3">
      <c r="A140" s="56"/>
      <c r="B140" s="54"/>
      <c r="D140" s="66"/>
      <c r="E140" s="67"/>
      <c r="F140" s="67"/>
      <c r="G140" s="67"/>
      <c r="H140" s="67"/>
      <c r="I140" s="67"/>
      <c r="J140" s="67"/>
      <c r="K140" s="67"/>
      <c r="L140" s="67"/>
      <c r="M140" s="67"/>
      <c r="N140" s="67"/>
      <c r="O140" s="67"/>
      <c r="P140" s="67"/>
      <c r="Q140" s="67"/>
      <c r="R140" s="68"/>
      <c r="T140" s="95"/>
      <c r="U140" s="97"/>
      <c r="V140" s="93"/>
      <c r="W140" s="98"/>
      <c r="X140" s="93"/>
      <c r="Y140" s="98"/>
      <c r="Z140" s="93"/>
      <c r="AA140" s="93"/>
      <c r="AB140" s="93"/>
      <c r="AC140" s="93"/>
      <c r="AD140" s="93"/>
      <c r="AE140" s="93"/>
      <c r="AF140" s="72"/>
      <c r="AG140" s="94"/>
      <c r="AH140" s="93"/>
      <c r="AK140" s="7"/>
      <c r="AL140" s="7"/>
      <c r="AM140" s="41"/>
      <c r="AN140" s="42"/>
      <c r="AO140" s="7"/>
      <c r="AP140" s="7"/>
      <c r="AQ140" s="7"/>
      <c r="AR140" s="7"/>
      <c r="AS140" s="5"/>
      <c r="AT140" s="5"/>
    </row>
    <row r="141" spans="1:46" ht="16.5" thickTop="1" x14ac:dyDescent="0.25">
      <c r="A141" s="56"/>
      <c r="B141" s="54"/>
      <c r="D141" s="69"/>
      <c r="E141" s="70"/>
      <c r="F141" s="70"/>
      <c r="G141" s="70"/>
      <c r="H141" s="70"/>
      <c r="I141" s="70"/>
      <c r="J141" s="70"/>
      <c r="K141" s="70"/>
      <c r="L141" s="70"/>
      <c r="M141" s="70"/>
      <c r="N141" s="70"/>
      <c r="O141" s="70"/>
      <c r="P141" s="70"/>
      <c r="Q141" s="70"/>
      <c r="R141" s="71"/>
      <c r="T141" s="95"/>
      <c r="U141" s="97"/>
      <c r="V141" s="93"/>
      <c r="W141" s="98"/>
      <c r="X141" s="93"/>
      <c r="Y141" s="98"/>
      <c r="Z141" s="93"/>
      <c r="AA141" s="93"/>
      <c r="AB141" s="93"/>
      <c r="AC141" s="93"/>
      <c r="AD141" s="93"/>
      <c r="AE141" s="93"/>
      <c r="AF141" s="72"/>
      <c r="AG141" s="94"/>
      <c r="AH141" s="93"/>
      <c r="AK141" s="7"/>
      <c r="AL141" s="7"/>
      <c r="AM141" s="41"/>
      <c r="AN141" s="42"/>
      <c r="AO141" s="7"/>
      <c r="AP141" s="7"/>
      <c r="AQ141" s="7"/>
      <c r="AR141" s="7"/>
      <c r="AS141" s="5"/>
      <c r="AT141" s="5"/>
    </row>
    <row r="142" spans="1:46" ht="15.75" x14ac:dyDescent="0.25">
      <c r="A142" s="56"/>
      <c r="B142" s="54"/>
      <c r="D142" s="63"/>
      <c r="E142" s="64"/>
      <c r="F142" s="64"/>
      <c r="G142" s="64"/>
      <c r="H142" s="64"/>
      <c r="I142" s="64"/>
      <c r="J142" s="64"/>
      <c r="K142" s="64"/>
      <c r="L142" s="64"/>
      <c r="M142" s="64"/>
      <c r="N142" s="64"/>
      <c r="O142" s="64"/>
      <c r="P142" s="64"/>
      <c r="Q142" s="64"/>
      <c r="R142" s="65"/>
      <c r="T142" s="95"/>
      <c r="U142" s="97"/>
      <c r="V142" s="93"/>
      <c r="W142" s="98"/>
      <c r="X142" s="93"/>
      <c r="Y142" s="98"/>
      <c r="Z142" s="93"/>
      <c r="AA142" s="93"/>
      <c r="AB142" s="93"/>
      <c r="AC142" s="93"/>
      <c r="AD142" s="93"/>
      <c r="AE142" s="93"/>
      <c r="AF142" s="72"/>
      <c r="AG142" s="94"/>
      <c r="AH142" s="93"/>
      <c r="AK142" s="7"/>
      <c r="AL142" s="7"/>
      <c r="AM142" s="41"/>
      <c r="AN142" s="42"/>
      <c r="AO142" s="7"/>
      <c r="AP142" s="7"/>
      <c r="AQ142" s="7"/>
      <c r="AR142" s="7"/>
      <c r="AS142" s="5"/>
      <c r="AT142" s="5"/>
    </row>
    <row r="143" spans="1:46" ht="15.75" x14ac:dyDescent="0.25">
      <c r="A143" s="56"/>
      <c r="B143" s="54"/>
      <c r="D143" s="63"/>
      <c r="E143" s="64"/>
      <c r="F143" s="64"/>
      <c r="G143" s="64"/>
      <c r="H143" s="64"/>
      <c r="I143" s="64"/>
      <c r="J143" s="64"/>
      <c r="K143" s="64"/>
      <c r="L143" s="64"/>
      <c r="M143" s="64"/>
      <c r="N143" s="64"/>
      <c r="O143" s="64"/>
      <c r="P143" s="64"/>
      <c r="Q143" s="64"/>
      <c r="R143" s="65"/>
      <c r="T143" s="95"/>
      <c r="U143" s="97"/>
      <c r="V143" s="93"/>
      <c r="W143" s="98"/>
      <c r="X143" s="93"/>
      <c r="Y143" s="98"/>
      <c r="Z143" s="93"/>
      <c r="AA143" s="93"/>
      <c r="AB143" s="93"/>
      <c r="AC143" s="93"/>
      <c r="AD143" s="93"/>
      <c r="AE143" s="93"/>
      <c r="AF143" s="72"/>
      <c r="AG143" s="94"/>
      <c r="AH143" s="93"/>
      <c r="AK143" s="7"/>
      <c r="AL143" s="7"/>
      <c r="AM143" s="41"/>
      <c r="AN143" s="42"/>
      <c r="AO143" s="7"/>
      <c r="AP143" s="7"/>
      <c r="AQ143" s="7"/>
      <c r="AR143" s="7"/>
      <c r="AS143" s="5"/>
      <c r="AT143" s="5"/>
    </row>
    <row r="144" spans="1:46" ht="15.75" x14ac:dyDescent="0.25">
      <c r="A144" s="56"/>
      <c r="B144" s="54"/>
      <c r="D144" s="63"/>
      <c r="E144" s="64"/>
      <c r="F144" s="64"/>
      <c r="G144" s="64"/>
      <c r="H144" s="64"/>
      <c r="I144" s="64"/>
      <c r="J144" s="64"/>
      <c r="K144" s="64"/>
      <c r="L144" s="64"/>
      <c r="M144" s="64"/>
      <c r="N144" s="64"/>
      <c r="O144" s="64"/>
      <c r="P144" s="64"/>
      <c r="Q144" s="64"/>
      <c r="R144" s="65"/>
      <c r="T144" s="95"/>
      <c r="U144" s="97"/>
      <c r="V144" s="93"/>
      <c r="W144" s="98"/>
      <c r="X144" s="93"/>
      <c r="Y144" s="98"/>
      <c r="Z144" s="93"/>
      <c r="AA144" s="93"/>
      <c r="AB144" s="93"/>
      <c r="AC144" s="93"/>
      <c r="AD144" s="93"/>
      <c r="AE144" s="93"/>
      <c r="AF144" s="72"/>
      <c r="AG144" s="94"/>
      <c r="AH144" s="93"/>
      <c r="AK144" s="7"/>
      <c r="AL144" s="7"/>
      <c r="AM144" s="41"/>
      <c r="AN144" s="42"/>
      <c r="AO144" s="7"/>
      <c r="AP144" s="7"/>
      <c r="AQ144" s="7"/>
      <c r="AR144" s="7"/>
      <c r="AS144" s="5"/>
      <c r="AT144" s="5"/>
    </row>
    <row r="145" spans="1:46" ht="15.75" x14ac:dyDescent="0.25">
      <c r="A145" s="56"/>
      <c r="B145" s="54"/>
      <c r="D145" s="63"/>
      <c r="E145" s="64"/>
      <c r="F145" s="64"/>
      <c r="G145" s="64"/>
      <c r="H145" s="64"/>
      <c r="I145" s="64"/>
      <c r="J145" s="64"/>
      <c r="K145" s="64"/>
      <c r="L145" s="64"/>
      <c r="M145" s="64"/>
      <c r="N145" s="64"/>
      <c r="O145" s="64"/>
      <c r="P145" s="64"/>
      <c r="Q145" s="64"/>
      <c r="R145" s="65"/>
      <c r="T145" s="95"/>
      <c r="U145" s="97"/>
      <c r="V145" s="93"/>
      <c r="W145" s="98"/>
      <c r="X145" s="93"/>
      <c r="Y145" s="98"/>
      <c r="Z145" s="93"/>
      <c r="AA145" s="93"/>
      <c r="AB145" s="93"/>
      <c r="AC145" s="93"/>
      <c r="AD145" s="93"/>
      <c r="AE145" s="93"/>
      <c r="AF145" s="72"/>
      <c r="AG145" s="94"/>
      <c r="AH145" s="93"/>
      <c r="AK145" s="7"/>
      <c r="AL145" s="7"/>
      <c r="AM145" s="41"/>
      <c r="AN145" s="42"/>
      <c r="AO145" s="7"/>
      <c r="AP145" s="7"/>
      <c r="AQ145" s="7"/>
      <c r="AR145" s="7"/>
      <c r="AS145" s="5"/>
      <c r="AT145" s="5"/>
    </row>
    <row r="146" spans="1:46" ht="15.75" x14ac:dyDescent="0.25">
      <c r="A146" s="56"/>
      <c r="B146" s="54"/>
      <c r="D146" s="63"/>
      <c r="E146" s="64"/>
      <c r="F146" s="64"/>
      <c r="G146" s="64"/>
      <c r="H146" s="64"/>
      <c r="I146" s="64"/>
      <c r="J146" s="64"/>
      <c r="K146" s="64"/>
      <c r="L146" s="64"/>
      <c r="M146" s="64"/>
      <c r="N146" s="64"/>
      <c r="O146" s="64"/>
      <c r="P146" s="64"/>
      <c r="Q146" s="64"/>
      <c r="R146" s="65"/>
      <c r="T146" s="95"/>
      <c r="U146" s="97"/>
      <c r="V146" s="93"/>
      <c r="W146" s="98"/>
      <c r="X146" s="93"/>
      <c r="Y146" s="98"/>
      <c r="Z146" s="93"/>
      <c r="AA146" s="93"/>
      <c r="AB146" s="93"/>
      <c r="AC146" s="93"/>
      <c r="AD146" s="93"/>
      <c r="AE146" s="93"/>
      <c r="AF146" s="72"/>
      <c r="AG146" s="94"/>
      <c r="AH146" s="93"/>
      <c r="AK146" s="7"/>
      <c r="AL146" s="7"/>
      <c r="AM146" s="41"/>
      <c r="AN146" s="42"/>
      <c r="AO146" s="7"/>
      <c r="AP146" s="7"/>
      <c r="AQ146" s="7"/>
      <c r="AR146" s="7"/>
      <c r="AS146" s="5"/>
      <c r="AT146" s="5"/>
    </row>
    <row r="147" spans="1:46" ht="15.75" x14ac:dyDescent="0.25">
      <c r="A147" s="56"/>
      <c r="B147" s="54"/>
      <c r="D147" s="63"/>
      <c r="E147" s="64"/>
      <c r="F147" s="64"/>
      <c r="G147" s="64"/>
      <c r="H147" s="64"/>
      <c r="I147" s="64"/>
      <c r="J147" s="64"/>
      <c r="K147" s="64"/>
      <c r="L147" s="64"/>
      <c r="M147" s="64"/>
      <c r="N147" s="64"/>
      <c r="O147" s="64"/>
      <c r="P147" s="64"/>
      <c r="Q147" s="64"/>
      <c r="R147" s="65"/>
      <c r="T147" s="95"/>
      <c r="U147" s="97"/>
      <c r="V147" s="93"/>
      <c r="W147" s="98"/>
      <c r="X147" s="93"/>
      <c r="Y147" s="98"/>
      <c r="Z147" s="93"/>
      <c r="AA147" s="93"/>
      <c r="AB147" s="93"/>
      <c r="AC147" s="93"/>
      <c r="AD147" s="93"/>
      <c r="AE147" s="93"/>
      <c r="AF147" s="72"/>
      <c r="AG147" s="94"/>
      <c r="AH147" s="93"/>
      <c r="AK147" s="7"/>
      <c r="AL147" s="7"/>
      <c r="AM147" s="41"/>
      <c r="AN147" s="42"/>
      <c r="AO147" s="7"/>
      <c r="AP147" s="7"/>
      <c r="AQ147" s="7"/>
      <c r="AR147" s="7"/>
      <c r="AS147" s="5"/>
      <c r="AT147" s="5"/>
    </row>
    <row r="148" spans="1:46" ht="15.75" x14ac:dyDescent="0.25">
      <c r="A148" s="56"/>
      <c r="B148" s="54"/>
      <c r="D148" s="63"/>
      <c r="E148" s="64"/>
      <c r="F148" s="64"/>
      <c r="G148" s="64"/>
      <c r="H148" s="64"/>
      <c r="I148" s="64"/>
      <c r="J148" s="64"/>
      <c r="K148" s="64"/>
      <c r="L148" s="64"/>
      <c r="M148" s="64"/>
      <c r="N148" s="64"/>
      <c r="O148" s="64"/>
      <c r="P148" s="64"/>
      <c r="Q148" s="64"/>
      <c r="R148" s="65"/>
      <c r="T148" s="95"/>
      <c r="U148" s="97"/>
      <c r="V148" s="93"/>
      <c r="W148" s="98"/>
      <c r="X148" s="93"/>
      <c r="Y148" s="98"/>
      <c r="Z148" s="93"/>
      <c r="AA148" s="93"/>
      <c r="AB148" s="93"/>
      <c r="AC148" s="93"/>
      <c r="AD148" s="93"/>
      <c r="AE148" s="93"/>
      <c r="AF148" s="72"/>
      <c r="AG148" s="94"/>
      <c r="AH148" s="93"/>
      <c r="AK148" s="7"/>
      <c r="AL148" s="7"/>
      <c r="AM148" s="41"/>
      <c r="AN148" s="42"/>
      <c r="AO148" s="7"/>
      <c r="AP148" s="7"/>
      <c r="AQ148" s="7"/>
      <c r="AR148" s="7"/>
      <c r="AS148" s="5"/>
      <c r="AT148" s="5"/>
    </row>
    <row r="149" spans="1:46" ht="15.75" x14ac:dyDescent="0.25">
      <c r="A149" s="56"/>
      <c r="B149" s="54"/>
      <c r="D149" s="63"/>
      <c r="E149" s="64"/>
      <c r="F149" s="64"/>
      <c r="G149" s="64"/>
      <c r="H149" s="64"/>
      <c r="I149" s="64"/>
      <c r="J149" s="64"/>
      <c r="K149" s="64"/>
      <c r="L149" s="64"/>
      <c r="M149" s="64"/>
      <c r="N149" s="64"/>
      <c r="O149" s="64"/>
      <c r="P149" s="64"/>
      <c r="Q149" s="64"/>
      <c r="R149" s="65"/>
      <c r="T149" s="95"/>
      <c r="U149" s="97"/>
      <c r="V149" s="93"/>
      <c r="W149" s="98"/>
      <c r="X149" s="93"/>
      <c r="Y149" s="98"/>
      <c r="Z149" s="93"/>
      <c r="AA149" s="93"/>
      <c r="AB149" s="93"/>
      <c r="AC149" s="93"/>
      <c r="AD149" s="93"/>
      <c r="AE149" s="93"/>
      <c r="AF149" s="72"/>
      <c r="AG149" s="94"/>
      <c r="AH149" s="93"/>
      <c r="AK149" s="7"/>
      <c r="AL149" s="7"/>
      <c r="AM149" s="41"/>
      <c r="AN149" s="42"/>
      <c r="AO149" s="7"/>
      <c r="AP149" s="7"/>
      <c r="AQ149" s="7"/>
      <c r="AR149" s="7"/>
      <c r="AS149" s="5"/>
      <c r="AT149" s="5"/>
    </row>
    <row r="150" spans="1:46" ht="15.75" x14ac:dyDescent="0.25">
      <c r="A150" s="56"/>
      <c r="B150" s="54"/>
      <c r="D150" s="63"/>
      <c r="E150" s="64"/>
      <c r="F150" s="64"/>
      <c r="G150" s="64"/>
      <c r="H150" s="64"/>
      <c r="I150" s="64"/>
      <c r="J150" s="64"/>
      <c r="K150" s="64"/>
      <c r="L150" s="64"/>
      <c r="M150" s="64"/>
      <c r="N150" s="64"/>
      <c r="O150" s="64"/>
      <c r="P150" s="64"/>
      <c r="Q150" s="64"/>
      <c r="R150" s="65"/>
      <c r="T150" s="95"/>
      <c r="U150" s="97"/>
      <c r="V150" s="93"/>
      <c r="W150" s="98"/>
      <c r="X150" s="93"/>
      <c r="Y150" s="98"/>
      <c r="Z150" s="93"/>
      <c r="AA150" s="93"/>
      <c r="AB150" s="93"/>
      <c r="AC150" s="93"/>
      <c r="AD150" s="93"/>
      <c r="AE150" s="93"/>
      <c r="AF150" s="72"/>
      <c r="AG150" s="94"/>
      <c r="AH150" s="93"/>
      <c r="AK150" s="7"/>
      <c r="AL150" s="7"/>
      <c r="AM150" s="41"/>
      <c r="AN150" s="42"/>
      <c r="AO150" s="7"/>
      <c r="AP150" s="7"/>
      <c r="AQ150" s="7"/>
      <c r="AR150" s="7"/>
      <c r="AS150" s="5"/>
      <c r="AT150" s="5"/>
    </row>
    <row r="151" spans="1:46" ht="15.75" x14ac:dyDescent="0.25">
      <c r="A151" s="56"/>
      <c r="B151" s="54"/>
      <c r="D151" s="63"/>
      <c r="E151" s="64"/>
      <c r="F151" s="64"/>
      <c r="G151" s="64"/>
      <c r="H151" s="64"/>
      <c r="I151" s="64"/>
      <c r="J151" s="64"/>
      <c r="K151" s="64"/>
      <c r="L151" s="64"/>
      <c r="M151" s="64"/>
      <c r="N151" s="64"/>
      <c r="O151" s="64"/>
      <c r="P151" s="64"/>
      <c r="Q151" s="64"/>
      <c r="R151" s="65"/>
      <c r="T151" s="95"/>
      <c r="U151" s="97"/>
      <c r="V151" s="93"/>
      <c r="W151" s="98"/>
      <c r="X151" s="93"/>
      <c r="Y151" s="98"/>
      <c r="Z151" s="93"/>
      <c r="AA151" s="93"/>
      <c r="AB151" s="93"/>
      <c r="AC151" s="93"/>
      <c r="AD151" s="93"/>
      <c r="AE151" s="93"/>
      <c r="AF151" s="72"/>
      <c r="AG151" s="94"/>
      <c r="AH151" s="93"/>
      <c r="AK151" s="7"/>
      <c r="AL151" s="7"/>
      <c r="AM151" s="41"/>
      <c r="AN151" s="42"/>
      <c r="AO151" s="7"/>
      <c r="AP151" s="7"/>
      <c r="AQ151" s="7"/>
      <c r="AR151" s="7"/>
      <c r="AS151" s="5"/>
      <c r="AT151" s="5"/>
    </row>
    <row r="152" spans="1:46" ht="16.5" thickBot="1" x14ac:dyDescent="0.3">
      <c r="A152" s="56"/>
      <c r="B152" s="54"/>
      <c r="D152" s="66"/>
      <c r="E152" s="67"/>
      <c r="F152" s="67"/>
      <c r="G152" s="67"/>
      <c r="H152" s="67"/>
      <c r="I152" s="67"/>
      <c r="J152" s="67"/>
      <c r="K152" s="67"/>
      <c r="L152" s="67"/>
      <c r="M152" s="67"/>
      <c r="N152" s="67"/>
      <c r="O152" s="67"/>
      <c r="P152" s="67"/>
      <c r="Q152" s="67"/>
      <c r="R152" s="68"/>
      <c r="T152" s="95"/>
      <c r="U152" s="97"/>
      <c r="V152" s="93"/>
      <c r="W152" s="98"/>
      <c r="X152" s="93"/>
      <c r="Y152" s="98"/>
      <c r="Z152" s="93"/>
      <c r="AA152" s="93"/>
      <c r="AB152" s="93"/>
      <c r="AC152" s="93"/>
      <c r="AD152" s="93"/>
      <c r="AE152" s="93"/>
      <c r="AF152" s="72"/>
      <c r="AG152" s="94"/>
      <c r="AH152" s="93"/>
      <c r="AK152" s="7"/>
      <c r="AL152" s="7"/>
      <c r="AM152" s="41"/>
      <c r="AN152" s="42"/>
      <c r="AO152" s="7"/>
      <c r="AP152" s="7"/>
      <c r="AQ152" s="7"/>
      <c r="AR152" s="7"/>
      <c r="AS152" s="5"/>
      <c r="AT152" s="5"/>
    </row>
    <row r="153" spans="1:46" ht="16.5" thickTop="1" x14ac:dyDescent="0.25">
      <c r="A153" s="56"/>
      <c r="B153" s="54"/>
      <c r="D153" s="69"/>
      <c r="E153" s="70"/>
      <c r="F153" s="70"/>
      <c r="G153" s="70"/>
      <c r="H153" s="70"/>
      <c r="I153" s="70"/>
      <c r="J153" s="70"/>
      <c r="K153" s="70"/>
      <c r="L153" s="70"/>
      <c r="M153" s="70"/>
      <c r="N153" s="70"/>
      <c r="O153" s="70"/>
      <c r="P153" s="70"/>
      <c r="Q153" s="70"/>
      <c r="R153" s="71"/>
      <c r="T153" s="95"/>
      <c r="U153" s="97"/>
      <c r="V153" s="93"/>
      <c r="W153" s="98"/>
      <c r="X153" s="93"/>
      <c r="Y153" s="98"/>
      <c r="Z153" s="93"/>
      <c r="AA153" s="93"/>
      <c r="AB153" s="93"/>
      <c r="AC153" s="93"/>
      <c r="AD153" s="93"/>
      <c r="AE153" s="93"/>
      <c r="AF153" s="72"/>
      <c r="AG153" s="94"/>
      <c r="AH153" s="93"/>
      <c r="AK153" s="7"/>
      <c r="AL153" s="7"/>
      <c r="AM153" s="41"/>
      <c r="AN153" s="42"/>
      <c r="AO153" s="7"/>
      <c r="AP153" s="7"/>
      <c r="AQ153" s="7"/>
      <c r="AR153" s="7"/>
      <c r="AS153" s="5"/>
      <c r="AT153" s="5"/>
    </row>
    <row r="154" spans="1:46" ht="15.75" x14ac:dyDescent="0.25">
      <c r="A154" s="56"/>
      <c r="B154" s="54"/>
      <c r="D154" s="63"/>
      <c r="E154" s="64"/>
      <c r="F154" s="64"/>
      <c r="G154" s="64"/>
      <c r="H154" s="64"/>
      <c r="I154" s="64"/>
      <c r="J154" s="64"/>
      <c r="K154" s="64"/>
      <c r="L154" s="64"/>
      <c r="M154" s="64"/>
      <c r="N154" s="64"/>
      <c r="O154" s="64"/>
      <c r="P154" s="64"/>
      <c r="Q154" s="64"/>
      <c r="R154" s="65"/>
      <c r="T154" s="95"/>
      <c r="U154" s="97"/>
      <c r="V154" s="93"/>
      <c r="W154" s="98"/>
      <c r="X154" s="93"/>
      <c r="Y154" s="98"/>
      <c r="Z154" s="93"/>
      <c r="AA154" s="93"/>
      <c r="AB154" s="93"/>
      <c r="AC154" s="93"/>
      <c r="AD154" s="93"/>
      <c r="AE154" s="93"/>
      <c r="AF154" s="72"/>
      <c r="AG154" s="94"/>
      <c r="AH154" s="93"/>
      <c r="AK154" s="7"/>
      <c r="AL154" s="7"/>
      <c r="AM154" s="41"/>
      <c r="AN154" s="42"/>
      <c r="AO154" s="7"/>
      <c r="AP154" s="7"/>
      <c r="AQ154" s="7"/>
      <c r="AR154" s="7"/>
      <c r="AS154" s="5"/>
      <c r="AT154" s="5"/>
    </row>
    <row r="155" spans="1:46" ht="15.75" x14ac:dyDescent="0.25">
      <c r="A155" s="56"/>
      <c r="B155" s="54"/>
      <c r="D155" s="63"/>
      <c r="E155" s="64"/>
      <c r="F155" s="64"/>
      <c r="G155" s="64"/>
      <c r="H155" s="64"/>
      <c r="I155" s="64"/>
      <c r="J155" s="64"/>
      <c r="K155" s="64"/>
      <c r="L155" s="64"/>
      <c r="M155" s="64"/>
      <c r="N155" s="64"/>
      <c r="O155" s="64"/>
      <c r="P155" s="64"/>
      <c r="Q155" s="64"/>
      <c r="R155" s="65"/>
      <c r="T155" s="95"/>
      <c r="U155" s="97"/>
      <c r="V155" s="93"/>
      <c r="W155" s="98"/>
      <c r="X155" s="93"/>
      <c r="Y155" s="98"/>
      <c r="Z155" s="93"/>
      <c r="AA155" s="93"/>
      <c r="AB155" s="93"/>
      <c r="AC155" s="93"/>
      <c r="AD155" s="93"/>
      <c r="AE155" s="93"/>
      <c r="AF155" s="72"/>
      <c r="AG155" s="94"/>
      <c r="AH155" s="93"/>
      <c r="AK155" s="7"/>
      <c r="AL155" s="7"/>
      <c r="AM155" s="41"/>
      <c r="AN155" s="42"/>
      <c r="AO155" s="7"/>
      <c r="AP155" s="7"/>
      <c r="AQ155" s="7"/>
      <c r="AR155" s="7"/>
      <c r="AS155" s="5"/>
      <c r="AT155" s="5"/>
    </row>
    <row r="156" spans="1:46" ht="15.75" x14ac:dyDescent="0.25">
      <c r="A156" s="56"/>
      <c r="B156" s="54"/>
      <c r="D156" s="63"/>
      <c r="E156" s="64"/>
      <c r="F156" s="64"/>
      <c r="G156" s="64"/>
      <c r="H156" s="64"/>
      <c r="I156" s="64"/>
      <c r="J156" s="64"/>
      <c r="K156" s="64"/>
      <c r="L156" s="64"/>
      <c r="M156" s="64"/>
      <c r="N156" s="64"/>
      <c r="O156" s="64"/>
      <c r="P156" s="64"/>
      <c r="Q156" s="64"/>
      <c r="R156" s="65"/>
      <c r="T156" s="95"/>
      <c r="U156" s="97"/>
      <c r="V156" s="93"/>
      <c r="W156" s="98"/>
      <c r="X156" s="93"/>
      <c r="Y156" s="98"/>
      <c r="Z156" s="93"/>
      <c r="AA156" s="93"/>
      <c r="AB156" s="93"/>
      <c r="AC156" s="93"/>
      <c r="AD156" s="93"/>
      <c r="AE156" s="93"/>
      <c r="AF156" s="72"/>
      <c r="AG156" s="94"/>
      <c r="AH156" s="93"/>
      <c r="AK156" s="7"/>
      <c r="AL156" s="7"/>
      <c r="AM156" s="41"/>
      <c r="AN156" s="42"/>
      <c r="AO156" s="7"/>
      <c r="AP156" s="7"/>
      <c r="AQ156" s="7"/>
      <c r="AR156" s="7"/>
      <c r="AS156" s="5"/>
      <c r="AT156" s="5"/>
    </row>
    <row r="157" spans="1:46" ht="15.75" x14ac:dyDescent="0.25">
      <c r="A157" s="56"/>
      <c r="B157" s="54"/>
      <c r="D157" s="63"/>
      <c r="E157" s="64"/>
      <c r="F157" s="64"/>
      <c r="G157" s="64"/>
      <c r="H157" s="64"/>
      <c r="I157" s="64"/>
      <c r="J157" s="64"/>
      <c r="K157" s="64"/>
      <c r="L157" s="64"/>
      <c r="M157" s="64"/>
      <c r="N157" s="64"/>
      <c r="O157" s="64"/>
      <c r="P157" s="64"/>
      <c r="Q157" s="64"/>
      <c r="R157" s="65"/>
      <c r="T157" s="95"/>
      <c r="U157" s="97"/>
      <c r="V157" s="93"/>
      <c r="W157" s="98"/>
      <c r="X157" s="93"/>
      <c r="Y157" s="98"/>
      <c r="Z157" s="93"/>
      <c r="AA157" s="93"/>
      <c r="AB157" s="93"/>
      <c r="AC157" s="93"/>
      <c r="AD157" s="93"/>
      <c r="AE157" s="93"/>
      <c r="AF157" s="72"/>
      <c r="AG157" s="94"/>
      <c r="AH157" s="93"/>
      <c r="AK157" s="7"/>
      <c r="AL157" s="7"/>
      <c r="AM157" s="41"/>
      <c r="AN157" s="42"/>
      <c r="AO157" s="7"/>
      <c r="AP157" s="7"/>
      <c r="AQ157" s="7"/>
      <c r="AR157" s="7"/>
      <c r="AS157" s="5"/>
      <c r="AT157" s="5"/>
    </row>
    <row r="158" spans="1:46" ht="15.75" x14ac:dyDescent="0.25">
      <c r="A158" s="56"/>
      <c r="B158" s="54"/>
      <c r="D158" s="63"/>
      <c r="E158" s="64"/>
      <c r="F158" s="64"/>
      <c r="G158" s="64"/>
      <c r="H158" s="64"/>
      <c r="I158" s="64"/>
      <c r="J158" s="64"/>
      <c r="K158" s="64"/>
      <c r="L158" s="64"/>
      <c r="M158" s="64"/>
      <c r="N158" s="64"/>
      <c r="O158" s="64"/>
      <c r="P158" s="64"/>
      <c r="Q158" s="64"/>
      <c r="R158" s="65"/>
      <c r="T158" s="95"/>
      <c r="U158" s="97"/>
      <c r="V158" s="93"/>
      <c r="W158" s="98"/>
      <c r="X158" s="93"/>
      <c r="Y158" s="98"/>
      <c r="Z158" s="93"/>
      <c r="AA158" s="93"/>
      <c r="AB158" s="93"/>
      <c r="AC158" s="93"/>
      <c r="AD158" s="93"/>
      <c r="AE158" s="93"/>
      <c r="AF158" s="72"/>
      <c r="AG158" s="94"/>
      <c r="AH158" s="93"/>
      <c r="AK158" s="7"/>
      <c r="AL158" s="7"/>
      <c r="AM158" s="41"/>
      <c r="AN158" s="42"/>
      <c r="AO158" s="7"/>
      <c r="AP158" s="7"/>
      <c r="AQ158" s="7"/>
      <c r="AR158" s="7"/>
      <c r="AS158" s="5"/>
      <c r="AT158" s="5"/>
    </row>
    <row r="159" spans="1:46" ht="15.75" x14ac:dyDescent="0.25">
      <c r="A159" s="56"/>
      <c r="B159" s="54"/>
      <c r="D159" s="99"/>
      <c r="E159" s="100"/>
      <c r="F159" s="100"/>
      <c r="G159" s="100"/>
      <c r="H159" s="100"/>
      <c r="I159" s="100"/>
      <c r="J159" s="100"/>
      <c r="K159" s="100"/>
      <c r="L159" s="100"/>
      <c r="M159" s="100"/>
      <c r="N159" s="100"/>
      <c r="O159" s="100"/>
      <c r="P159" s="100"/>
      <c r="Q159" s="100"/>
      <c r="R159" s="101"/>
      <c r="T159" s="95"/>
      <c r="U159" s="97"/>
      <c r="V159" s="93"/>
      <c r="W159" s="98"/>
      <c r="X159" s="93"/>
      <c r="Y159" s="98"/>
      <c r="Z159" s="93"/>
      <c r="AA159" s="93"/>
      <c r="AB159" s="93"/>
      <c r="AC159" s="93"/>
      <c r="AD159" s="93"/>
      <c r="AE159" s="93"/>
      <c r="AF159" s="72"/>
      <c r="AG159" s="94"/>
      <c r="AH159" s="93"/>
      <c r="AK159" s="7"/>
      <c r="AL159" s="7"/>
      <c r="AM159" s="41"/>
      <c r="AN159" s="42"/>
      <c r="AO159" s="7"/>
      <c r="AP159" s="7"/>
      <c r="AQ159" s="7"/>
      <c r="AR159" s="7"/>
      <c r="AS159" s="5"/>
      <c r="AT159" s="5"/>
    </row>
    <row r="160" spans="1:46" ht="15.75" x14ac:dyDescent="0.25">
      <c r="A160" s="102"/>
      <c r="B160" s="104"/>
      <c r="C160" s="104"/>
      <c r="D160" s="103"/>
      <c r="E160" s="103"/>
      <c r="F160" s="103"/>
      <c r="G160" s="103"/>
      <c r="H160" s="103"/>
      <c r="I160" s="103"/>
      <c r="J160" s="103"/>
      <c r="K160" s="103"/>
      <c r="L160" s="103"/>
      <c r="M160" s="103"/>
      <c r="N160" s="103"/>
      <c r="O160" s="103"/>
      <c r="P160" s="103"/>
      <c r="Q160" s="103"/>
      <c r="R160" s="103"/>
      <c r="T160" s="72"/>
      <c r="U160" s="72"/>
      <c r="V160" s="72"/>
      <c r="W160" s="72"/>
      <c r="X160" s="72"/>
      <c r="Y160" s="72"/>
      <c r="Z160" s="93"/>
      <c r="AA160" s="93"/>
      <c r="AB160" s="93"/>
      <c r="AC160" s="93"/>
      <c r="AD160" s="93"/>
      <c r="AE160" s="93"/>
      <c r="AF160" s="72"/>
      <c r="AG160" s="94"/>
      <c r="AH160" s="93"/>
    </row>
    <row r="161" spans="1:34" ht="15.75" x14ac:dyDescent="0.25">
      <c r="A161" s="102"/>
      <c r="B161" s="104"/>
      <c r="C161" s="104"/>
      <c r="D161" s="103"/>
      <c r="E161" s="103"/>
      <c r="F161" s="103"/>
      <c r="G161" s="103"/>
      <c r="H161" s="103"/>
      <c r="I161" s="103"/>
      <c r="J161" s="103"/>
      <c r="K161" s="103"/>
      <c r="L161" s="103"/>
      <c r="M161" s="103"/>
      <c r="N161" s="103"/>
      <c r="O161" s="103"/>
      <c r="P161" s="103"/>
      <c r="Q161" s="103"/>
      <c r="R161" s="103"/>
      <c r="T161" s="72"/>
      <c r="U161" s="72"/>
      <c r="V161" s="72"/>
      <c r="W161" s="72"/>
      <c r="X161" s="72"/>
      <c r="Y161" s="72"/>
      <c r="Z161" s="93"/>
      <c r="AA161" s="93"/>
      <c r="AB161" s="93"/>
      <c r="AC161" s="93"/>
      <c r="AD161" s="93"/>
      <c r="AE161" s="93"/>
      <c r="AF161" s="72"/>
      <c r="AG161" s="94"/>
      <c r="AH161" s="93"/>
    </row>
    <row r="162" spans="1:34" ht="15.75" x14ac:dyDescent="0.25">
      <c r="A162" s="102"/>
      <c r="B162" s="104"/>
      <c r="C162" s="104"/>
      <c r="D162" s="103"/>
      <c r="E162" s="103"/>
      <c r="F162" s="103"/>
      <c r="G162" s="103"/>
      <c r="H162" s="103"/>
      <c r="I162" s="103"/>
      <c r="J162" s="103"/>
      <c r="K162" s="103"/>
      <c r="L162" s="103"/>
      <c r="M162" s="103"/>
      <c r="N162" s="103"/>
      <c r="O162" s="103"/>
      <c r="P162" s="103"/>
      <c r="Q162" s="103"/>
      <c r="R162" s="103"/>
      <c r="T162" s="72"/>
      <c r="U162" s="72"/>
      <c r="V162" s="72"/>
      <c r="W162" s="72"/>
      <c r="X162" s="72"/>
      <c r="Y162" s="72"/>
      <c r="Z162" s="93"/>
      <c r="AA162" s="93"/>
      <c r="AB162" s="93"/>
      <c r="AC162" s="93"/>
      <c r="AD162" s="93"/>
      <c r="AE162" s="93"/>
      <c r="AF162" s="72"/>
      <c r="AG162" s="94"/>
      <c r="AH162" s="93"/>
    </row>
    <row r="163" spans="1:34" ht="15.75" x14ac:dyDescent="0.25">
      <c r="A163" s="102"/>
      <c r="B163" s="104"/>
      <c r="C163" s="104"/>
      <c r="D163" s="103"/>
      <c r="E163" s="103"/>
      <c r="F163" s="103"/>
      <c r="G163" s="103"/>
      <c r="H163" s="103"/>
      <c r="I163" s="103"/>
      <c r="J163" s="103"/>
      <c r="K163" s="103"/>
      <c r="L163" s="103"/>
      <c r="M163" s="103"/>
      <c r="N163" s="103"/>
      <c r="O163" s="103"/>
      <c r="P163" s="103"/>
      <c r="Q163" s="103"/>
      <c r="R163" s="103"/>
      <c r="T163" s="72"/>
      <c r="U163" s="72"/>
      <c r="V163" s="72"/>
      <c r="W163" s="72"/>
      <c r="X163" s="72"/>
      <c r="Y163" s="72"/>
      <c r="Z163" s="93"/>
      <c r="AA163" s="93"/>
      <c r="AB163" s="93"/>
      <c r="AC163" s="93"/>
      <c r="AD163" s="93"/>
      <c r="AE163" s="93"/>
      <c r="AF163" s="72"/>
      <c r="AG163" s="94"/>
      <c r="AH163" s="93"/>
    </row>
    <row r="164" spans="1:34" ht="15.75" x14ac:dyDescent="0.25">
      <c r="A164" s="102"/>
      <c r="B164" s="104"/>
      <c r="C164" s="104"/>
      <c r="D164" s="103"/>
      <c r="E164" s="103"/>
      <c r="F164" s="103"/>
      <c r="G164" s="103"/>
      <c r="H164" s="103"/>
      <c r="I164" s="103"/>
      <c r="J164" s="103"/>
      <c r="K164" s="103"/>
      <c r="L164" s="103"/>
      <c r="M164" s="103"/>
      <c r="N164" s="103"/>
      <c r="O164" s="103"/>
      <c r="P164" s="103"/>
      <c r="Q164" s="103"/>
      <c r="R164" s="103"/>
      <c r="T164" s="72"/>
      <c r="U164" s="72"/>
      <c r="V164" s="72"/>
      <c r="W164" s="72"/>
      <c r="X164" s="72"/>
      <c r="Y164" s="72"/>
      <c r="Z164" s="93"/>
      <c r="AA164" s="93"/>
      <c r="AB164" s="93"/>
      <c r="AC164" s="93"/>
      <c r="AD164" s="93"/>
      <c r="AE164" s="93"/>
      <c r="AF164" s="72"/>
      <c r="AG164" s="94"/>
      <c r="AH164" s="93"/>
    </row>
    <row r="165" spans="1:34" ht="15.75" x14ac:dyDescent="0.25">
      <c r="A165" s="102"/>
      <c r="B165" s="104"/>
      <c r="C165" s="104"/>
      <c r="D165" s="103"/>
      <c r="E165" s="103"/>
      <c r="F165" s="103"/>
      <c r="G165" s="103"/>
      <c r="H165" s="103"/>
      <c r="I165" s="103"/>
      <c r="J165" s="103"/>
      <c r="K165" s="103"/>
      <c r="L165" s="103"/>
      <c r="M165" s="103"/>
      <c r="N165" s="103"/>
      <c r="O165" s="103"/>
      <c r="P165" s="103"/>
      <c r="Q165" s="103"/>
      <c r="R165" s="103"/>
      <c r="T165" s="72"/>
      <c r="U165" s="72"/>
      <c r="V165" s="72"/>
      <c r="W165" s="72"/>
      <c r="X165" s="72"/>
      <c r="Y165" s="72"/>
      <c r="Z165" s="93"/>
      <c r="AA165" s="93"/>
      <c r="AB165" s="93"/>
      <c r="AC165" s="93"/>
      <c r="AD165" s="93"/>
      <c r="AE165" s="93"/>
      <c r="AF165" s="72"/>
      <c r="AG165" s="94"/>
      <c r="AH165" s="93"/>
    </row>
    <row r="166" spans="1:34" ht="15.75" x14ac:dyDescent="0.25">
      <c r="A166" s="102"/>
      <c r="B166" s="104"/>
      <c r="C166" s="104"/>
      <c r="D166" s="103"/>
      <c r="E166" s="103"/>
      <c r="F166" s="103"/>
      <c r="G166" s="103"/>
      <c r="H166" s="103"/>
      <c r="I166" s="103"/>
      <c r="J166" s="103"/>
      <c r="K166" s="103"/>
      <c r="L166" s="103"/>
      <c r="M166" s="103"/>
      <c r="N166" s="103"/>
      <c r="O166" s="103"/>
      <c r="P166" s="103"/>
      <c r="Q166" s="103"/>
      <c r="R166" s="103"/>
      <c r="T166" s="72"/>
      <c r="U166" s="72"/>
      <c r="V166" s="72"/>
      <c r="W166" s="72"/>
      <c r="X166" s="72"/>
      <c r="Y166" s="72"/>
      <c r="Z166" s="93"/>
      <c r="AA166" s="93"/>
      <c r="AB166" s="93"/>
      <c r="AC166" s="93"/>
      <c r="AD166" s="93"/>
      <c r="AE166" s="93"/>
      <c r="AF166" s="72"/>
      <c r="AG166" s="94"/>
      <c r="AH166" s="93"/>
    </row>
    <row r="167" spans="1:34" ht="15.75" x14ac:dyDescent="0.25">
      <c r="A167" s="102"/>
      <c r="B167" s="104"/>
      <c r="C167" s="104"/>
      <c r="D167" s="103"/>
      <c r="E167" s="103"/>
      <c r="F167" s="103"/>
      <c r="G167" s="103"/>
      <c r="H167" s="103"/>
      <c r="I167" s="103"/>
      <c r="J167" s="103"/>
      <c r="K167" s="103"/>
      <c r="L167" s="103"/>
      <c r="M167" s="103"/>
      <c r="N167" s="103"/>
      <c r="O167" s="103"/>
      <c r="P167" s="103"/>
      <c r="Q167" s="103"/>
      <c r="R167" s="103"/>
      <c r="T167" s="72"/>
      <c r="U167" s="72"/>
      <c r="V167" s="72"/>
      <c r="W167" s="72"/>
      <c r="X167" s="72"/>
      <c r="Y167" s="72"/>
      <c r="Z167" s="93"/>
      <c r="AA167" s="93"/>
      <c r="AB167" s="93"/>
      <c r="AC167" s="93"/>
      <c r="AD167" s="93"/>
      <c r="AE167" s="93"/>
      <c r="AF167" s="72"/>
      <c r="AG167" s="94"/>
      <c r="AH167" s="93"/>
    </row>
    <row r="168" spans="1:34" ht="15.75" x14ac:dyDescent="0.25">
      <c r="A168" s="102"/>
      <c r="B168" s="104"/>
      <c r="C168" s="104"/>
      <c r="D168" s="103"/>
      <c r="E168" s="103"/>
      <c r="F168" s="103"/>
      <c r="G168" s="103"/>
      <c r="H168" s="103"/>
      <c r="I168" s="103"/>
      <c r="J168" s="103"/>
      <c r="K168" s="103"/>
      <c r="L168" s="103"/>
      <c r="M168" s="103"/>
      <c r="N168" s="103"/>
      <c r="O168" s="103"/>
      <c r="P168" s="103"/>
      <c r="Q168" s="103"/>
      <c r="R168" s="103"/>
      <c r="T168" s="72"/>
      <c r="U168" s="72"/>
      <c r="V168" s="72"/>
      <c r="W168" s="72"/>
      <c r="X168" s="72"/>
      <c r="Y168" s="72"/>
      <c r="Z168" s="93"/>
      <c r="AA168" s="93"/>
      <c r="AB168" s="93"/>
      <c r="AC168" s="93"/>
      <c r="AD168" s="93"/>
      <c r="AE168" s="93"/>
      <c r="AF168" s="72"/>
      <c r="AG168" s="94"/>
      <c r="AH168" s="93"/>
    </row>
    <row r="169" spans="1:34" ht="15.75" x14ac:dyDescent="0.25">
      <c r="A169" s="102"/>
      <c r="B169" s="104"/>
      <c r="C169" s="104"/>
      <c r="D169" s="103"/>
      <c r="E169" s="103"/>
      <c r="F169" s="103"/>
      <c r="G169" s="103"/>
      <c r="H169" s="103"/>
      <c r="I169" s="103"/>
      <c r="J169" s="103"/>
      <c r="K169" s="103"/>
      <c r="L169" s="103"/>
      <c r="M169" s="103"/>
      <c r="N169" s="103"/>
      <c r="O169" s="103"/>
      <c r="P169" s="103"/>
      <c r="Q169" s="103"/>
      <c r="R169" s="103"/>
      <c r="T169" s="72"/>
      <c r="U169" s="72"/>
      <c r="V169" s="72"/>
      <c r="W169" s="72"/>
      <c r="X169" s="72"/>
      <c r="Y169" s="72"/>
      <c r="Z169" s="93"/>
      <c r="AA169" s="93"/>
      <c r="AB169" s="93"/>
      <c r="AC169" s="93"/>
      <c r="AD169" s="93"/>
      <c r="AE169" s="93"/>
      <c r="AF169" s="72"/>
      <c r="AG169" s="94"/>
      <c r="AH169" s="93"/>
    </row>
    <row r="170" spans="1:34" ht="15.75" x14ac:dyDescent="0.25">
      <c r="A170" s="102"/>
      <c r="B170" s="104"/>
      <c r="C170" s="104"/>
      <c r="D170" s="103"/>
      <c r="E170" s="103"/>
      <c r="F170" s="103"/>
      <c r="G170" s="103"/>
      <c r="H170" s="103"/>
      <c r="I170" s="103"/>
      <c r="J170" s="103"/>
      <c r="K170" s="103"/>
      <c r="L170" s="103"/>
      <c r="M170" s="103"/>
      <c r="N170" s="103"/>
      <c r="O170" s="103"/>
      <c r="P170" s="103"/>
      <c r="Q170" s="103"/>
      <c r="R170" s="103"/>
      <c r="T170" s="72"/>
      <c r="U170" s="72"/>
      <c r="V170" s="72"/>
      <c r="W170" s="72"/>
      <c r="X170" s="72"/>
      <c r="Y170" s="72"/>
      <c r="Z170" s="93"/>
      <c r="AA170" s="93"/>
      <c r="AB170" s="93"/>
      <c r="AC170" s="93"/>
      <c r="AD170" s="93"/>
      <c r="AE170" s="93"/>
      <c r="AF170" s="72"/>
      <c r="AG170" s="94"/>
      <c r="AH170" s="93"/>
    </row>
    <row r="171" spans="1:34" ht="15.75" x14ac:dyDescent="0.25">
      <c r="A171" s="102"/>
      <c r="B171" s="104"/>
      <c r="C171" s="104"/>
      <c r="D171" s="103"/>
      <c r="E171" s="103"/>
      <c r="F171" s="103"/>
      <c r="G171" s="103"/>
      <c r="H171" s="103"/>
      <c r="I171" s="103"/>
      <c r="J171" s="103"/>
      <c r="K171" s="103"/>
      <c r="L171" s="103"/>
      <c r="M171" s="103"/>
      <c r="N171" s="103"/>
      <c r="O171" s="103"/>
      <c r="P171" s="103"/>
      <c r="Q171" s="103"/>
      <c r="R171" s="103"/>
      <c r="T171" s="72"/>
      <c r="U171" s="72"/>
      <c r="V171" s="72"/>
      <c r="W171" s="72"/>
      <c r="X171" s="72"/>
      <c r="Y171" s="72"/>
      <c r="Z171" s="93"/>
      <c r="AA171" s="93"/>
      <c r="AB171" s="93"/>
      <c r="AC171" s="93"/>
      <c r="AD171" s="93"/>
      <c r="AE171" s="93"/>
      <c r="AF171" s="72"/>
      <c r="AG171" s="94"/>
      <c r="AH171" s="93"/>
    </row>
    <row r="172" spans="1:34" ht="15.75" x14ac:dyDescent="0.25">
      <c r="A172" s="102"/>
      <c r="B172" s="104"/>
      <c r="C172" s="104"/>
      <c r="D172" s="103"/>
      <c r="E172" s="103"/>
      <c r="F172" s="103"/>
      <c r="G172" s="103"/>
      <c r="H172" s="103"/>
      <c r="I172" s="103"/>
      <c r="J172" s="103"/>
      <c r="K172" s="103"/>
      <c r="L172" s="103"/>
      <c r="M172" s="103"/>
      <c r="N172" s="103"/>
      <c r="O172" s="103"/>
      <c r="P172" s="103"/>
      <c r="Q172" s="103"/>
      <c r="R172" s="103"/>
      <c r="T172" s="72"/>
      <c r="U172" s="72"/>
      <c r="V172" s="72"/>
      <c r="W172" s="72"/>
      <c r="X172" s="72"/>
      <c r="Y172" s="72"/>
      <c r="Z172" s="93"/>
      <c r="AA172" s="93"/>
      <c r="AB172" s="93"/>
      <c r="AC172" s="93"/>
      <c r="AD172" s="93"/>
      <c r="AE172" s="93"/>
      <c r="AF172" s="72"/>
      <c r="AG172" s="94"/>
      <c r="AH172" s="93"/>
    </row>
    <row r="173" spans="1:34" ht="15.75" x14ac:dyDescent="0.25">
      <c r="A173" s="102"/>
      <c r="B173" s="104"/>
      <c r="C173" s="104"/>
      <c r="D173" s="103"/>
      <c r="E173" s="103"/>
      <c r="F173" s="103"/>
      <c r="G173" s="103"/>
      <c r="H173" s="103"/>
      <c r="I173" s="103"/>
      <c r="J173" s="103"/>
      <c r="K173" s="103"/>
      <c r="L173" s="103"/>
      <c r="M173" s="103"/>
      <c r="N173" s="103"/>
      <c r="O173" s="103"/>
      <c r="P173" s="103"/>
      <c r="Q173" s="103"/>
      <c r="R173" s="103"/>
      <c r="T173" s="72"/>
      <c r="U173" s="72"/>
      <c r="V173" s="72"/>
      <c r="W173" s="72"/>
      <c r="X173" s="72"/>
      <c r="Y173" s="72"/>
      <c r="Z173" s="93"/>
      <c r="AA173" s="93"/>
      <c r="AB173" s="93"/>
      <c r="AC173" s="93"/>
      <c r="AD173" s="93"/>
      <c r="AE173" s="93"/>
      <c r="AF173" s="72"/>
      <c r="AG173" s="94"/>
      <c r="AH173" s="93"/>
    </row>
    <row r="174" spans="1:34" ht="15.75" x14ac:dyDescent="0.25">
      <c r="A174" s="102"/>
      <c r="B174" s="104"/>
      <c r="C174" s="104"/>
      <c r="D174" s="103"/>
      <c r="E174" s="103"/>
      <c r="F174" s="103"/>
      <c r="G174" s="103"/>
      <c r="H174" s="103"/>
      <c r="I174" s="103"/>
      <c r="J174" s="103"/>
      <c r="K174" s="103"/>
      <c r="L174" s="103"/>
      <c r="M174" s="103"/>
      <c r="N174" s="103"/>
      <c r="O174" s="103"/>
      <c r="P174" s="103"/>
      <c r="Q174" s="103"/>
      <c r="R174" s="103"/>
      <c r="T174" s="72"/>
      <c r="U174" s="72"/>
      <c r="V174" s="72"/>
      <c r="W174" s="72"/>
      <c r="X174" s="72"/>
      <c r="Y174" s="72"/>
      <c r="Z174" s="93"/>
      <c r="AA174" s="93"/>
      <c r="AB174" s="93"/>
      <c r="AC174" s="93"/>
      <c r="AD174" s="93"/>
      <c r="AE174" s="93"/>
      <c r="AF174" s="72"/>
      <c r="AG174" s="94"/>
      <c r="AH174" s="93"/>
    </row>
    <row r="175" spans="1:34" ht="15.75" x14ac:dyDescent="0.25">
      <c r="A175" s="102"/>
      <c r="B175" s="104"/>
      <c r="C175" s="104"/>
      <c r="D175" s="103"/>
      <c r="E175" s="103"/>
      <c r="F175" s="103"/>
      <c r="G175" s="103"/>
      <c r="H175" s="103"/>
      <c r="I175" s="103"/>
      <c r="J175" s="103"/>
      <c r="K175" s="103"/>
      <c r="L175" s="103"/>
      <c r="M175" s="103"/>
      <c r="N175" s="103"/>
      <c r="O175" s="103"/>
      <c r="P175" s="103"/>
      <c r="Q175" s="103"/>
      <c r="R175" s="103"/>
      <c r="T175" s="72"/>
      <c r="U175" s="72"/>
      <c r="V175" s="72"/>
      <c r="W175" s="72"/>
      <c r="X175" s="72"/>
      <c r="Y175" s="72"/>
      <c r="Z175" s="93"/>
      <c r="AA175" s="93"/>
      <c r="AB175" s="93"/>
      <c r="AC175" s="93"/>
      <c r="AD175" s="93"/>
      <c r="AE175" s="93"/>
      <c r="AF175" s="72"/>
      <c r="AG175" s="94"/>
      <c r="AH175" s="93"/>
    </row>
    <row r="176" spans="1:34" ht="15.75" x14ac:dyDescent="0.25">
      <c r="A176" s="102"/>
      <c r="B176" s="104"/>
      <c r="C176" s="104"/>
      <c r="D176" s="103"/>
      <c r="E176" s="103"/>
      <c r="F176" s="103"/>
      <c r="G176" s="103"/>
      <c r="H176" s="103"/>
      <c r="I176" s="103"/>
      <c r="J176" s="103"/>
      <c r="K176" s="103"/>
      <c r="L176" s="103"/>
      <c r="M176" s="103"/>
      <c r="N176" s="103"/>
      <c r="O176" s="103"/>
      <c r="P176" s="103"/>
      <c r="Q176" s="103"/>
      <c r="R176" s="103"/>
      <c r="T176" s="72"/>
      <c r="U176" s="72"/>
      <c r="V176" s="72"/>
      <c r="W176" s="72"/>
      <c r="X176" s="72"/>
      <c r="Y176" s="72"/>
      <c r="Z176" s="93"/>
      <c r="AA176" s="93"/>
      <c r="AB176" s="93"/>
      <c r="AC176" s="93"/>
      <c r="AD176" s="93"/>
      <c r="AE176" s="93"/>
      <c r="AF176" s="72"/>
      <c r="AG176" s="94"/>
      <c r="AH176" s="93"/>
    </row>
    <row r="177" spans="1:34" ht="15.75" x14ac:dyDescent="0.25">
      <c r="A177" s="102"/>
      <c r="B177" s="104"/>
      <c r="C177" s="104"/>
      <c r="D177" s="103"/>
      <c r="E177" s="103"/>
      <c r="F177" s="103"/>
      <c r="G177" s="103"/>
      <c r="H177" s="103"/>
      <c r="I177" s="103"/>
      <c r="J177" s="103"/>
      <c r="K177" s="103"/>
      <c r="L177" s="103"/>
      <c r="M177" s="103"/>
      <c r="N177" s="103"/>
      <c r="O177" s="103"/>
      <c r="P177" s="103"/>
      <c r="Q177" s="103"/>
      <c r="R177" s="103"/>
      <c r="T177" s="72"/>
      <c r="U177" s="72"/>
      <c r="V177" s="72"/>
      <c r="W177" s="72"/>
      <c r="X177" s="72"/>
      <c r="Y177" s="72"/>
      <c r="Z177" s="93"/>
      <c r="AA177" s="93"/>
      <c r="AB177" s="93"/>
      <c r="AC177" s="93"/>
      <c r="AD177" s="93"/>
      <c r="AE177" s="93"/>
      <c r="AF177" s="72"/>
      <c r="AG177" s="94"/>
      <c r="AH177" s="93"/>
    </row>
    <row r="178" spans="1:34" ht="15.75" x14ac:dyDescent="0.25">
      <c r="A178" s="102"/>
      <c r="B178" s="104"/>
      <c r="C178" s="104"/>
      <c r="D178" s="103"/>
      <c r="E178" s="103"/>
      <c r="F178" s="103"/>
      <c r="G178" s="103"/>
      <c r="H178" s="103"/>
      <c r="I178" s="103"/>
      <c r="J178" s="103"/>
      <c r="K178" s="103"/>
      <c r="L178" s="103"/>
      <c r="M178" s="103"/>
      <c r="N178" s="103"/>
      <c r="O178" s="103"/>
      <c r="P178" s="103"/>
      <c r="Q178" s="103"/>
      <c r="R178" s="103"/>
      <c r="T178" s="72"/>
      <c r="U178" s="72"/>
      <c r="V178" s="72"/>
      <c r="W178" s="72"/>
      <c r="X178" s="72"/>
      <c r="Y178" s="72"/>
      <c r="Z178" s="93"/>
      <c r="AA178" s="93"/>
      <c r="AB178" s="93"/>
      <c r="AC178" s="93"/>
      <c r="AD178" s="93"/>
      <c r="AE178" s="93"/>
      <c r="AF178" s="72"/>
      <c r="AG178" s="94"/>
      <c r="AH178" s="93"/>
    </row>
    <row r="179" spans="1:34" ht="15.75" x14ac:dyDescent="0.25">
      <c r="A179" s="102"/>
      <c r="B179" s="104"/>
      <c r="C179" s="104"/>
      <c r="D179" s="103"/>
      <c r="E179" s="103"/>
      <c r="F179" s="103"/>
      <c r="G179" s="103"/>
      <c r="H179" s="103"/>
      <c r="I179" s="103"/>
      <c r="J179" s="103"/>
      <c r="K179" s="103"/>
      <c r="L179" s="103"/>
      <c r="M179" s="103"/>
      <c r="N179" s="103"/>
      <c r="O179" s="103"/>
      <c r="P179" s="103"/>
      <c r="Q179" s="103"/>
      <c r="R179" s="103"/>
      <c r="T179" s="72"/>
      <c r="U179" s="72"/>
      <c r="V179" s="72"/>
      <c r="W179" s="72"/>
      <c r="X179" s="72"/>
      <c r="Y179" s="72"/>
      <c r="Z179" s="93"/>
      <c r="AA179" s="93"/>
      <c r="AB179" s="93"/>
      <c r="AC179" s="93"/>
      <c r="AD179" s="93"/>
      <c r="AE179" s="93"/>
      <c r="AF179" s="72"/>
      <c r="AG179" s="94"/>
      <c r="AH179" s="93"/>
    </row>
    <row r="180" spans="1:34" ht="15.75" x14ac:dyDescent="0.25">
      <c r="A180" s="102"/>
      <c r="B180" s="104"/>
      <c r="C180" s="104"/>
      <c r="D180" s="103"/>
      <c r="E180" s="103"/>
      <c r="F180" s="103"/>
      <c r="G180" s="103"/>
      <c r="H180" s="103"/>
      <c r="I180" s="103"/>
      <c r="J180" s="103"/>
      <c r="K180" s="103"/>
      <c r="L180" s="103"/>
      <c r="M180" s="103"/>
      <c r="N180" s="103"/>
      <c r="O180" s="103"/>
      <c r="P180" s="103"/>
      <c r="Q180" s="103"/>
      <c r="R180" s="103"/>
      <c r="T180" s="72"/>
      <c r="U180" s="72"/>
      <c r="V180" s="72"/>
      <c r="W180" s="72"/>
      <c r="X180" s="72"/>
      <c r="Y180" s="72"/>
      <c r="Z180" s="93"/>
      <c r="AA180" s="93"/>
      <c r="AB180" s="93"/>
      <c r="AC180" s="93"/>
      <c r="AD180" s="93"/>
      <c r="AE180" s="93"/>
      <c r="AF180" s="72"/>
      <c r="AG180" s="94"/>
      <c r="AH180" s="93"/>
    </row>
    <row r="181" spans="1:34" ht="15.75" x14ac:dyDescent="0.25">
      <c r="A181" s="102"/>
      <c r="B181" s="104"/>
      <c r="C181" s="104"/>
      <c r="D181" s="103"/>
      <c r="E181" s="103"/>
      <c r="F181" s="103"/>
      <c r="G181" s="103"/>
      <c r="H181" s="103"/>
      <c r="I181" s="103"/>
      <c r="J181" s="103"/>
      <c r="K181" s="103"/>
      <c r="L181" s="103"/>
      <c r="M181" s="103"/>
      <c r="N181" s="103"/>
      <c r="O181" s="103"/>
      <c r="P181" s="103"/>
      <c r="Q181" s="103"/>
      <c r="R181" s="103"/>
      <c r="T181" s="72"/>
      <c r="U181" s="72"/>
      <c r="V181" s="72"/>
      <c r="W181" s="72"/>
      <c r="X181" s="72"/>
      <c r="Y181" s="72"/>
      <c r="Z181" s="93"/>
      <c r="AA181" s="93"/>
      <c r="AB181" s="93"/>
      <c r="AC181" s="93"/>
      <c r="AD181" s="93"/>
      <c r="AE181" s="93"/>
      <c r="AF181" s="72"/>
      <c r="AG181" s="94"/>
      <c r="AH181" s="93"/>
    </row>
    <row r="182" spans="1:34" ht="15.75" x14ac:dyDescent="0.25">
      <c r="A182" s="102"/>
      <c r="B182" s="104"/>
      <c r="C182" s="104"/>
      <c r="D182" s="103"/>
      <c r="E182" s="103"/>
      <c r="F182" s="103"/>
      <c r="G182" s="103"/>
      <c r="H182" s="103"/>
      <c r="I182" s="103"/>
      <c r="J182" s="103"/>
      <c r="K182" s="103"/>
      <c r="L182" s="103"/>
      <c r="M182" s="103"/>
      <c r="N182" s="103"/>
      <c r="O182" s="103"/>
      <c r="P182" s="103"/>
      <c r="Q182" s="103"/>
      <c r="R182" s="103"/>
      <c r="T182" s="72"/>
      <c r="U182" s="72"/>
      <c r="V182" s="72"/>
      <c r="W182" s="72"/>
      <c r="X182" s="72"/>
      <c r="Y182" s="72"/>
      <c r="Z182" s="93"/>
      <c r="AA182" s="93"/>
      <c r="AB182" s="93"/>
      <c r="AC182" s="93"/>
      <c r="AD182" s="93"/>
      <c r="AE182" s="93"/>
      <c r="AF182" s="72"/>
      <c r="AG182" s="94"/>
      <c r="AH182" s="93"/>
    </row>
    <row r="183" spans="1:34" ht="15.75" x14ac:dyDescent="0.25">
      <c r="A183" s="102"/>
      <c r="B183" s="104"/>
      <c r="C183" s="104"/>
      <c r="D183" s="103"/>
      <c r="E183" s="103"/>
      <c r="F183" s="103"/>
      <c r="G183" s="103"/>
      <c r="H183" s="103"/>
      <c r="I183" s="103"/>
      <c r="J183" s="103"/>
      <c r="K183" s="103"/>
      <c r="L183" s="103"/>
      <c r="M183" s="103"/>
      <c r="N183" s="103"/>
      <c r="O183" s="103"/>
      <c r="P183" s="103"/>
      <c r="Q183" s="103"/>
      <c r="R183" s="103"/>
      <c r="T183" s="72"/>
      <c r="U183" s="72"/>
      <c r="V183" s="72"/>
      <c r="W183" s="72"/>
      <c r="X183" s="72"/>
      <c r="Y183" s="72"/>
      <c r="Z183" s="93"/>
      <c r="AA183" s="93"/>
      <c r="AB183" s="93"/>
      <c r="AC183" s="93"/>
      <c r="AD183" s="93"/>
      <c r="AE183" s="93"/>
      <c r="AF183" s="72"/>
      <c r="AG183" s="94"/>
      <c r="AH183" s="93"/>
    </row>
    <row r="184" spans="1:34" ht="15.75" x14ac:dyDescent="0.25">
      <c r="A184" s="102"/>
      <c r="B184" s="104"/>
      <c r="C184" s="104"/>
      <c r="D184" s="103"/>
      <c r="E184" s="103"/>
      <c r="F184" s="103"/>
      <c r="G184" s="103"/>
      <c r="H184" s="103"/>
      <c r="I184" s="103"/>
      <c r="J184" s="103"/>
      <c r="K184" s="103"/>
      <c r="L184" s="103"/>
      <c r="M184" s="103"/>
      <c r="N184" s="103"/>
      <c r="O184" s="103"/>
      <c r="P184" s="103"/>
      <c r="Q184" s="103"/>
      <c r="R184" s="103"/>
      <c r="T184" s="72"/>
      <c r="U184" s="72"/>
      <c r="V184" s="72"/>
      <c r="W184" s="72"/>
      <c r="X184" s="72"/>
      <c r="Y184" s="72"/>
      <c r="Z184" s="93"/>
      <c r="AA184" s="93"/>
      <c r="AB184" s="93"/>
      <c r="AC184" s="93"/>
      <c r="AD184" s="93"/>
      <c r="AE184" s="93"/>
      <c r="AF184" s="72"/>
      <c r="AG184" s="94"/>
      <c r="AH184" s="93"/>
    </row>
    <row r="185" spans="1:34" ht="15.75" x14ac:dyDescent="0.25">
      <c r="A185" s="102"/>
      <c r="B185" s="104"/>
      <c r="C185" s="104"/>
      <c r="D185" s="103"/>
      <c r="E185" s="103"/>
      <c r="F185" s="103"/>
      <c r="G185" s="103"/>
      <c r="H185" s="103"/>
      <c r="I185" s="103"/>
      <c r="J185" s="103"/>
      <c r="K185" s="103"/>
      <c r="L185" s="103"/>
      <c r="M185" s="103"/>
      <c r="N185" s="103"/>
      <c r="O185" s="103"/>
      <c r="P185" s="103"/>
      <c r="Q185" s="103"/>
      <c r="R185" s="103"/>
      <c r="T185" s="72"/>
      <c r="U185" s="72"/>
      <c r="V185" s="72"/>
      <c r="W185" s="72"/>
      <c r="X185" s="72"/>
      <c r="Y185" s="72"/>
      <c r="Z185" s="93"/>
      <c r="AA185" s="93"/>
      <c r="AB185" s="93"/>
      <c r="AC185" s="93"/>
      <c r="AD185" s="93"/>
      <c r="AE185" s="93"/>
      <c r="AF185" s="72"/>
      <c r="AG185" s="94"/>
      <c r="AH185" s="93"/>
    </row>
    <row r="186" spans="1:34" ht="15.75" x14ac:dyDescent="0.25">
      <c r="A186" s="102"/>
      <c r="B186" s="104"/>
      <c r="C186" s="104"/>
      <c r="D186" s="103"/>
      <c r="E186" s="103"/>
      <c r="F186" s="103"/>
      <c r="G186" s="103"/>
      <c r="H186" s="103"/>
      <c r="I186" s="103"/>
      <c r="J186" s="103"/>
      <c r="K186" s="103"/>
      <c r="L186" s="103"/>
      <c r="M186" s="103"/>
      <c r="N186" s="103"/>
      <c r="O186" s="103"/>
      <c r="P186" s="103"/>
      <c r="Q186" s="103"/>
      <c r="R186" s="103"/>
      <c r="T186" s="72"/>
      <c r="U186" s="72"/>
      <c r="V186" s="72"/>
      <c r="W186" s="72"/>
      <c r="X186" s="72"/>
      <c r="Y186" s="72"/>
      <c r="Z186" s="93"/>
      <c r="AA186" s="93"/>
      <c r="AB186" s="93"/>
      <c r="AC186" s="93"/>
      <c r="AD186" s="93"/>
      <c r="AE186" s="93"/>
      <c r="AF186" s="72"/>
      <c r="AG186" s="94"/>
      <c r="AH186" s="93"/>
    </row>
    <row r="187" spans="1:34" ht="15.75" x14ac:dyDescent="0.25">
      <c r="A187" s="102"/>
      <c r="B187" s="104"/>
      <c r="C187" s="104"/>
      <c r="D187" s="103"/>
      <c r="E187" s="103"/>
      <c r="F187" s="103"/>
      <c r="G187" s="103"/>
      <c r="H187" s="103"/>
      <c r="I187" s="103"/>
      <c r="J187" s="103"/>
      <c r="K187" s="103"/>
      <c r="L187" s="103"/>
      <c r="M187" s="103"/>
      <c r="N187" s="103"/>
      <c r="O187" s="103"/>
      <c r="P187" s="103"/>
      <c r="Q187" s="103"/>
      <c r="R187" s="103"/>
      <c r="T187" s="72"/>
      <c r="U187" s="72"/>
      <c r="V187" s="72"/>
      <c r="W187" s="72"/>
      <c r="X187" s="72"/>
      <c r="Y187" s="72"/>
      <c r="Z187" s="93"/>
      <c r="AA187" s="93"/>
      <c r="AB187" s="93"/>
      <c r="AC187" s="93"/>
      <c r="AD187" s="93"/>
      <c r="AE187" s="93"/>
      <c r="AF187" s="72"/>
      <c r="AG187" s="94"/>
      <c r="AH187" s="93"/>
    </row>
    <row r="188" spans="1:34" ht="15.75" x14ac:dyDescent="0.25">
      <c r="A188" s="102"/>
      <c r="B188" s="104"/>
      <c r="C188" s="104"/>
      <c r="D188" s="103"/>
      <c r="E188" s="103"/>
      <c r="F188" s="103"/>
      <c r="G188" s="103"/>
      <c r="H188" s="103"/>
      <c r="I188" s="103"/>
      <c r="J188" s="103"/>
      <c r="K188" s="103"/>
      <c r="L188" s="103"/>
      <c r="M188" s="103"/>
      <c r="N188" s="103"/>
      <c r="O188" s="103"/>
      <c r="P188" s="103"/>
      <c r="Q188" s="103"/>
      <c r="R188" s="103"/>
      <c r="T188" s="72"/>
      <c r="U188" s="72"/>
      <c r="V188" s="72"/>
      <c r="W188" s="72"/>
      <c r="X188" s="72"/>
      <c r="Y188" s="72"/>
      <c r="Z188" s="93"/>
      <c r="AA188" s="93"/>
      <c r="AB188" s="93"/>
      <c r="AC188" s="93"/>
      <c r="AD188" s="93"/>
      <c r="AE188" s="93"/>
      <c r="AF188" s="72"/>
      <c r="AG188" s="94"/>
      <c r="AH188" s="93"/>
    </row>
    <row r="189" spans="1:34" ht="15.75" x14ac:dyDescent="0.25">
      <c r="A189" s="102"/>
      <c r="B189" s="104"/>
      <c r="C189" s="104"/>
      <c r="D189" s="103"/>
      <c r="E189" s="103"/>
      <c r="F189" s="103"/>
      <c r="G189" s="103"/>
      <c r="H189" s="103"/>
      <c r="I189" s="103"/>
      <c r="J189" s="103"/>
      <c r="K189" s="103"/>
      <c r="L189" s="103"/>
      <c r="M189" s="103"/>
      <c r="N189" s="103"/>
      <c r="O189" s="103"/>
      <c r="P189" s="103"/>
      <c r="Q189" s="103"/>
      <c r="R189" s="103"/>
      <c r="T189" s="72"/>
      <c r="U189" s="72"/>
      <c r="V189" s="72"/>
      <c r="W189" s="72"/>
      <c r="X189" s="72"/>
      <c r="Y189" s="72"/>
      <c r="Z189" s="93"/>
      <c r="AA189" s="93"/>
      <c r="AB189" s="93"/>
      <c r="AC189" s="93"/>
      <c r="AD189" s="93"/>
      <c r="AE189" s="93"/>
      <c r="AF189" s="72"/>
      <c r="AG189" s="94"/>
      <c r="AH189" s="93"/>
    </row>
    <row r="190" spans="1:34" ht="15.75" x14ac:dyDescent="0.25">
      <c r="A190" s="102"/>
      <c r="B190" s="104"/>
      <c r="C190" s="104"/>
      <c r="D190" s="103"/>
      <c r="E190" s="103"/>
      <c r="F190" s="103"/>
      <c r="G190" s="103"/>
      <c r="H190" s="103"/>
      <c r="I190" s="103"/>
      <c r="J190" s="103"/>
      <c r="K190" s="103"/>
      <c r="L190" s="103"/>
      <c r="M190" s="103"/>
      <c r="N190" s="103"/>
      <c r="O190" s="103"/>
      <c r="P190" s="103"/>
      <c r="Q190" s="103"/>
      <c r="R190" s="103"/>
      <c r="T190" s="72"/>
      <c r="U190" s="72"/>
      <c r="V190" s="72"/>
      <c r="W190" s="72"/>
      <c r="X190" s="72"/>
      <c r="Y190" s="72"/>
      <c r="Z190" s="93"/>
      <c r="AA190" s="93"/>
      <c r="AB190" s="93"/>
      <c r="AC190" s="93"/>
      <c r="AD190" s="93"/>
      <c r="AE190" s="93"/>
      <c r="AF190" s="72"/>
      <c r="AG190" s="94"/>
      <c r="AH190" s="93"/>
    </row>
    <row r="191" spans="1:34" ht="15.75" x14ac:dyDescent="0.25">
      <c r="A191" s="102"/>
      <c r="B191" s="104"/>
      <c r="C191" s="104"/>
      <c r="D191" s="103"/>
      <c r="E191" s="103"/>
      <c r="F191" s="103"/>
      <c r="G191" s="103"/>
      <c r="H191" s="103"/>
      <c r="I191" s="103"/>
      <c r="J191" s="103"/>
      <c r="K191" s="103"/>
      <c r="L191" s="103"/>
      <c r="M191" s="103"/>
      <c r="N191" s="103"/>
      <c r="O191" s="103"/>
      <c r="P191" s="103"/>
      <c r="Q191" s="103"/>
      <c r="R191" s="103"/>
      <c r="T191" s="72"/>
      <c r="U191" s="72"/>
      <c r="V191" s="72"/>
      <c r="W191" s="72"/>
      <c r="X191" s="72"/>
      <c r="Y191" s="72"/>
      <c r="Z191" s="93"/>
      <c r="AA191" s="93"/>
      <c r="AB191" s="93"/>
      <c r="AC191" s="93"/>
      <c r="AD191" s="93"/>
      <c r="AE191" s="93"/>
      <c r="AF191" s="72"/>
      <c r="AG191" s="94"/>
      <c r="AH191" s="93"/>
    </row>
    <row r="192" spans="1:34" ht="15.75" x14ac:dyDescent="0.25">
      <c r="A192" s="102"/>
      <c r="B192" s="104"/>
      <c r="C192" s="104"/>
      <c r="D192" s="103"/>
      <c r="E192" s="103"/>
      <c r="F192" s="103"/>
      <c r="G192" s="103"/>
      <c r="H192" s="103"/>
      <c r="I192" s="103"/>
      <c r="J192" s="103"/>
      <c r="K192" s="103"/>
      <c r="L192" s="103"/>
      <c r="M192" s="103"/>
      <c r="N192" s="103"/>
      <c r="O192" s="103"/>
      <c r="P192" s="103"/>
      <c r="Q192" s="103"/>
      <c r="R192" s="103"/>
      <c r="T192" s="72"/>
      <c r="U192" s="72"/>
      <c r="V192" s="72"/>
      <c r="W192" s="72"/>
      <c r="X192" s="72"/>
      <c r="Y192" s="72"/>
      <c r="Z192" s="93"/>
      <c r="AA192" s="93"/>
      <c r="AB192" s="93"/>
      <c r="AC192" s="93"/>
      <c r="AD192" s="93"/>
      <c r="AE192" s="93"/>
      <c r="AF192" s="72"/>
      <c r="AG192" s="94"/>
      <c r="AH192" s="93"/>
    </row>
    <row r="193" spans="1:34" ht="15.75" x14ac:dyDescent="0.25">
      <c r="A193" s="102"/>
      <c r="B193" s="104"/>
      <c r="C193" s="104"/>
      <c r="D193" s="103"/>
      <c r="E193" s="103"/>
      <c r="F193" s="103"/>
      <c r="G193" s="103"/>
      <c r="H193" s="103"/>
      <c r="I193" s="103"/>
      <c r="J193" s="103"/>
      <c r="K193" s="103"/>
      <c r="L193" s="103"/>
      <c r="M193" s="103"/>
      <c r="N193" s="103"/>
      <c r="O193" s="103"/>
      <c r="P193" s="103"/>
      <c r="Q193" s="103"/>
      <c r="R193" s="103"/>
      <c r="T193" s="72"/>
      <c r="U193" s="72"/>
      <c r="V193" s="72"/>
      <c r="W193" s="72"/>
      <c r="X193" s="72"/>
      <c r="Y193" s="72"/>
      <c r="Z193" s="93"/>
      <c r="AA193" s="93"/>
      <c r="AB193" s="93"/>
      <c r="AC193" s="93"/>
      <c r="AD193" s="93"/>
      <c r="AE193" s="93"/>
      <c r="AF193" s="72"/>
      <c r="AG193" s="94"/>
      <c r="AH193" s="93"/>
    </row>
    <row r="194" spans="1:34" ht="15.75" x14ac:dyDescent="0.25">
      <c r="A194" s="102"/>
      <c r="B194" s="104"/>
      <c r="C194" s="104"/>
      <c r="D194" s="103"/>
      <c r="E194" s="103"/>
      <c r="F194" s="103"/>
      <c r="G194" s="103"/>
      <c r="H194" s="103"/>
      <c r="I194" s="103"/>
      <c r="J194" s="103"/>
      <c r="K194" s="103"/>
      <c r="L194" s="103"/>
      <c r="M194" s="103"/>
      <c r="N194" s="103"/>
      <c r="O194" s="103"/>
      <c r="P194" s="103"/>
      <c r="Q194" s="103"/>
      <c r="R194" s="103"/>
      <c r="T194" s="72"/>
      <c r="U194" s="72"/>
      <c r="V194" s="72"/>
      <c r="W194" s="72"/>
      <c r="X194" s="72"/>
      <c r="Y194" s="72"/>
      <c r="Z194" s="93"/>
      <c r="AA194" s="93"/>
      <c r="AB194" s="93"/>
      <c r="AC194" s="93"/>
      <c r="AD194" s="93"/>
      <c r="AE194" s="93"/>
      <c r="AF194" s="72"/>
      <c r="AG194" s="94"/>
      <c r="AH194" s="93"/>
    </row>
    <row r="195" spans="1:34" ht="15.75" x14ac:dyDescent="0.25">
      <c r="A195" s="102"/>
      <c r="B195" s="104"/>
      <c r="C195" s="104"/>
      <c r="D195" s="103"/>
      <c r="E195" s="103"/>
      <c r="F195" s="103"/>
      <c r="G195" s="103"/>
      <c r="H195" s="103"/>
      <c r="I195" s="103"/>
      <c r="J195" s="103"/>
      <c r="K195" s="103"/>
      <c r="L195" s="103"/>
      <c r="M195" s="103"/>
      <c r="N195" s="103"/>
      <c r="O195" s="103"/>
      <c r="P195" s="103"/>
      <c r="Q195" s="103"/>
      <c r="R195" s="103"/>
      <c r="T195" s="72"/>
      <c r="U195" s="72"/>
      <c r="V195" s="72"/>
      <c r="W195" s="72"/>
      <c r="X195" s="72"/>
      <c r="Y195" s="72"/>
      <c r="Z195" s="93"/>
      <c r="AA195" s="93"/>
      <c r="AB195" s="93"/>
      <c r="AC195" s="93"/>
      <c r="AD195" s="93"/>
      <c r="AE195" s="93"/>
      <c r="AF195" s="72"/>
      <c r="AG195" s="94"/>
      <c r="AH195" s="93"/>
    </row>
    <row r="196" spans="1:34" ht="15.75" x14ac:dyDescent="0.25">
      <c r="A196" s="102"/>
      <c r="B196" s="104"/>
      <c r="C196" s="104"/>
      <c r="D196" s="103"/>
      <c r="E196" s="103"/>
      <c r="F196" s="103"/>
      <c r="G196" s="103"/>
      <c r="H196" s="103"/>
      <c r="I196" s="103"/>
      <c r="J196" s="103"/>
      <c r="K196" s="103"/>
      <c r="L196" s="103"/>
      <c r="M196" s="103"/>
      <c r="N196" s="103"/>
      <c r="O196" s="103"/>
      <c r="P196" s="103"/>
      <c r="Q196" s="103"/>
      <c r="R196" s="103"/>
      <c r="T196" s="72"/>
      <c r="U196" s="72"/>
      <c r="V196" s="72"/>
      <c r="W196" s="72"/>
      <c r="X196" s="72"/>
      <c r="Y196" s="72"/>
      <c r="Z196" s="93"/>
      <c r="AA196" s="93"/>
      <c r="AB196" s="93"/>
      <c r="AC196" s="93"/>
      <c r="AD196" s="93"/>
      <c r="AE196" s="93"/>
      <c r="AF196" s="72"/>
      <c r="AG196" s="94"/>
      <c r="AH196" s="93"/>
    </row>
    <row r="197" spans="1:34" ht="15.75" x14ac:dyDescent="0.25">
      <c r="A197" s="102"/>
      <c r="B197" s="104"/>
      <c r="C197" s="104"/>
      <c r="D197" s="103"/>
      <c r="E197" s="103"/>
      <c r="F197" s="103"/>
      <c r="G197" s="103"/>
      <c r="H197" s="103"/>
      <c r="I197" s="103"/>
      <c r="J197" s="103"/>
      <c r="K197" s="103"/>
      <c r="L197" s="103"/>
      <c r="M197" s="103"/>
      <c r="N197" s="103"/>
      <c r="O197" s="103"/>
      <c r="P197" s="103"/>
      <c r="Q197" s="103"/>
      <c r="R197" s="103"/>
      <c r="T197" s="72"/>
      <c r="U197" s="72"/>
      <c r="V197" s="72"/>
      <c r="W197" s="72"/>
      <c r="X197" s="72"/>
      <c r="Y197" s="72"/>
      <c r="Z197" s="93"/>
      <c r="AA197" s="93"/>
      <c r="AB197" s="93"/>
      <c r="AC197" s="93"/>
      <c r="AD197" s="93"/>
      <c r="AE197" s="93"/>
      <c r="AF197" s="72"/>
      <c r="AG197" s="94"/>
      <c r="AH197" s="93"/>
    </row>
    <row r="198" spans="1:34" ht="15.75" x14ac:dyDescent="0.25">
      <c r="A198" s="102"/>
      <c r="B198" s="104"/>
      <c r="C198" s="104"/>
      <c r="D198" s="103"/>
      <c r="E198" s="103"/>
      <c r="F198" s="103"/>
      <c r="G198" s="103"/>
      <c r="H198" s="103"/>
      <c r="I198" s="103"/>
      <c r="J198" s="103"/>
      <c r="K198" s="103"/>
      <c r="L198" s="103"/>
      <c r="M198" s="103"/>
      <c r="N198" s="103"/>
      <c r="O198" s="103"/>
      <c r="P198" s="103"/>
      <c r="Q198" s="103"/>
      <c r="R198" s="103"/>
      <c r="T198" s="72"/>
      <c r="U198" s="72"/>
      <c r="V198" s="72"/>
      <c r="W198" s="72"/>
      <c r="X198" s="72"/>
      <c r="Y198" s="72"/>
      <c r="Z198" s="93"/>
      <c r="AA198" s="93"/>
      <c r="AB198" s="93"/>
      <c r="AC198" s="93"/>
      <c r="AD198" s="93"/>
      <c r="AE198" s="93"/>
      <c r="AF198" s="72"/>
      <c r="AG198" s="94"/>
      <c r="AH198" s="93"/>
    </row>
    <row r="199" spans="1:34" ht="15.75" x14ac:dyDescent="0.25">
      <c r="A199" s="102"/>
      <c r="B199" s="104"/>
      <c r="C199" s="104"/>
      <c r="D199" s="103"/>
      <c r="E199" s="103"/>
      <c r="F199" s="103"/>
      <c r="G199" s="103"/>
      <c r="H199" s="103"/>
      <c r="I199" s="103"/>
      <c r="J199" s="103"/>
      <c r="K199" s="103"/>
      <c r="L199" s="103"/>
      <c r="M199" s="103"/>
      <c r="N199" s="103"/>
      <c r="O199" s="103"/>
      <c r="P199" s="103"/>
      <c r="Q199" s="103"/>
      <c r="R199" s="103"/>
      <c r="T199" s="72"/>
      <c r="U199" s="72"/>
      <c r="V199" s="72"/>
      <c r="W199" s="72"/>
      <c r="X199" s="72"/>
      <c r="Y199" s="72"/>
      <c r="Z199" s="93"/>
      <c r="AA199" s="93"/>
      <c r="AB199" s="93"/>
      <c r="AC199" s="93"/>
      <c r="AD199" s="93"/>
      <c r="AE199" s="93"/>
      <c r="AF199" s="72"/>
      <c r="AG199" s="94"/>
      <c r="AH199" s="93"/>
    </row>
    <row r="200" spans="1:34" ht="15.75" x14ac:dyDescent="0.25">
      <c r="A200" s="102"/>
      <c r="B200" s="104"/>
      <c r="C200" s="104"/>
      <c r="D200" s="103"/>
      <c r="E200" s="103"/>
      <c r="F200" s="103"/>
      <c r="G200" s="103"/>
      <c r="H200" s="103"/>
      <c r="I200" s="103"/>
      <c r="J200" s="103"/>
      <c r="K200" s="103"/>
      <c r="L200" s="103"/>
      <c r="M200" s="103"/>
      <c r="N200" s="103"/>
      <c r="O200" s="103"/>
      <c r="P200" s="103"/>
      <c r="Q200" s="103"/>
      <c r="R200" s="103"/>
      <c r="T200" s="72"/>
      <c r="U200" s="72"/>
      <c r="V200" s="72"/>
      <c r="W200" s="72"/>
      <c r="X200" s="72"/>
      <c r="Y200" s="72"/>
      <c r="Z200" s="93"/>
      <c r="AA200" s="93"/>
      <c r="AB200" s="93"/>
      <c r="AC200" s="93"/>
      <c r="AD200" s="93"/>
      <c r="AE200" s="93"/>
      <c r="AF200" s="72"/>
      <c r="AG200" s="94"/>
      <c r="AH200" s="93"/>
    </row>
    <row r="201" spans="1:34" ht="15.75" x14ac:dyDescent="0.25">
      <c r="A201" s="102"/>
      <c r="B201" s="104"/>
      <c r="C201" s="104"/>
      <c r="D201" s="103"/>
      <c r="E201" s="103"/>
      <c r="F201" s="103"/>
      <c r="G201" s="103"/>
      <c r="H201" s="103"/>
      <c r="I201" s="103"/>
      <c r="J201" s="103"/>
      <c r="K201" s="103"/>
      <c r="L201" s="103"/>
      <c r="M201" s="103"/>
      <c r="N201" s="103"/>
      <c r="O201" s="103"/>
      <c r="P201" s="103"/>
      <c r="Q201" s="103"/>
      <c r="R201" s="103"/>
      <c r="T201" s="72"/>
      <c r="U201" s="72"/>
      <c r="V201" s="72"/>
      <c r="W201" s="72"/>
      <c r="X201" s="72"/>
      <c r="Y201" s="72"/>
      <c r="Z201" s="93"/>
      <c r="AA201" s="93"/>
      <c r="AB201" s="93"/>
      <c r="AC201" s="93"/>
      <c r="AD201" s="93"/>
      <c r="AE201" s="93"/>
      <c r="AF201" s="72"/>
      <c r="AG201" s="94"/>
      <c r="AH201" s="93"/>
    </row>
    <row r="202" spans="1:34" ht="15.75" x14ac:dyDescent="0.25">
      <c r="A202" s="102"/>
      <c r="B202" s="104"/>
      <c r="C202" s="104"/>
      <c r="D202" s="103"/>
      <c r="E202" s="103"/>
      <c r="F202" s="103"/>
      <c r="G202" s="103"/>
      <c r="H202" s="103"/>
      <c r="I202" s="103"/>
      <c r="J202" s="103"/>
      <c r="K202" s="103"/>
      <c r="L202" s="103"/>
      <c r="M202" s="103"/>
      <c r="N202" s="103"/>
      <c r="O202" s="103"/>
      <c r="P202" s="103"/>
      <c r="Q202" s="103"/>
      <c r="R202" s="103"/>
      <c r="T202" s="72"/>
      <c r="U202" s="72"/>
      <c r="V202" s="72"/>
      <c r="W202" s="72"/>
      <c r="X202" s="72"/>
      <c r="Y202" s="72"/>
      <c r="Z202" s="93"/>
      <c r="AA202" s="93"/>
      <c r="AB202" s="93"/>
      <c r="AC202" s="93"/>
      <c r="AD202" s="93"/>
      <c r="AE202" s="93"/>
      <c r="AF202" s="72"/>
      <c r="AG202" s="94"/>
      <c r="AH202" s="93"/>
    </row>
    <row r="203" spans="1:34" ht="15.75" x14ac:dyDescent="0.25">
      <c r="A203" s="102"/>
      <c r="B203" s="104"/>
      <c r="C203" s="104"/>
      <c r="D203" s="103"/>
      <c r="E203" s="103"/>
      <c r="F203" s="103"/>
      <c r="G203" s="103"/>
      <c r="H203" s="103"/>
      <c r="I203" s="103"/>
      <c r="J203" s="103"/>
      <c r="K203" s="103"/>
      <c r="L203" s="103"/>
      <c r="M203" s="103"/>
      <c r="N203" s="103"/>
      <c r="O203" s="103"/>
      <c r="P203" s="103"/>
      <c r="Q203" s="103"/>
      <c r="R203" s="103"/>
      <c r="T203" s="72"/>
      <c r="U203" s="72"/>
      <c r="V203" s="72"/>
      <c r="W203" s="72"/>
      <c r="X203" s="72"/>
      <c r="Y203" s="72"/>
      <c r="Z203" s="93"/>
      <c r="AA203" s="93"/>
      <c r="AB203" s="93"/>
      <c r="AC203" s="93"/>
      <c r="AD203" s="93"/>
      <c r="AE203" s="93"/>
      <c r="AF203" s="72"/>
      <c r="AG203" s="94"/>
      <c r="AH203" s="93"/>
    </row>
    <row r="204" spans="1:34" ht="15.75" x14ac:dyDescent="0.25">
      <c r="A204" s="102"/>
      <c r="B204" s="104"/>
      <c r="C204" s="104"/>
      <c r="D204" s="103"/>
      <c r="E204" s="103"/>
      <c r="F204" s="103"/>
      <c r="G204" s="103"/>
      <c r="H204" s="103"/>
      <c r="I204" s="103"/>
      <c r="J204" s="103"/>
      <c r="K204" s="103"/>
      <c r="L204" s="103"/>
      <c r="M204" s="103"/>
      <c r="N204" s="103"/>
      <c r="O204" s="103"/>
      <c r="P204" s="103"/>
      <c r="Q204" s="103"/>
      <c r="R204" s="103"/>
      <c r="T204" s="72"/>
      <c r="U204" s="72"/>
      <c r="V204" s="72"/>
      <c r="W204" s="72"/>
      <c r="X204" s="72"/>
      <c r="Y204" s="72"/>
      <c r="Z204" s="93"/>
      <c r="AA204" s="93"/>
      <c r="AB204" s="93"/>
      <c r="AC204" s="93"/>
      <c r="AD204" s="93"/>
      <c r="AE204" s="93"/>
      <c r="AF204" s="72"/>
      <c r="AG204" s="94"/>
      <c r="AH204" s="93"/>
    </row>
    <row r="205" spans="1:34" ht="15.75" x14ac:dyDescent="0.25">
      <c r="A205" s="102"/>
      <c r="B205" s="104"/>
      <c r="C205" s="104"/>
      <c r="D205" s="103"/>
      <c r="E205" s="103"/>
      <c r="F205" s="103"/>
      <c r="G205" s="103"/>
      <c r="H205" s="103"/>
      <c r="I205" s="103"/>
      <c r="J205" s="103"/>
      <c r="K205" s="103"/>
      <c r="L205" s="103"/>
      <c r="M205" s="103"/>
      <c r="N205" s="103"/>
      <c r="O205" s="103"/>
      <c r="P205" s="103"/>
      <c r="Q205" s="103"/>
      <c r="R205" s="103"/>
      <c r="T205" s="72"/>
      <c r="U205" s="72"/>
      <c r="V205" s="72"/>
      <c r="W205" s="72"/>
      <c r="X205" s="72"/>
      <c r="Y205" s="72"/>
      <c r="Z205" s="93"/>
      <c r="AA205" s="93"/>
      <c r="AB205" s="93"/>
      <c r="AC205" s="93"/>
      <c r="AD205" s="93"/>
      <c r="AE205" s="93"/>
      <c r="AF205" s="72"/>
      <c r="AG205" s="94"/>
      <c r="AH205" s="93"/>
    </row>
    <row r="206" spans="1:34" ht="15.75" x14ac:dyDescent="0.25">
      <c r="A206" s="102"/>
      <c r="B206" s="104"/>
      <c r="C206" s="104"/>
      <c r="D206" s="103"/>
      <c r="E206" s="103"/>
      <c r="F206" s="103"/>
      <c r="G206" s="103"/>
      <c r="H206" s="103"/>
      <c r="I206" s="103"/>
      <c r="J206" s="103"/>
      <c r="K206" s="103"/>
      <c r="L206" s="103"/>
      <c r="M206" s="103"/>
      <c r="N206" s="103"/>
      <c r="O206" s="103"/>
      <c r="P206" s="103"/>
      <c r="Q206" s="103"/>
      <c r="R206" s="103"/>
      <c r="T206" s="72"/>
      <c r="U206" s="72"/>
      <c r="V206" s="72"/>
      <c r="W206" s="72"/>
      <c r="X206" s="72"/>
      <c r="Y206" s="72"/>
      <c r="Z206" s="93"/>
      <c r="AA206" s="93"/>
      <c r="AB206" s="93"/>
      <c r="AC206" s="93"/>
      <c r="AD206" s="93"/>
      <c r="AE206" s="93"/>
      <c r="AF206" s="72"/>
      <c r="AG206" s="94"/>
      <c r="AH206" s="93"/>
    </row>
    <row r="207" spans="1:34" ht="15.75" x14ac:dyDescent="0.25">
      <c r="A207" s="102"/>
      <c r="B207" s="104"/>
      <c r="C207" s="104"/>
      <c r="D207" s="103"/>
      <c r="E207" s="103"/>
      <c r="F207" s="103"/>
      <c r="G207" s="103"/>
      <c r="H207" s="103"/>
      <c r="I207" s="103"/>
      <c r="J207" s="103"/>
      <c r="K207" s="103"/>
      <c r="L207" s="103"/>
      <c r="M207" s="103"/>
      <c r="N207" s="103"/>
      <c r="O207" s="103"/>
      <c r="P207" s="103"/>
      <c r="Q207" s="103"/>
      <c r="R207" s="103"/>
      <c r="T207" s="72"/>
      <c r="U207" s="72"/>
      <c r="V207" s="72"/>
      <c r="W207" s="72"/>
      <c r="X207" s="72"/>
      <c r="Y207" s="72"/>
      <c r="Z207" s="93"/>
      <c r="AA207" s="93"/>
      <c r="AB207" s="93"/>
      <c r="AC207" s="93"/>
      <c r="AD207" s="93"/>
      <c r="AE207" s="93"/>
      <c r="AF207" s="72"/>
      <c r="AG207" s="94"/>
      <c r="AH207" s="93"/>
    </row>
    <row r="208" spans="1:34" ht="15.75" x14ac:dyDescent="0.25">
      <c r="A208" s="102"/>
      <c r="B208" s="104"/>
      <c r="C208" s="104"/>
      <c r="D208" s="103"/>
      <c r="E208" s="103"/>
      <c r="F208" s="103"/>
      <c r="G208" s="103"/>
      <c r="H208" s="103"/>
      <c r="I208" s="103"/>
      <c r="J208" s="103"/>
      <c r="K208" s="103"/>
      <c r="L208" s="103"/>
      <c r="M208" s="103"/>
      <c r="N208" s="103"/>
      <c r="O208" s="103"/>
      <c r="P208" s="103"/>
      <c r="Q208" s="103"/>
      <c r="R208" s="103"/>
      <c r="T208" s="72"/>
      <c r="U208" s="72"/>
      <c r="V208" s="72"/>
      <c r="W208" s="72"/>
      <c r="X208" s="72"/>
      <c r="Y208" s="72"/>
      <c r="Z208" s="93"/>
      <c r="AA208" s="93"/>
      <c r="AB208" s="93"/>
      <c r="AC208" s="93"/>
      <c r="AD208" s="93"/>
      <c r="AE208" s="93"/>
      <c r="AF208" s="72"/>
      <c r="AG208" s="94"/>
      <c r="AH208" s="93"/>
    </row>
    <row r="209" spans="1:34" ht="15.75" x14ac:dyDescent="0.25">
      <c r="A209" s="102"/>
      <c r="B209" s="104"/>
      <c r="C209" s="104"/>
      <c r="D209" s="103"/>
      <c r="E209" s="103"/>
      <c r="F209" s="103"/>
      <c r="G209" s="103"/>
      <c r="H209" s="103"/>
      <c r="I209" s="103"/>
      <c r="J209" s="103"/>
      <c r="K209" s="103"/>
      <c r="L209" s="103"/>
      <c r="M209" s="103"/>
      <c r="N209" s="103"/>
      <c r="O209" s="103"/>
      <c r="P209" s="103"/>
      <c r="Q209" s="103"/>
      <c r="R209" s="103"/>
      <c r="T209" s="72"/>
      <c r="U209" s="72"/>
      <c r="V209" s="72"/>
      <c r="W209" s="72"/>
      <c r="X209" s="72"/>
      <c r="Y209" s="72"/>
      <c r="Z209" s="93"/>
      <c r="AA209" s="93"/>
      <c r="AB209" s="93"/>
      <c r="AC209" s="93"/>
      <c r="AD209" s="93"/>
      <c r="AE209" s="93"/>
      <c r="AF209" s="72"/>
      <c r="AG209" s="94"/>
      <c r="AH209" s="93"/>
    </row>
    <row r="210" spans="1:34" ht="15.75" x14ac:dyDescent="0.25">
      <c r="A210" s="102"/>
      <c r="B210" s="104"/>
      <c r="C210" s="104"/>
      <c r="D210" s="103"/>
      <c r="E210" s="103"/>
      <c r="F210" s="103"/>
      <c r="G210" s="103"/>
      <c r="H210" s="103"/>
      <c r="I210" s="103"/>
      <c r="J210" s="103"/>
      <c r="K210" s="103"/>
      <c r="L210" s="103"/>
      <c r="M210" s="103"/>
      <c r="N210" s="103"/>
      <c r="O210" s="103"/>
      <c r="P210" s="103"/>
      <c r="Q210" s="103"/>
      <c r="R210" s="103"/>
      <c r="T210" s="72"/>
      <c r="U210" s="72"/>
      <c r="V210" s="72"/>
      <c r="W210" s="72"/>
      <c r="X210" s="72"/>
      <c r="Y210" s="72"/>
      <c r="Z210" s="93"/>
      <c r="AA210" s="93"/>
      <c r="AB210" s="93"/>
      <c r="AC210" s="93"/>
      <c r="AD210" s="93"/>
      <c r="AE210" s="93"/>
      <c r="AF210" s="72"/>
      <c r="AG210" s="94"/>
      <c r="AH210" s="93"/>
    </row>
    <row r="211" spans="1:34" ht="15.75" x14ac:dyDescent="0.25">
      <c r="A211" s="102"/>
      <c r="B211" s="104"/>
      <c r="C211" s="104"/>
      <c r="D211" s="103"/>
      <c r="E211" s="103"/>
      <c r="F211" s="103"/>
      <c r="G211" s="103"/>
      <c r="H211" s="103"/>
      <c r="I211" s="103"/>
      <c r="J211" s="103"/>
      <c r="K211" s="103"/>
      <c r="L211" s="103"/>
      <c r="M211" s="103"/>
      <c r="N211" s="103"/>
      <c r="O211" s="103"/>
      <c r="P211" s="103"/>
      <c r="Q211" s="103"/>
      <c r="R211" s="103"/>
      <c r="T211" s="72"/>
      <c r="U211" s="72"/>
      <c r="V211" s="72"/>
      <c r="W211" s="72"/>
      <c r="X211" s="72"/>
      <c r="Y211" s="72"/>
      <c r="Z211" s="93"/>
      <c r="AA211" s="93"/>
      <c r="AB211" s="93"/>
      <c r="AC211" s="93"/>
      <c r="AD211" s="93"/>
      <c r="AE211" s="93"/>
      <c r="AF211" s="72"/>
      <c r="AG211" s="94"/>
      <c r="AH211" s="93"/>
    </row>
    <row r="212" spans="1:34" ht="15.75" x14ac:dyDescent="0.25">
      <c r="A212" s="102"/>
      <c r="B212" s="104"/>
      <c r="C212" s="104"/>
      <c r="D212" s="103"/>
      <c r="E212" s="103"/>
      <c r="F212" s="103"/>
      <c r="G212" s="103"/>
      <c r="H212" s="103"/>
      <c r="I212" s="103"/>
      <c r="J212" s="103"/>
      <c r="K212" s="103"/>
      <c r="L212" s="103"/>
      <c r="M212" s="103"/>
      <c r="N212" s="103"/>
      <c r="O212" s="103"/>
      <c r="P212" s="103"/>
      <c r="Q212" s="103"/>
      <c r="R212" s="103"/>
      <c r="T212" s="72"/>
      <c r="U212" s="72"/>
      <c r="V212" s="72"/>
      <c r="W212" s="72"/>
      <c r="X212" s="72"/>
      <c r="Y212" s="72"/>
      <c r="Z212" s="93"/>
      <c r="AA212" s="93"/>
      <c r="AB212" s="93"/>
      <c r="AC212" s="93"/>
      <c r="AD212" s="93"/>
      <c r="AE212" s="93"/>
      <c r="AF212" s="72"/>
      <c r="AG212" s="94"/>
      <c r="AH212" s="93"/>
    </row>
    <row r="213" spans="1:34" ht="15.75" x14ac:dyDescent="0.25">
      <c r="A213" s="102"/>
      <c r="B213" s="104"/>
      <c r="C213" s="104"/>
      <c r="D213" s="103"/>
      <c r="E213" s="103"/>
      <c r="F213" s="103"/>
      <c r="G213" s="103"/>
      <c r="H213" s="103"/>
      <c r="I213" s="103"/>
      <c r="J213" s="103"/>
      <c r="K213" s="103"/>
      <c r="L213" s="103"/>
      <c r="M213" s="103"/>
      <c r="N213" s="103"/>
      <c r="O213" s="103"/>
      <c r="P213" s="103"/>
      <c r="Q213" s="103"/>
      <c r="R213" s="103"/>
      <c r="T213" s="72"/>
      <c r="U213" s="72"/>
      <c r="V213" s="72"/>
      <c r="W213" s="72"/>
      <c r="X213" s="72"/>
      <c r="Y213" s="72"/>
      <c r="Z213" s="93"/>
      <c r="AA213" s="93"/>
      <c r="AB213" s="93"/>
      <c r="AC213" s="93"/>
      <c r="AD213" s="93"/>
      <c r="AE213" s="93"/>
      <c r="AF213" s="72"/>
      <c r="AG213" s="94"/>
      <c r="AH213" s="93"/>
    </row>
    <row r="214" spans="1:34" ht="15.75" x14ac:dyDescent="0.25">
      <c r="A214" s="102"/>
      <c r="B214" s="104"/>
      <c r="C214" s="104"/>
      <c r="D214" s="103"/>
      <c r="E214" s="103"/>
      <c r="F214" s="103"/>
      <c r="G214" s="103"/>
      <c r="H214" s="103"/>
      <c r="I214" s="103"/>
      <c r="J214" s="103"/>
      <c r="K214" s="103"/>
      <c r="L214" s="103"/>
      <c r="M214" s="103"/>
      <c r="N214" s="103"/>
      <c r="O214" s="103"/>
      <c r="P214" s="103"/>
      <c r="Q214" s="103"/>
      <c r="R214" s="103"/>
      <c r="T214" s="72"/>
      <c r="U214" s="72"/>
      <c r="V214" s="72"/>
      <c r="W214" s="72"/>
      <c r="X214" s="72"/>
      <c r="Y214" s="72"/>
      <c r="Z214" s="93"/>
      <c r="AA214" s="93"/>
      <c r="AB214" s="93"/>
      <c r="AC214" s="93"/>
      <c r="AD214" s="93"/>
      <c r="AE214" s="93"/>
      <c r="AF214" s="72"/>
      <c r="AG214" s="94"/>
      <c r="AH214" s="93"/>
    </row>
    <row r="215" spans="1:34" ht="15.75" x14ac:dyDescent="0.25">
      <c r="A215" s="102"/>
      <c r="B215" s="104"/>
      <c r="C215" s="104"/>
      <c r="D215" s="103"/>
      <c r="E215" s="103"/>
      <c r="F215" s="103"/>
      <c r="G215" s="103"/>
      <c r="H215" s="103"/>
      <c r="I215" s="103"/>
      <c r="J215" s="103"/>
      <c r="K215" s="103"/>
      <c r="L215" s="103"/>
      <c r="M215" s="103"/>
      <c r="N215" s="103"/>
      <c r="O215" s="103"/>
      <c r="P215" s="103"/>
      <c r="Q215" s="103"/>
      <c r="R215" s="103"/>
      <c r="T215" s="72"/>
      <c r="U215" s="72"/>
      <c r="V215" s="72"/>
      <c r="W215" s="72"/>
      <c r="X215" s="72"/>
      <c r="Y215" s="72"/>
      <c r="Z215" s="93"/>
      <c r="AA215" s="93"/>
      <c r="AB215" s="93"/>
      <c r="AC215" s="93"/>
      <c r="AD215" s="93"/>
      <c r="AE215" s="93"/>
      <c r="AF215" s="72"/>
      <c r="AG215" s="94"/>
      <c r="AH215" s="93"/>
    </row>
    <row r="216" spans="1:34" ht="15.75" x14ac:dyDescent="0.25">
      <c r="A216" s="102"/>
      <c r="B216" s="104"/>
      <c r="C216" s="104"/>
      <c r="D216" s="103"/>
      <c r="E216" s="103"/>
      <c r="F216" s="103"/>
      <c r="G216" s="103"/>
      <c r="H216" s="103"/>
      <c r="I216" s="103"/>
      <c r="J216" s="103"/>
      <c r="K216" s="103"/>
      <c r="L216" s="103"/>
      <c r="M216" s="103"/>
      <c r="N216" s="103"/>
      <c r="O216" s="103"/>
      <c r="P216" s="103"/>
      <c r="Q216" s="103"/>
      <c r="R216" s="103"/>
      <c r="T216" s="72"/>
      <c r="U216" s="72"/>
      <c r="V216" s="72"/>
      <c r="W216" s="72"/>
      <c r="X216" s="72"/>
      <c r="Y216" s="72"/>
      <c r="Z216" s="93"/>
      <c r="AA216" s="93"/>
      <c r="AB216" s="93"/>
      <c r="AC216" s="93"/>
      <c r="AD216" s="93"/>
      <c r="AE216" s="93"/>
      <c r="AF216" s="72"/>
      <c r="AG216" s="94"/>
      <c r="AH216" s="93"/>
    </row>
    <row r="217" spans="1:34" ht="15.75" x14ac:dyDescent="0.25">
      <c r="A217" s="102"/>
      <c r="B217" s="104"/>
      <c r="C217" s="104"/>
      <c r="D217" s="103"/>
      <c r="E217" s="103"/>
      <c r="F217" s="103"/>
      <c r="G217" s="103"/>
      <c r="H217" s="103"/>
      <c r="I217" s="103"/>
      <c r="J217" s="103"/>
      <c r="K217" s="103"/>
      <c r="L217" s="103"/>
      <c r="M217" s="103"/>
      <c r="N217" s="103"/>
      <c r="O217" s="103"/>
      <c r="P217" s="103"/>
      <c r="Q217" s="103"/>
      <c r="R217" s="103"/>
      <c r="T217" s="72"/>
      <c r="U217" s="72"/>
      <c r="V217" s="72"/>
      <c r="W217" s="72"/>
      <c r="X217" s="72"/>
      <c r="Y217" s="72"/>
      <c r="Z217" s="93"/>
      <c r="AA217" s="93"/>
      <c r="AB217" s="93"/>
      <c r="AC217" s="93"/>
      <c r="AD217" s="93"/>
      <c r="AE217" s="93"/>
      <c r="AF217" s="72"/>
      <c r="AG217" s="94"/>
      <c r="AH217" s="93"/>
    </row>
    <row r="218" spans="1:34" ht="15.75" x14ac:dyDescent="0.25">
      <c r="A218" s="102"/>
      <c r="B218" s="104"/>
      <c r="C218" s="104"/>
      <c r="D218" s="103"/>
      <c r="E218" s="103"/>
      <c r="F218" s="103"/>
      <c r="G218" s="103"/>
      <c r="H218" s="103"/>
      <c r="I218" s="103"/>
      <c r="J218" s="103"/>
      <c r="K218" s="103"/>
      <c r="L218" s="103"/>
      <c r="M218" s="103"/>
      <c r="N218" s="103"/>
      <c r="O218" s="103"/>
      <c r="P218" s="103"/>
      <c r="Q218" s="103"/>
      <c r="R218" s="103"/>
      <c r="T218" s="72"/>
      <c r="U218" s="72"/>
      <c r="V218" s="72"/>
      <c r="W218" s="72"/>
      <c r="X218" s="72"/>
      <c r="Y218" s="72"/>
      <c r="Z218" s="93"/>
      <c r="AA218" s="93"/>
      <c r="AB218" s="93"/>
      <c r="AC218" s="93"/>
      <c r="AD218" s="93"/>
      <c r="AE218" s="93"/>
      <c r="AF218" s="72"/>
      <c r="AG218" s="94"/>
      <c r="AH218" s="93"/>
    </row>
    <row r="219" spans="1:34" ht="15.75" x14ac:dyDescent="0.25">
      <c r="A219" s="102"/>
      <c r="B219" s="104"/>
      <c r="C219" s="104"/>
      <c r="D219" s="103"/>
      <c r="E219" s="103"/>
      <c r="F219" s="103"/>
      <c r="G219" s="103"/>
      <c r="H219" s="103"/>
      <c r="I219" s="103"/>
      <c r="J219" s="103"/>
      <c r="K219" s="103"/>
      <c r="L219" s="103"/>
      <c r="M219" s="103"/>
      <c r="N219" s="103"/>
      <c r="O219" s="103"/>
      <c r="P219" s="103"/>
      <c r="Q219" s="103"/>
      <c r="R219" s="103"/>
      <c r="T219" s="72"/>
      <c r="U219" s="72"/>
      <c r="V219" s="72"/>
      <c r="W219" s="72"/>
      <c r="X219" s="72"/>
      <c r="Y219" s="72"/>
      <c r="Z219" s="93"/>
      <c r="AA219" s="93"/>
      <c r="AB219" s="93"/>
      <c r="AC219" s="93"/>
      <c r="AD219" s="93"/>
      <c r="AE219" s="93"/>
      <c r="AF219" s="72"/>
      <c r="AG219" s="94"/>
      <c r="AH219" s="93"/>
    </row>
    <row r="220" spans="1:34" ht="15.75" x14ac:dyDescent="0.25">
      <c r="A220" s="102"/>
      <c r="B220" s="104"/>
      <c r="C220" s="104"/>
      <c r="D220" s="103"/>
      <c r="E220" s="103"/>
      <c r="F220" s="103"/>
      <c r="G220" s="103"/>
      <c r="H220" s="103"/>
      <c r="I220" s="103"/>
      <c r="J220" s="103"/>
      <c r="K220" s="103"/>
      <c r="L220" s="103"/>
      <c r="M220" s="103"/>
      <c r="N220" s="103"/>
      <c r="O220" s="103"/>
      <c r="P220" s="103"/>
      <c r="Q220" s="103"/>
      <c r="R220" s="103"/>
      <c r="T220" s="72"/>
      <c r="U220" s="72"/>
      <c r="V220" s="72"/>
      <c r="W220" s="72"/>
      <c r="X220" s="72"/>
      <c r="Y220" s="72"/>
      <c r="Z220" s="93"/>
      <c r="AA220" s="93"/>
      <c r="AB220" s="93"/>
      <c r="AC220" s="93"/>
      <c r="AD220" s="93"/>
      <c r="AE220" s="93"/>
      <c r="AF220" s="72"/>
      <c r="AG220" s="94"/>
      <c r="AH220" s="93"/>
    </row>
    <row r="221" spans="1:34" ht="15.75" x14ac:dyDescent="0.25">
      <c r="A221" s="102"/>
      <c r="B221" s="104"/>
      <c r="C221" s="104"/>
      <c r="D221" s="103"/>
      <c r="E221" s="103"/>
      <c r="F221" s="103"/>
      <c r="G221" s="103"/>
      <c r="H221" s="103"/>
      <c r="I221" s="103"/>
      <c r="J221" s="103"/>
      <c r="K221" s="103"/>
      <c r="L221" s="103"/>
      <c r="M221" s="103"/>
      <c r="N221" s="103"/>
      <c r="O221" s="103"/>
      <c r="P221" s="103"/>
      <c r="Q221" s="103"/>
      <c r="R221" s="103"/>
      <c r="T221" s="72"/>
      <c r="U221" s="72"/>
      <c r="V221" s="72"/>
      <c r="W221" s="72"/>
      <c r="X221" s="72"/>
      <c r="Y221" s="72"/>
      <c r="Z221" s="93"/>
      <c r="AA221" s="93"/>
      <c r="AB221" s="93"/>
      <c r="AC221" s="93"/>
      <c r="AD221" s="93"/>
      <c r="AE221" s="93"/>
      <c r="AF221" s="72"/>
      <c r="AG221" s="94"/>
      <c r="AH221" s="93"/>
    </row>
    <row r="222" spans="1:34" ht="15.75" x14ac:dyDescent="0.25">
      <c r="A222" s="102"/>
      <c r="B222" s="104"/>
      <c r="C222" s="104"/>
      <c r="D222" s="103"/>
      <c r="E222" s="103"/>
      <c r="F222" s="103"/>
      <c r="G222" s="103"/>
      <c r="H222" s="103"/>
      <c r="I222" s="103"/>
      <c r="J222" s="103"/>
      <c r="K222" s="103"/>
      <c r="L222" s="103"/>
      <c r="M222" s="103"/>
      <c r="N222" s="103"/>
      <c r="O222" s="103"/>
      <c r="P222" s="103"/>
      <c r="Q222" s="103"/>
      <c r="R222" s="103"/>
      <c r="T222" s="72"/>
      <c r="U222" s="72"/>
      <c r="V222" s="72"/>
      <c r="W222" s="72"/>
      <c r="X222" s="72"/>
      <c r="Y222" s="72"/>
      <c r="Z222" s="93"/>
      <c r="AA222" s="93"/>
      <c r="AB222" s="93"/>
      <c r="AC222" s="93"/>
      <c r="AD222" s="93"/>
      <c r="AE222" s="93"/>
      <c r="AF222" s="72"/>
      <c r="AG222" s="94"/>
      <c r="AH222" s="93"/>
    </row>
    <row r="223" spans="1:34" ht="15.75" x14ac:dyDescent="0.25">
      <c r="A223" s="102"/>
      <c r="B223" s="104"/>
      <c r="C223" s="104"/>
      <c r="D223" s="103"/>
      <c r="E223" s="103"/>
      <c r="F223" s="103"/>
      <c r="G223" s="103"/>
      <c r="H223" s="103"/>
      <c r="I223" s="103"/>
      <c r="J223" s="103"/>
      <c r="K223" s="103"/>
      <c r="L223" s="103"/>
      <c r="M223" s="103"/>
      <c r="N223" s="103"/>
      <c r="O223" s="103"/>
      <c r="P223" s="103"/>
      <c r="Q223" s="103"/>
      <c r="R223" s="103"/>
      <c r="T223" s="72"/>
      <c r="U223" s="72"/>
      <c r="V223" s="72"/>
      <c r="W223" s="72"/>
      <c r="X223" s="72"/>
      <c r="Y223" s="72"/>
      <c r="Z223" s="93"/>
      <c r="AA223" s="93"/>
      <c r="AB223" s="93"/>
      <c r="AC223" s="93"/>
      <c r="AD223" s="93"/>
      <c r="AE223" s="93"/>
      <c r="AF223" s="72"/>
      <c r="AG223" s="94"/>
      <c r="AH223" s="93"/>
    </row>
    <row r="224" spans="1:34" ht="15.75" x14ac:dyDescent="0.25">
      <c r="A224" s="102"/>
      <c r="B224" s="104"/>
      <c r="C224" s="104"/>
      <c r="D224" s="103"/>
      <c r="E224" s="103"/>
      <c r="F224" s="103"/>
      <c r="G224" s="103"/>
      <c r="H224" s="103"/>
      <c r="I224" s="103"/>
      <c r="J224" s="103"/>
      <c r="K224" s="103"/>
      <c r="L224" s="103"/>
      <c r="M224" s="103"/>
      <c r="N224" s="103"/>
      <c r="O224" s="103"/>
      <c r="P224" s="103"/>
      <c r="Q224" s="103"/>
      <c r="R224" s="103"/>
      <c r="T224" s="72"/>
      <c r="U224" s="72"/>
      <c r="V224" s="72"/>
      <c r="W224" s="72"/>
      <c r="X224" s="72"/>
      <c r="Y224" s="72"/>
      <c r="Z224" s="93"/>
      <c r="AA224" s="93"/>
      <c r="AB224" s="93"/>
      <c r="AC224" s="93"/>
      <c r="AD224" s="93"/>
      <c r="AE224" s="93"/>
      <c r="AF224" s="72"/>
      <c r="AG224" s="94"/>
      <c r="AH224" s="93"/>
    </row>
    <row r="225" spans="1:34" ht="15.75" x14ac:dyDescent="0.25">
      <c r="A225" s="102"/>
      <c r="B225" s="104"/>
      <c r="C225" s="104"/>
      <c r="D225" s="103"/>
      <c r="E225" s="103"/>
      <c r="F225" s="103"/>
      <c r="G225" s="103"/>
      <c r="H225" s="103"/>
      <c r="I225" s="103"/>
      <c r="J225" s="103"/>
      <c r="K225" s="103"/>
      <c r="L225" s="103"/>
      <c r="M225" s="103"/>
      <c r="N225" s="103"/>
      <c r="O225" s="103"/>
      <c r="P225" s="103"/>
      <c r="Q225" s="103"/>
      <c r="R225" s="103"/>
      <c r="T225" s="72"/>
      <c r="U225" s="72"/>
      <c r="V225" s="72"/>
      <c r="W225" s="72"/>
      <c r="X225" s="72"/>
      <c r="Y225" s="72"/>
      <c r="Z225" s="93"/>
      <c r="AA225" s="93"/>
      <c r="AB225" s="93"/>
      <c r="AC225" s="93"/>
      <c r="AD225" s="93"/>
      <c r="AE225" s="93"/>
      <c r="AF225" s="72"/>
      <c r="AG225" s="94"/>
      <c r="AH225" s="93"/>
    </row>
    <row r="226" spans="1:34" ht="15.75" x14ac:dyDescent="0.25">
      <c r="A226" s="102"/>
      <c r="B226" s="104"/>
      <c r="C226" s="104"/>
      <c r="D226" s="103"/>
      <c r="E226" s="103"/>
      <c r="F226" s="103"/>
      <c r="G226" s="103"/>
      <c r="H226" s="103"/>
      <c r="I226" s="103"/>
      <c r="J226" s="103"/>
      <c r="K226" s="103"/>
      <c r="L226" s="103"/>
      <c r="M226" s="103"/>
      <c r="N226" s="103"/>
      <c r="O226" s="103"/>
      <c r="P226" s="103"/>
      <c r="Q226" s="103"/>
      <c r="R226" s="103"/>
      <c r="T226" s="72"/>
      <c r="U226" s="72"/>
      <c r="V226" s="72"/>
      <c r="W226" s="72"/>
      <c r="X226" s="72"/>
      <c r="Y226" s="72"/>
      <c r="Z226" s="93"/>
      <c r="AA226" s="93"/>
      <c r="AB226" s="93"/>
      <c r="AC226" s="93"/>
      <c r="AD226" s="93"/>
      <c r="AE226" s="93"/>
      <c r="AF226" s="72"/>
      <c r="AG226" s="94"/>
      <c r="AH226" s="93"/>
    </row>
    <row r="227" spans="1:34" ht="15.75" x14ac:dyDescent="0.25">
      <c r="A227" s="102"/>
      <c r="B227" s="104"/>
      <c r="C227" s="104"/>
      <c r="D227" s="103"/>
      <c r="E227" s="103"/>
      <c r="F227" s="103"/>
      <c r="G227" s="103"/>
      <c r="H227" s="103"/>
      <c r="I227" s="103"/>
      <c r="J227" s="103"/>
      <c r="K227" s="103"/>
      <c r="L227" s="103"/>
      <c r="M227" s="103"/>
      <c r="N227" s="103"/>
      <c r="O227" s="103"/>
      <c r="P227" s="103"/>
      <c r="Q227" s="103"/>
      <c r="R227" s="103"/>
      <c r="T227" s="72"/>
      <c r="U227" s="72"/>
      <c r="V227" s="72"/>
      <c r="W227" s="72"/>
      <c r="X227" s="72"/>
      <c r="Y227" s="72"/>
      <c r="Z227" s="93"/>
      <c r="AA227" s="93"/>
      <c r="AB227" s="93"/>
      <c r="AC227" s="93"/>
      <c r="AD227" s="93"/>
      <c r="AE227" s="93"/>
      <c r="AF227" s="72"/>
      <c r="AG227" s="94"/>
      <c r="AH227" s="93"/>
    </row>
    <row r="228" spans="1:34" ht="15.75" x14ac:dyDescent="0.25">
      <c r="A228" s="102"/>
      <c r="B228" s="104"/>
      <c r="C228" s="104"/>
      <c r="D228" s="103"/>
      <c r="E228" s="103"/>
      <c r="F228" s="103"/>
      <c r="G228" s="103"/>
      <c r="H228" s="103"/>
      <c r="I228" s="103"/>
      <c r="J228" s="103"/>
      <c r="K228" s="103"/>
      <c r="L228" s="103"/>
      <c r="M228" s="103"/>
      <c r="N228" s="103"/>
      <c r="O228" s="103"/>
      <c r="P228" s="103"/>
      <c r="Q228" s="103"/>
      <c r="R228" s="103"/>
      <c r="T228" s="72"/>
      <c r="U228" s="72"/>
      <c r="V228" s="72"/>
      <c r="W228" s="72"/>
      <c r="X228" s="72"/>
      <c r="Y228" s="72"/>
      <c r="Z228" s="93"/>
      <c r="AA228" s="93"/>
      <c r="AB228" s="93"/>
      <c r="AC228" s="93"/>
      <c r="AD228" s="93"/>
      <c r="AE228" s="93"/>
      <c r="AF228" s="72"/>
      <c r="AG228" s="94"/>
      <c r="AH228" s="93"/>
    </row>
    <row r="229" spans="1:34" ht="15.75" x14ac:dyDescent="0.25">
      <c r="A229" s="102"/>
      <c r="B229" s="104"/>
      <c r="C229" s="104"/>
      <c r="D229" s="103"/>
      <c r="E229" s="103"/>
      <c r="F229" s="103"/>
      <c r="G229" s="103"/>
      <c r="H229" s="103"/>
      <c r="I229" s="103"/>
      <c r="J229" s="103"/>
      <c r="K229" s="103"/>
      <c r="L229" s="103"/>
      <c r="M229" s="103"/>
      <c r="N229" s="103"/>
      <c r="O229" s="103"/>
      <c r="P229" s="103"/>
      <c r="Q229" s="103"/>
      <c r="R229" s="103"/>
      <c r="T229" s="72"/>
      <c r="U229" s="72"/>
      <c r="V229" s="72"/>
      <c r="W229" s="72"/>
      <c r="X229" s="72"/>
      <c r="Y229" s="72"/>
      <c r="Z229" s="93"/>
      <c r="AA229" s="93"/>
      <c r="AB229" s="93"/>
      <c r="AC229" s="93"/>
      <c r="AD229" s="93"/>
      <c r="AE229" s="93"/>
      <c r="AF229" s="72"/>
      <c r="AG229" s="94"/>
      <c r="AH229" s="93"/>
    </row>
    <row r="230" spans="1:34" ht="15.75" x14ac:dyDescent="0.25">
      <c r="A230" s="102"/>
      <c r="B230" s="104"/>
      <c r="C230" s="104"/>
      <c r="D230" s="103"/>
      <c r="E230" s="103"/>
      <c r="F230" s="103"/>
      <c r="G230" s="103"/>
      <c r="H230" s="103"/>
      <c r="I230" s="103"/>
      <c r="J230" s="103"/>
      <c r="K230" s="103"/>
      <c r="L230" s="103"/>
      <c r="M230" s="103"/>
      <c r="N230" s="103"/>
      <c r="O230" s="103"/>
      <c r="P230" s="103"/>
      <c r="Q230" s="103"/>
      <c r="R230" s="103"/>
      <c r="T230" s="72"/>
      <c r="U230" s="72"/>
      <c r="V230" s="72"/>
      <c r="W230" s="72"/>
      <c r="X230" s="72"/>
      <c r="Y230" s="72"/>
      <c r="Z230" s="93"/>
      <c r="AA230" s="93"/>
      <c r="AB230" s="93"/>
      <c r="AC230" s="93"/>
      <c r="AD230" s="93"/>
      <c r="AE230" s="93"/>
      <c r="AF230" s="72"/>
      <c r="AG230" s="94"/>
      <c r="AH230" s="93"/>
    </row>
    <row r="231" spans="1:34" ht="15.75" x14ac:dyDescent="0.25">
      <c r="A231" s="102"/>
      <c r="B231" s="104"/>
      <c r="C231" s="104"/>
      <c r="D231" s="103"/>
      <c r="E231" s="103"/>
      <c r="F231" s="103"/>
      <c r="G231" s="103"/>
      <c r="H231" s="103"/>
      <c r="I231" s="103"/>
      <c r="J231" s="103"/>
      <c r="K231" s="103"/>
      <c r="L231" s="103"/>
      <c r="M231" s="103"/>
      <c r="N231" s="103"/>
      <c r="O231" s="103"/>
      <c r="P231" s="103"/>
      <c r="Q231" s="103"/>
      <c r="R231" s="103"/>
      <c r="T231" s="72"/>
      <c r="U231" s="72"/>
      <c r="V231" s="72"/>
      <c r="W231" s="72"/>
      <c r="X231" s="72"/>
      <c r="Y231" s="72"/>
      <c r="Z231" s="93"/>
      <c r="AA231" s="93"/>
      <c r="AB231" s="93"/>
      <c r="AC231" s="93"/>
      <c r="AD231" s="93"/>
      <c r="AE231" s="93"/>
      <c r="AF231" s="72"/>
      <c r="AG231" s="94"/>
      <c r="AH231" s="93"/>
    </row>
    <row r="232" spans="1:34" ht="15.75" x14ac:dyDescent="0.25">
      <c r="A232" s="102"/>
      <c r="B232" s="104"/>
      <c r="C232" s="104"/>
      <c r="D232" s="103"/>
      <c r="E232" s="103"/>
      <c r="F232" s="103"/>
      <c r="G232" s="103"/>
      <c r="H232" s="103"/>
      <c r="I232" s="103"/>
      <c r="J232" s="103"/>
      <c r="K232" s="103"/>
      <c r="L232" s="103"/>
      <c r="M232" s="103"/>
      <c r="N232" s="103"/>
      <c r="O232" s="103"/>
      <c r="P232" s="103"/>
      <c r="Q232" s="103"/>
      <c r="R232" s="103"/>
      <c r="T232" s="72"/>
      <c r="U232" s="72"/>
      <c r="V232" s="72"/>
      <c r="W232" s="72"/>
      <c r="X232" s="72"/>
      <c r="Y232" s="72"/>
      <c r="Z232" s="93"/>
      <c r="AA232" s="93"/>
      <c r="AB232" s="93"/>
      <c r="AC232" s="93"/>
      <c r="AD232" s="93"/>
      <c r="AE232" s="93"/>
      <c r="AF232" s="72"/>
      <c r="AG232" s="94"/>
      <c r="AH232" s="93"/>
    </row>
    <row r="233" spans="1:34" ht="15.75" x14ac:dyDescent="0.25">
      <c r="A233" s="102"/>
      <c r="B233" s="104"/>
      <c r="C233" s="104"/>
      <c r="D233" s="103"/>
      <c r="E233" s="103"/>
      <c r="F233" s="103"/>
      <c r="G233" s="103"/>
      <c r="H233" s="103"/>
      <c r="I233" s="103"/>
      <c r="J233" s="103"/>
      <c r="K233" s="103"/>
      <c r="L233" s="103"/>
      <c r="M233" s="103"/>
      <c r="N233" s="103"/>
      <c r="O233" s="103"/>
      <c r="P233" s="103"/>
      <c r="Q233" s="103"/>
      <c r="R233" s="103"/>
      <c r="T233" s="72"/>
      <c r="U233" s="72"/>
      <c r="V233" s="72"/>
      <c r="W233" s="72"/>
      <c r="X233" s="72"/>
      <c r="Y233" s="72"/>
      <c r="Z233" s="93"/>
      <c r="AA233" s="93"/>
      <c r="AB233" s="93"/>
      <c r="AC233" s="93"/>
      <c r="AD233" s="93"/>
      <c r="AE233" s="93"/>
      <c r="AF233" s="72"/>
      <c r="AG233" s="94"/>
      <c r="AH233" s="93"/>
    </row>
    <row r="234" spans="1:34" ht="15.75" x14ac:dyDescent="0.25">
      <c r="A234" s="102"/>
      <c r="B234" s="104"/>
      <c r="C234" s="104"/>
      <c r="D234" s="103"/>
      <c r="E234" s="103"/>
      <c r="F234" s="103"/>
      <c r="G234" s="103"/>
      <c r="H234" s="103"/>
      <c r="I234" s="103"/>
      <c r="J234" s="103"/>
      <c r="K234" s="103"/>
      <c r="L234" s="103"/>
      <c r="M234" s="103"/>
      <c r="N234" s="103"/>
      <c r="O234" s="103"/>
      <c r="P234" s="103"/>
      <c r="Q234" s="103"/>
      <c r="R234" s="103"/>
      <c r="T234" s="72"/>
      <c r="U234" s="72"/>
      <c r="V234" s="72"/>
      <c r="W234" s="72"/>
      <c r="X234" s="72"/>
      <c r="Y234" s="72"/>
      <c r="Z234" s="93"/>
      <c r="AA234" s="93"/>
      <c r="AB234" s="93"/>
      <c r="AC234" s="93"/>
      <c r="AD234" s="93"/>
      <c r="AE234" s="93"/>
      <c r="AF234" s="72"/>
      <c r="AG234" s="94"/>
      <c r="AH234" s="93"/>
    </row>
    <row r="235" spans="1:34" ht="15.75" x14ac:dyDescent="0.25">
      <c r="A235" s="102"/>
      <c r="B235" s="104"/>
      <c r="C235" s="104"/>
      <c r="D235" s="103"/>
      <c r="E235" s="103"/>
      <c r="F235" s="103"/>
      <c r="G235" s="103"/>
      <c r="H235" s="103"/>
      <c r="I235" s="103"/>
      <c r="J235" s="103"/>
      <c r="K235" s="103"/>
      <c r="L235" s="103"/>
      <c r="M235" s="103"/>
      <c r="N235" s="103"/>
      <c r="O235" s="103"/>
      <c r="P235" s="103"/>
      <c r="Q235" s="103"/>
      <c r="R235" s="103"/>
      <c r="T235" s="72"/>
      <c r="U235" s="72"/>
      <c r="V235" s="72"/>
      <c r="W235" s="72"/>
      <c r="X235" s="72"/>
      <c r="Y235" s="72"/>
      <c r="Z235" s="93"/>
      <c r="AA235" s="93"/>
      <c r="AB235" s="93"/>
      <c r="AC235" s="93"/>
      <c r="AD235" s="93"/>
      <c r="AE235" s="93"/>
      <c r="AF235" s="72"/>
      <c r="AG235" s="94"/>
      <c r="AH235" s="93"/>
    </row>
    <row r="236" spans="1:34" ht="15.75" x14ac:dyDescent="0.25">
      <c r="A236" s="102"/>
      <c r="B236" s="104"/>
      <c r="C236" s="104"/>
      <c r="D236" s="103"/>
      <c r="E236" s="103"/>
      <c r="F236" s="103"/>
      <c r="G236" s="103"/>
      <c r="H236" s="103"/>
      <c r="I236" s="103"/>
      <c r="J236" s="103"/>
      <c r="K236" s="103"/>
      <c r="L236" s="103"/>
      <c r="M236" s="103"/>
      <c r="N236" s="103"/>
      <c r="O236" s="103"/>
      <c r="P236" s="103"/>
      <c r="Q236" s="103"/>
      <c r="R236" s="103"/>
      <c r="T236" s="72"/>
      <c r="U236" s="72"/>
      <c r="V236" s="72"/>
      <c r="W236" s="72"/>
      <c r="X236" s="72"/>
      <c r="Y236" s="72"/>
      <c r="Z236" s="93"/>
      <c r="AA236" s="93"/>
      <c r="AB236" s="93"/>
      <c r="AC236" s="93"/>
      <c r="AD236" s="93"/>
      <c r="AE236" s="93"/>
      <c r="AF236" s="72"/>
      <c r="AG236" s="94"/>
      <c r="AH236" s="93"/>
    </row>
    <row r="237" spans="1:34" ht="15.75" x14ac:dyDescent="0.25">
      <c r="A237" s="102"/>
      <c r="B237" s="104"/>
      <c r="C237" s="104"/>
      <c r="D237" s="103"/>
      <c r="E237" s="103"/>
      <c r="F237" s="103"/>
      <c r="G237" s="103"/>
      <c r="H237" s="103"/>
      <c r="I237" s="103"/>
      <c r="J237" s="103"/>
      <c r="K237" s="103"/>
      <c r="L237" s="103"/>
      <c r="M237" s="103"/>
      <c r="N237" s="103"/>
      <c r="O237" s="103"/>
      <c r="P237" s="103"/>
      <c r="Q237" s="103"/>
      <c r="R237" s="103"/>
      <c r="T237" s="72"/>
      <c r="U237" s="72"/>
      <c r="V237" s="72"/>
      <c r="W237" s="72"/>
      <c r="X237" s="72"/>
      <c r="Y237" s="72"/>
      <c r="Z237" s="93"/>
      <c r="AA237" s="93"/>
      <c r="AB237" s="93"/>
      <c r="AC237" s="93"/>
      <c r="AD237" s="93"/>
      <c r="AE237" s="93"/>
      <c r="AF237" s="72"/>
      <c r="AG237" s="94"/>
      <c r="AH237" s="93"/>
    </row>
    <row r="238" spans="1:34" ht="15.75" x14ac:dyDescent="0.25">
      <c r="A238" s="102"/>
      <c r="B238" s="104"/>
      <c r="C238" s="104"/>
      <c r="D238" s="103"/>
      <c r="E238" s="103"/>
      <c r="F238" s="103"/>
      <c r="G238" s="103"/>
      <c r="H238" s="103"/>
      <c r="I238" s="103"/>
      <c r="J238" s="103"/>
      <c r="K238" s="103"/>
      <c r="L238" s="103"/>
      <c r="M238" s="103"/>
      <c r="N238" s="103"/>
      <c r="O238" s="103"/>
      <c r="P238" s="103"/>
      <c r="Q238" s="103"/>
      <c r="R238" s="103"/>
      <c r="T238" s="72"/>
      <c r="U238" s="72"/>
      <c r="V238" s="72"/>
      <c r="W238" s="72"/>
      <c r="X238" s="72"/>
      <c r="Y238" s="72"/>
      <c r="Z238" s="93"/>
      <c r="AA238" s="93"/>
      <c r="AB238" s="93"/>
      <c r="AC238" s="93"/>
      <c r="AD238" s="93"/>
      <c r="AE238" s="93"/>
      <c r="AF238" s="72"/>
      <c r="AG238" s="94"/>
      <c r="AH238" s="93"/>
    </row>
    <row r="239" spans="1:34" ht="15.75" x14ac:dyDescent="0.25">
      <c r="A239" s="102"/>
      <c r="B239" s="104"/>
      <c r="C239" s="104"/>
      <c r="D239" s="103"/>
      <c r="E239" s="103"/>
      <c r="F239" s="103"/>
      <c r="G239" s="103"/>
      <c r="H239" s="103"/>
      <c r="I239" s="103"/>
      <c r="J239" s="103"/>
      <c r="K239" s="103"/>
      <c r="L239" s="103"/>
      <c r="M239" s="103"/>
      <c r="N239" s="103"/>
      <c r="O239" s="103"/>
      <c r="P239" s="103"/>
      <c r="Q239" s="103"/>
      <c r="R239" s="103"/>
      <c r="T239" s="72"/>
      <c r="U239" s="72"/>
      <c r="V239" s="72"/>
      <c r="W239" s="72"/>
      <c r="X239" s="72"/>
      <c r="Y239" s="72"/>
      <c r="Z239" s="93"/>
      <c r="AA239" s="93"/>
      <c r="AB239" s="93"/>
      <c r="AC239" s="93"/>
      <c r="AD239" s="93"/>
      <c r="AE239" s="93"/>
      <c r="AF239" s="72"/>
      <c r="AG239" s="94"/>
      <c r="AH239" s="93"/>
    </row>
    <row r="240" spans="1:34" ht="15.75" x14ac:dyDescent="0.25">
      <c r="A240" s="102"/>
      <c r="B240" s="104"/>
      <c r="C240" s="104"/>
      <c r="D240" s="103"/>
      <c r="E240" s="103"/>
      <c r="F240" s="103"/>
      <c r="G240" s="103"/>
      <c r="H240" s="103"/>
      <c r="I240" s="103"/>
      <c r="J240" s="103"/>
      <c r="K240" s="103"/>
      <c r="L240" s="103"/>
      <c r="M240" s="103"/>
      <c r="N240" s="103"/>
      <c r="O240" s="103"/>
      <c r="P240" s="103"/>
      <c r="Q240" s="103"/>
      <c r="R240" s="103"/>
      <c r="T240" s="72"/>
      <c r="U240" s="72"/>
      <c r="V240" s="72"/>
      <c r="W240" s="72"/>
      <c r="X240" s="72"/>
      <c r="Y240" s="72"/>
      <c r="Z240" s="93"/>
      <c r="AA240" s="93"/>
      <c r="AB240" s="93"/>
      <c r="AC240" s="93"/>
      <c r="AD240" s="93"/>
      <c r="AE240" s="93"/>
      <c r="AF240" s="72"/>
      <c r="AG240" s="94"/>
      <c r="AH240" s="93"/>
    </row>
    <row r="241" spans="1:34" ht="15.75" x14ac:dyDescent="0.25">
      <c r="A241" s="102"/>
      <c r="B241" s="104"/>
      <c r="C241" s="104"/>
      <c r="D241" s="103"/>
      <c r="E241" s="103"/>
      <c r="F241" s="103"/>
      <c r="G241" s="103"/>
      <c r="H241" s="103"/>
      <c r="I241" s="103"/>
      <c r="J241" s="103"/>
      <c r="K241" s="103"/>
      <c r="L241" s="103"/>
      <c r="M241" s="103"/>
      <c r="N241" s="103"/>
      <c r="O241" s="103"/>
      <c r="P241" s="103"/>
      <c r="Q241" s="103"/>
      <c r="R241" s="103"/>
      <c r="T241" s="72"/>
      <c r="U241" s="72"/>
      <c r="V241" s="72"/>
      <c r="W241" s="72"/>
      <c r="X241" s="72"/>
      <c r="Y241" s="72"/>
      <c r="Z241" s="93"/>
      <c r="AA241" s="93"/>
      <c r="AB241" s="93"/>
      <c r="AC241" s="93"/>
      <c r="AD241" s="93"/>
      <c r="AE241" s="93"/>
      <c r="AF241" s="72"/>
      <c r="AG241" s="94"/>
      <c r="AH241" s="93"/>
    </row>
    <row r="242" spans="1:34" ht="15.75" x14ac:dyDescent="0.25">
      <c r="A242" s="102"/>
      <c r="B242" s="104"/>
      <c r="C242" s="104"/>
      <c r="D242" s="103"/>
      <c r="E242" s="103"/>
      <c r="F242" s="103"/>
      <c r="G242" s="103"/>
      <c r="H242" s="103"/>
      <c r="I242" s="103"/>
      <c r="J242" s="103"/>
      <c r="K242" s="103"/>
      <c r="L242" s="103"/>
      <c r="M242" s="103"/>
      <c r="N242" s="103"/>
      <c r="O242" s="103"/>
      <c r="P242" s="103"/>
      <c r="Q242" s="103"/>
      <c r="R242" s="103"/>
      <c r="T242" s="72"/>
      <c r="U242" s="72"/>
      <c r="V242" s="72"/>
      <c r="W242" s="72"/>
      <c r="X242" s="72"/>
      <c r="Y242" s="72"/>
      <c r="Z242" s="93"/>
      <c r="AA242" s="93"/>
      <c r="AB242" s="93"/>
      <c r="AC242" s="93"/>
      <c r="AD242" s="93"/>
      <c r="AE242" s="93"/>
      <c r="AF242" s="72"/>
      <c r="AG242" s="94"/>
      <c r="AH242" s="93"/>
    </row>
    <row r="243" spans="1:34" ht="15.75" x14ac:dyDescent="0.25">
      <c r="A243" s="102"/>
      <c r="B243" s="104"/>
      <c r="C243" s="104"/>
      <c r="D243" s="103"/>
      <c r="E243" s="103"/>
      <c r="F243" s="103"/>
      <c r="G243" s="103"/>
      <c r="H243" s="103"/>
      <c r="I243" s="103"/>
      <c r="J243" s="103"/>
      <c r="K243" s="103"/>
      <c r="L243" s="103"/>
      <c r="M243" s="103"/>
      <c r="N243" s="103"/>
      <c r="O243" s="103"/>
      <c r="P243" s="103"/>
      <c r="Q243" s="103"/>
      <c r="R243" s="103"/>
      <c r="T243" s="72"/>
      <c r="U243" s="72"/>
      <c r="V243" s="72"/>
      <c r="W243" s="72"/>
      <c r="X243" s="72"/>
      <c r="Y243" s="72"/>
      <c r="Z243" s="93"/>
      <c r="AA243" s="93"/>
      <c r="AB243" s="93"/>
      <c r="AC243" s="93"/>
      <c r="AD243" s="93"/>
      <c r="AE243" s="93"/>
      <c r="AF243" s="72"/>
      <c r="AG243" s="94"/>
      <c r="AH243" s="93"/>
    </row>
    <row r="244" spans="1:34" ht="15.75" x14ac:dyDescent="0.25">
      <c r="A244" s="102"/>
      <c r="B244" s="104"/>
      <c r="C244" s="104"/>
      <c r="D244" s="103"/>
      <c r="E244" s="103"/>
      <c r="F244" s="103"/>
      <c r="G244" s="103"/>
      <c r="H244" s="103"/>
      <c r="I244" s="103"/>
      <c r="J244" s="103"/>
      <c r="K244" s="103"/>
      <c r="L244" s="103"/>
      <c r="M244" s="103"/>
      <c r="N244" s="103"/>
      <c r="O244" s="103"/>
      <c r="P244" s="103"/>
      <c r="Q244" s="103"/>
      <c r="R244" s="103"/>
      <c r="T244" s="72"/>
      <c r="U244" s="72"/>
      <c r="V244" s="72"/>
      <c r="W244" s="72"/>
      <c r="X244" s="72"/>
      <c r="Y244" s="72"/>
      <c r="Z244" s="93"/>
      <c r="AA244" s="93"/>
      <c r="AB244" s="93"/>
      <c r="AC244" s="93"/>
      <c r="AD244" s="93"/>
      <c r="AE244" s="93"/>
      <c r="AF244" s="72"/>
      <c r="AG244" s="94"/>
      <c r="AH244" s="93"/>
    </row>
    <row r="245" spans="1:34" ht="15.75" x14ac:dyDescent="0.25">
      <c r="A245" s="102"/>
      <c r="B245" s="104"/>
      <c r="C245" s="104"/>
      <c r="D245" s="103"/>
      <c r="E245" s="103"/>
      <c r="F245" s="103"/>
      <c r="G245" s="103"/>
      <c r="H245" s="103"/>
      <c r="I245" s="103"/>
      <c r="J245" s="103"/>
      <c r="K245" s="103"/>
      <c r="L245" s="103"/>
      <c r="M245" s="103"/>
      <c r="N245" s="103"/>
      <c r="O245" s="103"/>
      <c r="P245" s="103"/>
      <c r="Q245" s="103"/>
      <c r="R245" s="103"/>
      <c r="T245" s="72"/>
      <c r="U245" s="72"/>
      <c r="V245" s="72"/>
      <c r="W245" s="72"/>
      <c r="X245" s="72"/>
      <c r="Y245" s="72"/>
      <c r="Z245" s="93"/>
      <c r="AA245" s="93"/>
      <c r="AB245" s="93"/>
      <c r="AC245" s="93"/>
      <c r="AD245" s="93"/>
      <c r="AE245" s="93"/>
      <c r="AF245" s="72"/>
      <c r="AG245" s="94"/>
      <c r="AH245" s="93"/>
    </row>
    <row r="246" spans="1:34" ht="15.75" x14ac:dyDescent="0.25">
      <c r="A246" s="102"/>
      <c r="B246" s="104"/>
      <c r="C246" s="104"/>
      <c r="D246" s="103"/>
      <c r="E246" s="103"/>
      <c r="F246" s="103"/>
      <c r="G246" s="103"/>
      <c r="H246" s="103"/>
      <c r="I246" s="103"/>
      <c r="J246" s="103"/>
      <c r="K246" s="103"/>
      <c r="L246" s="103"/>
      <c r="M246" s="103"/>
      <c r="N246" s="103"/>
      <c r="O246" s="103"/>
      <c r="P246" s="103"/>
      <c r="Q246" s="103"/>
      <c r="R246" s="103"/>
      <c r="T246" s="72"/>
      <c r="U246" s="72"/>
      <c r="V246" s="72"/>
      <c r="W246" s="72"/>
      <c r="X246" s="72"/>
      <c r="Y246" s="72"/>
      <c r="Z246" s="93"/>
      <c r="AA246" s="93"/>
      <c r="AB246" s="93"/>
      <c r="AC246" s="93"/>
      <c r="AD246" s="93"/>
      <c r="AE246" s="93"/>
      <c r="AF246" s="72"/>
      <c r="AG246" s="94"/>
      <c r="AH246" s="93"/>
    </row>
    <row r="247" spans="1:34" ht="15.75" x14ac:dyDescent="0.25">
      <c r="A247" s="102"/>
      <c r="B247" s="104"/>
      <c r="C247" s="104"/>
      <c r="D247" s="103"/>
      <c r="E247" s="103"/>
      <c r="F247" s="103"/>
      <c r="G247" s="103"/>
      <c r="H247" s="103"/>
      <c r="I247" s="103"/>
      <c r="J247" s="103"/>
      <c r="K247" s="103"/>
      <c r="L247" s="103"/>
      <c r="M247" s="103"/>
      <c r="N247" s="103"/>
      <c r="O247" s="103"/>
      <c r="P247" s="103"/>
      <c r="Q247" s="103"/>
      <c r="R247" s="103"/>
      <c r="T247" s="72"/>
      <c r="U247" s="72"/>
      <c r="V247" s="72"/>
      <c r="W247" s="72"/>
      <c r="X247" s="72"/>
      <c r="Y247" s="72"/>
      <c r="Z247" s="93"/>
      <c r="AA247" s="93"/>
      <c r="AB247" s="93"/>
      <c r="AC247" s="93"/>
      <c r="AD247" s="93"/>
      <c r="AE247" s="93"/>
      <c r="AF247" s="72"/>
      <c r="AG247" s="94"/>
      <c r="AH247" s="93"/>
    </row>
    <row r="248" spans="1:34" ht="15.75" x14ac:dyDescent="0.25">
      <c r="A248" s="102"/>
      <c r="B248" s="104"/>
      <c r="C248" s="104"/>
      <c r="D248" s="103"/>
      <c r="E248" s="103"/>
      <c r="F248" s="103"/>
      <c r="G248" s="103"/>
      <c r="H248" s="103"/>
      <c r="I248" s="103"/>
      <c r="J248" s="103"/>
      <c r="K248" s="103"/>
      <c r="L248" s="103"/>
      <c r="M248" s="103"/>
      <c r="N248" s="103"/>
      <c r="O248" s="103"/>
      <c r="P248" s="103"/>
      <c r="Q248" s="103"/>
      <c r="R248" s="103"/>
      <c r="T248" s="72"/>
      <c r="U248" s="72"/>
      <c r="V248" s="72"/>
      <c r="W248" s="72"/>
      <c r="X248" s="72"/>
      <c r="Y248" s="72"/>
      <c r="Z248" s="93"/>
      <c r="AA248" s="93"/>
      <c r="AB248" s="93"/>
      <c r="AC248" s="93"/>
      <c r="AD248" s="93"/>
      <c r="AE248" s="93"/>
      <c r="AF248" s="72"/>
      <c r="AG248" s="94"/>
      <c r="AH248" s="93"/>
    </row>
  </sheetData>
  <pageMargins left="0.53" right="0.51" top="0.984251969" bottom="0.984251969" header="0.49212598499999999" footer="0.49212598499999999"/>
  <pageSetup paperSize="9" scale="90" orientation="landscape" horizontalDpi="180" verticalDpi="180" r:id="rId1"/>
  <headerFooter alignWithMargins="0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4" baseType="variant">
      <vt:variant>
        <vt:lpstr>Planilhas</vt:lpstr>
      </vt:variant>
      <vt:variant>
        <vt:i4>11</vt:i4>
      </vt:variant>
      <vt:variant>
        <vt:lpstr>Intervalos nomeados</vt:lpstr>
      </vt:variant>
      <vt:variant>
        <vt:i4>32</vt:i4>
      </vt:variant>
    </vt:vector>
  </HeadingPairs>
  <TitlesOfParts>
    <vt:vector size="43" baseType="lpstr">
      <vt:lpstr>Botoes</vt:lpstr>
      <vt:lpstr>Previsões_10</vt:lpstr>
      <vt:lpstr>Previsões_15</vt:lpstr>
      <vt:lpstr>Previsões_9_meses</vt:lpstr>
      <vt:lpstr>Operacional_10_dias</vt:lpstr>
      <vt:lpstr>Operacional_15_dias</vt:lpstr>
      <vt:lpstr>Operacional_9_meses</vt:lpstr>
      <vt:lpstr>ETP_Parametros</vt:lpstr>
      <vt:lpstr>P_Q_obs</vt:lpstr>
      <vt:lpstr>Rio Grande_MoFurnas_Ch-perfeita</vt:lpstr>
      <vt:lpstr>Rio Grande_MoFurnas_Teste2013</vt:lpstr>
      <vt:lpstr>P_Q_obs!chuva_eta_grande.bacia_1</vt:lpstr>
      <vt:lpstr>P_Q_obs!chuva_eta_grande.bacia_2</vt:lpstr>
      <vt:lpstr>P_Q_obs!chuva_eta_grande.bacia_3</vt:lpstr>
      <vt:lpstr>P_Q_obs!chuva_grade_grande.bacia_1</vt:lpstr>
      <vt:lpstr>P_Q_obs!chuva_grade_grande.bacia_10</vt:lpstr>
      <vt:lpstr>P_Q_obs!chuva_grade_grande.bacia_11</vt:lpstr>
      <vt:lpstr>P_Q_obs!chuva_grade_grande.bacia_2</vt:lpstr>
      <vt:lpstr>P_Q_obs!chuva_grade_grande.bacia_3</vt:lpstr>
      <vt:lpstr>P_Q_obs!chuva_grade_grande.bacia_4</vt:lpstr>
      <vt:lpstr>P_Q_obs!chuva_grade_grande.bacia_5</vt:lpstr>
      <vt:lpstr>P_Q_obs!chuva_grade_grande.bacia_6</vt:lpstr>
      <vt:lpstr>P_Q_obs!chuva_grade_grande.bacia_7</vt:lpstr>
      <vt:lpstr>P_Q_obs!chuva_grade_grande.bacia_9</vt:lpstr>
      <vt:lpstr>ETP_Parametros!parametros</vt:lpstr>
      <vt:lpstr>ETP_Parametros!parametros_1</vt:lpstr>
      <vt:lpstr>ETP_Parametros!parametros_11</vt:lpstr>
      <vt:lpstr>ETP_Parametros!parametros_12</vt:lpstr>
      <vt:lpstr>ETP_Parametros!parametros_13</vt:lpstr>
      <vt:lpstr>ETP_Parametros!parametros_15</vt:lpstr>
      <vt:lpstr>ETP_Parametros!parametros_16</vt:lpstr>
      <vt:lpstr>ETP_Parametros!parametros_17</vt:lpstr>
      <vt:lpstr>ETP_Parametros!parametros_18</vt:lpstr>
      <vt:lpstr>ETP_Parametros!parametros_19</vt:lpstr>
      <vt:lpstr>ETP_Parametros!parametros_2</vt:lpstr>
      <vt:lpstr>ETP_Parametros!parametros_20</vt:lpstr>
      <vt:lpstr>ETP_Parametros!parametros_21</vt:lpstr>
      <vt:lpstr>ETP_Parametros!parametros_3</vt:lpstr>
      <vt:lpstr>ETP_Parametros!parametros_4</vt:lpstr>
      <vt:lpstr>ETP_Parametros!parametros_5</vt:lpstr>
      <vt:lpstr>ETP_Parametros!parametros_6</vt:lpstr>
      <vt:lpstr>ETP_Parametros!parametros_7</vt:lpstr>
      <vt:lpstr>ETP_Parametros!parametros_8</vt:lpstr>
    </vt:vector>
  </TitlesOfParts>
  <Company>Home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Novo Modelo MCSMAP</dc:title>
  <dc:creator>Equipe Cataldi</dc:creator>
  <cp:lastModifiedBy>Yuri Moreira</cp:lastModifiedBy>
  <cp:lastPrinted>1999-12-12T22:30:02Z</cp:lastPrinted>
  <dcterms:created xsi:type="dcterms:W3CDTF">1999-09-22T23:31:18Z</dcterms:created>
  <dcterms:modified xsi:type="dcterms:W3CDTF">2017-11-09T16:32:49Z</dcterms:modified>
</cp:coreProperties>
</file>